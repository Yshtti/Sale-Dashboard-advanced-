
<file path=[Content_Types].xml><?xml version="1.0" encoding="utf-8"?>
<Types xmlns="http://schemas.openxmlformats.org/package/2006/content-types">
  <Default Extension="bin" ContentType="application/vnd.ms-office.vbaProject"/>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Ex1.xml" ContentType="application/vnd.ms-office.chartex+xml"/>
  <Override PartName="/xl/charts/style7.xml" ContentType="application/vnd.ms-office.chartstyle+xml"/>
  <Override PartName="/xl/charts/colors7.xml" ContentType="application/vnd.ms-office.chartcolorstyle+xml"/>
  <Override PartName="/xl/charts/chartEx2.xml" ContentType="application/vnd.ms-office.chartex+xml"/>
  <Override PartName="/xl/charts/style8.xml" ContentType="application/vnd.ms-office.chartstyle+xml"/>
  <Override PartName="/xl/charts/colors8.xml" ContentType="application/vnd.ms-office.chartcolorstyle+xml"/>
  <Override PartName="/xl/charts/chartEx3.xml" ContentType="application/vnd.ms-office.chartex+xml"/>
  <Override PartName="/xl/charts/style9.xml" ContentType="application/vnd.ms-office.chartstyle+xml"/>
  <Override PartName="/xl/charts/colors9.xml" ContentType="application/vnd.ms-office.chartcolorsty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10.xml" ContentType="application/vnd.ms-office.chartstyle+xml"/>
  <Override PartName="/xl/charts/colors10.xml" ContentType="application/vnd.ms-office.chartcolorstyle+xml"/>
  <Override PartName="/xl/charts/chart8.xml" ContentType="application/vnd.openxmlformats-officedocument.drawingml.chart+xml"/>
  <Override PartName="/xl/charts/style11.xml" ContentType="application/vnd.ms-office.chartstyle+xml"/>
  <Override PartName="/xl/charts/colors11.xml" ContentType="application/vnd.ms-office.chartcolorstyle+xml"/>
  <Override PartName="/xl/charts/chart9.xml" ContentType="application/vnd.openxmlformats-officedocument.drawingml.chart+xml"/>
  <Override PartName="/xl/charts/style12.xml" ContentType="application/vnd.ms-office.chartstyle+xml"/>
  <Override PartName="/xl/charts/colors12.xml" ContentType="application/vnd.ms-office.chartcolorstyle+xml"/>
  <Override PartName="/xl/charts/chart10.xml" ContentType="application/vnd.openxmlformats-officedocument.drawingml.chart+xml"/>
  <Override PartName="/xl/charts/style13.xml" ContentType="application/vnd.ms-office.chartstyle+xml"/>
  <Override PartName="/xl/charts/colors13.xml" ContentType="application/vnd.ms-office.chartcolorstyle+xml"/>
  <Override PartName="/xl/charts/chartEx4.xml" ContentType="application/vnd.ms-office.chartex+xml"/>
  <Override PartName="/xl/charts/style14.xml" ContentType="application/vnd.ms-office.chartstyle+xml"/>
  <Override PartName="/xl/charts/colors1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D:\data analysis project\"/>
    </mc:Choice>
  </mc:AlternateContent>
  <xr:revisionPtr revIDLastSave="0" documentId="13_ncr:1_{FFA1D68B-7566-4177-AEDA-6BA6F6603BC8}" xr6:coauthVersionLast="47" xr6:coauthVersionMax="47" xr10:uidLastSave="{00000000-0000-0000-0000-000000000000}"/>
  <bookViews>
    <workbookView xWindow="-98" yWindow="-98" windowWidth="19396" windowHeight="10276" xr2:uid="{08E1C1C3-0FEA-43AD-84A9-6EC05EB3F75A}"/>
  </bookViews>
  <sheets>
    <sheet name="Sale form" sheetId="8" r:id="rId1"/>
    <sheet name="Retail Store Sales" sheetId="4" r:id="rId2"/>
    <sheet name="Sales DashBoard" sheetId="10" r:id="rId3"/>
    <sheet name="Cost Per Unit " sheetId="11" r:id="rId4"/>
    <sheet name="Descriptive statistics" sheetId="5" r:id="rId5"/>
    <sheet name="Pivot tables" sheetId="9" r:id="rId6"/>
    <sheet name="Unique" sheetId="7" r:id="rId7"/>
  </sheets>
  <definedNames>
    <definedName name="_xlchart.v5.0" hidden="1">'Pivot tables'!$F$94</definedName>
    <definedName name="_xlchart.v5.1" hidden="1">'Pivot tables'!$F$95:$F$101</definedName>
    <definedName name="_xlchart.v5.2" hidden="1">'Pivot tables'!$G$94</definedName>
    <definedName name="_xlchart.v5.3" hidden="1">'Pivot tables'!$G$95:$G$101</definedName>
    <definedName name="_xlchart.v5.4" hidden="1">'Pivot tables'!$F$94</definedName>
    <definedName name="_xlchart.v5.5" hidden="1">'Pivot tables'!$F$95:$F$101</definedName>
    <definedName name="_xlchart.v5.6" hidden="1">'Pivot tables'!$G$94</definedName>
    <definedName name="_xlchart.v5.7" hidden="1">'Pivot tables'!$G$95:$G$101</definedName>
    <definedName name="Slicer_Country">#N/A</definedName>
    <definedName name="Slicer_Month">#N/A</definedName>
    <definedName name="Slicer_Product_Category">#N/A</definedName>
    <definedName name="Slicer_Year">#N/A</definedName>
  </definedNames>
  <calcPr calcId="191029"/>
  <pivotCaches>
    <pivotCache cacheId="2"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3" i="4" l="1"/>
  <c r="Q4" i="4"/>
  <c r="Q5" i="4"/>
  <c r="Q6" i="4"/>
  <c r="Q7" i="4"/>
  <c r="Q8" i="4"/>
  <c r="Q9" i="4"/>
  <c r="Q10" i="4"/>
  <c r="Q11" i="4"/>
  <c r="Q12" i="4"/>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501" i="4"/>
  <c r="Q502" i="4"/>
  <c r="Q503" i="4"/>
  <c r="Q504" i="4"/>
  <c r="Q505" i="4"/>
  <c r="Q506" i="4"/>
  <c r="Q507" i="4"/>
  <c r="Q508" i="4"/>
  <c r="Q509" i="4"/>
  <c r="Q510" i="4"/>
  <c r="Q511" i="4"/>
  <c r="Q512" i="4"/>
  <c r="Q513" i="4"/>
  <c r="Q514" i="4"/>
  <c r="Q515" i="4"/>
  <c r="Q516" i="4"/>
  <c r="Q517" i="4"/>
  <c r="Q518" i="4"/>
  <c r="Q519" i="4"/>
  <c r="Q520" i="4"/>
  <c r="Q521" i="4"/>
  <c r="Q522" i="4"/>
  <c r="Q523" i="4"/>
  <c r="Q524" i="4"/>
  <c r="Q525" i="4"/>
  <c r="Q526" i="4"/>
  <c r="Q527" i="4"/>
  <c r="Q528" i="4"/>
  <c r="Q529" i="4"/>
  <c r="Q530" i="4"/>
  <c r="Q531" i="4"/>
  <c r="Q532" i="4"/>
  <c r="Q533" i="4"/>
  <c r="Q534" i="4"/>
  <c r="Q535" i="4"/>
  <c r="Q536" i="4"/>
  <c r="Q537" i="4"/>
  <c r="Q538" i="4"/>
  <c r="Q539" i="4"/>
  <c r="Q540" i="4"/>
  <c r="Q541" i="4"/>
  <c r="Q542" i="4"/>
  <c r="Q543" i="4"/>
  <c r="Q544" i="4"/>
  <c r="Q545" i="4"/>
  <c r="Q546" i="4"/>
  <c r="Q547" i="4"/>
  <c r="Q548" i="4"/>
  <c r="Q549" i="4"/>
  <c r="Q550" i="4"/>
  <c r="Q551" i="4"/>
  <c r="Q552" i="4"/>
  <c r="Q553" i="4"/>
  <c r="Q554" i="4"/>
  <c r="Q555" i="4"/>
  <c r="Q556" i="4"/>
  <c r="Q557" i="4"/>
  <c r="Q558" i="4"/>
  <c r="Q559" i="4"/>
  <c r="Q560" i="4"/>
  <c r="Q561" i="4"/>
  <c r="Q562" i="4"/>
  <c r="Q2" i="4"/>
  <c r="O3" i="4"/>
  <c r="O4" i="4"/>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O104" i="4"/>
  <c r="O105" i="4"/>
  <c r="O106" i="4"/>
  <c r="O107" i="4"/>
  <c r="O108" i="4"/>
  <c r="O109" i="4"/>
  <c r="O110" i="4"/>
  <c r="O111"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2" i="4"/>
  <c r="K562" i="4" l="1"/>
  <c r="L562" i="4"/>
  <c r="M562" i="4"/>
  <c r="N562" i="4"/>
  <c r="P562" i="4"/>
  <c r="F96" i="9"/>
  <c r="G96" i="9"/>
  <c r="F97" i="9"/>
  <c r="G97" i="9"/>
  <c r="F98" i="9"/>
  <c r="G98" i="9"/>
  <c r="F99" i="9"/>
  <c r="G99" i="9"/>
  <c r="F100" i="9"/>
  <c r="G100" i="9"/>
  <c r="F101" i="9"/>
  <c r="G101" i="9"/>
  <c r="G95" i="9"/>
  <c r="F95" i="9"/>
  <c r="K561" i="4"/>
  <c r="L561" i="4"/>
  <c r="M561" i="4"/>
  <c r="N561" i="4"/>
  <c r="P561" i="4"/>
  <c r="B38" i="9"/>
  <c r="E38" i="9" s="1"/>
  <c r="K560" i="4"/>
  <c r="L560" i="4"/>
  <c r="M560" i="4"/>
  <c r="N560" i="4"/>
  <c r="P560" i="4"/>
  <c r="K559" i="4"/>
  <c r="L559" i="4"/>
  <c r="M559" i="4"/>
  <c r="N559" i="4"/>
  <c r="P559" i="4"/>
  <c r="K558" i="4"/>
  <c r="L558" i="4"/>
  <c r="M558" i="4"/>
  <c r="N558" i="4"/>
  <c r="P558" i="4"/>
  <c r="K557" i="4"/>
  <c r="L557" i="4"/>
  <c r="M557" i="4"/>
  <c r="N557" i="4"/>
  <c r="P557" i="4"/>
  <c r="B9" i="9"/>
  <c r="A9" i="9"/>
  <c r="B8" i="9"/>
  <c r="G8" i="9"/>
  <c r="C8" i="9"/>
  <c r="E12" i="9"/>
  <c r="J12" i="9"/>
  <c r="C9" i="9"/>
  <c r="E13" i="9"/>
  <c r="A8" i="9"/>
  <c r="J13" i="9"/>
  <c r="E54" i="9" l="1"/>
  <c r="D54" i="9"/>
  <c r="E44" i="9"/>
  <c r="D44" i="9"/>
  <c r="D49" i="9"/>
  <c r="E49" i="9"/>
  <c r="D38" i="9"/>
  <c r="G38" i="9" s="1"/>
  <c r="C38" i="9"/>
  <c r="K12" i="9"/>
  <c r="K13" i="9"/>
  <c r="F13" i="9"/>
  <c r="F12" i="9"/>
  <c r="Z6" i="8"/>
  <c r="Y6" i="8"/>
  <c r="X6" i="8"/>
  <c r="W6" i="8"/>
  <c r="V6" i="8"/>
  <c r="U6" i="8"/>
  <c r="T6" i="8"/>
  <c r="S6" i="8"/>
  <c r="R6" i="8"/>
  <c r="Q6" i="8"/>
  <c r="K2" i="4"/>
  <c r="L2" i="4"/>
  <c r="M2" i="4"/>
  <c r="N2" i="4"/>
  <c r="P2" i="4"/>
  <c r="K3" i="4"/>
  <c r="L3" i="4"/>
  <c r="M3" i="4"/>
  <c r="N3" i="4"/>
  <c r="P3" i="4"/>
  <c r="K4" i="4"/>
  <c r="L4" i="4"/>
  <c r="M4" i="4"/>
  <c r="N4" i="4"/>
  <c r="P4" i="4"/>
  <c r="K5" i="4"/>
  <c r="L5" i="4"/>
  <c r="M5" i="4"/>
  <c r="N5" i="4"/>
  <c r="P5" i="4"/>
  <c r="K6" i="4"/>
  <c r="L6" i="4"/>
  <c r="M6" i="4"/>
  <c r="N6" i="4"/>
  <c r="P6" i="4"/>
  <c r="K7" i="4"/>
  <c r="L7" i="4"/>
  <c r="M7" i="4"/>
  <c r="N7" i="4"/>
  <c r="P7" i="4"/>
  <c r="K8" i="4"/>
  <c r="L8" i="4"/>
  <c r="M8" i="4"/>
  <c r="N8" i="4"/>
  <c r="P8" i="4"/>
  <c r="K9" i="4"/>
  <c r="L9" i="4"/>
  <c r="M9" i="4"/>
  <c r="N9" i="4"/>
  <c r="P9" i="4"/>
  <c r="K10" i="4"/>
  <c r="L10" i="4"/>
  <c r="M10" i="4"/>
  <c r="N10" i="4"/>
  <c r="P10" i="4"/>
  <c r="K11" i="4"/>
  <c r="L11" i="4"/>
  <c r="M11" i="4"/>
  <c r="N11" i="4"/>
  <c r="P11" i="4"/>
  <c r="K12" i="4"/>
  <c r="L12" i="4"/>
  <c r="M12" i="4"/>
  <c r="N12" i="4"/>
  <c r="P12" i="4"/>
  <c r="K13" i="4"/>
  <c r="L13" i="4"/>
  <c r="M13" i="4"/>
  <c r="N13" i="4"/>
  <c r="P13" i="4"/>
  <c r="K14" i="4"/>
  <c r="L14" i="4"/>
  <c r="M14" i="4"/>
  <c r="N14" i="4"/>
  <c r="P14" i="4"/>
  <c r="K15" i="4"/>
  <c r="L15" i="4"/>
  <c r="M15" i="4"/>
  <c r="N15" i="4"/>
  <c r="P15" i="4"/>
  <c r="K16" i="4"/>
  <c r="L16" i="4"/>
  <c r="M16" i="4"/>
  <c r="N16" i="4"/>
  <c r="P16" i="4"/>
  <c r="K17" i="4"/>
  <c r="L17" i="4"/>
  <c r="M17" i="4"/>
  <c r="N17" i="4"/>
  <c r="P17" i="4"/>
  <c r="K18" i="4"/>
  <c r="L18" i="4"/>
  <c r="M18" i="4"/>
  <c r="N18" i="4"/>
  <c r="P18" i="4"/>
  <c r="K19" i="4"/>
  <c r="L19" i="4"/>
  <c r="M19" i="4"/>
  <c r="N19" i="4"/>
  <c r="P19" i="4"/>
  <c r="K20" i="4"/>
  <c r="L20" i="4"/>
  <c r="M20" i="4"/>
  <c r="N20" i="4"/>
  <c r="P20" i="4"/>
  <c r="K21" i="4"/>
  <c r="L21" i="4"/>
  <c r="M21" i="4"/>
  <c r="N21" i="4"/>
  <c r="P21" i="4"/>
  <c r="K22" i="4"/>
  <c r="L22" i="4"/>
  <c r="M22" i="4"/>
  <c r="N22" i="4"/>
  <c r="P22" i="4"/>
  <c r="K23" i="4"/>
  <c r="L23" i="4"/>
  <c r="M23" i="4"/>
  <c r="N23" i="4"/>
  <c r="P23" i="4"/>
  <c r="K24" i="4"/>
  <c r="L24" i="4"/>
  <c r="M24" i="4"/>
  <c r="N24" i="4"/>
  <c r="P24" i="4"/>
  <c r="K25" i="4"/>
  <c r="L25" i="4"/>
  <c r="M25" i="4"/>
  <c r="N25" i="4"/>
  <c r="P25" i="4"/>
  <c r="K26" i="4"/>
  <c r="L26" i="4"/>
  <c r="M26" i="4"/>
  <c r="N26" i="4"/>
  <c r="P26" i="4"/>
  <c r="K27" i="4"/>
  <c r="L27" i="4"/>
  <c r="M27" i="4"/>
  <c r="N27" i="4"/>
  <c r="P27" i="4"/>
  <c r="K28" i="4"/>
  <c r="L28" i="4"/>
  <c r="M28" i="4"/>
  <c r="N28" i="4"/>
  <c r="P28" i="4"/>
  <c r="K29" i="4"/>
  <c r="L29" i="4"/>
  <c r="M29" i="4"/>
  <c r="N29" i="4"/>
  <c r="P29" i="4"/>
  <c r="K30" i="4"/>
  <c r="L30" i="4"/>
  <c r="M30" i="4"/>
  <c r="N30" i="4"/>
  <c r="P30" i="4"/>
  <c r="K31" i="4"/>
  <c r="L31" i="4"/>
  <c r="M31" i="4"/>
  <c r="N31" i="4"/>
  <c r="P31" i="4"/>
  <c r="K32" i="4"/>
  <c r="L32" i="4"/>
  <c r="M32" i="4"/>
  <c r="N32" i="4"/>
  <c r="P32" i="4"/>
  <c r="K33" i="4"/>
  <c r="L33" i="4"/>
  <c r="M33" i="4"/>
  <c r="N33" i="4"/>
  <c r="P33" i="4"/>
  <c r="K34" i="4"/>
  <c r="L34" i="4"/>
  <c r="M34" i="4"/>
  <c r="N34" i="4"/>
  <c r="P34" i="4"/>
  <c r="K35" i="4"/>
  <c r="L35" i="4"/>
  <c r="M35" i="4"/>
  <c r="N35" i="4"/>
  <c r="P35" i="4"/>
  <c r="K36" i="4"/>
  <c r="L36" i="4"/>
  <c r="M36" i="4"/>
  <c r="N36" i="4"/>
  <c r="P36" i="4"/>
  <c r="K37" i="4"/>
  <c r="L37" i="4"/>
  <c r="M37" i="4"/>
  <c r="N37" i="4"/>
  <c r="P37" i="4"/>
  <c r="K38" i="4"/>
  <c r="L38" i="4"/>
  <c r="M38" i="4"/>
  <c r="N38" i="4"/>
  <c r="P38" i="4"/>
  <c r="K39" i="4"/>
  <c r="L39" i="4"/>
  <c r="M39" i="4"/>
  <c r="N39" i="4"/>
  <c r="P39" i="4"/>
  <c r="K40" i="4"/>
  <c r="L40" i="4"/>
  <c r="M40" i="4"/>
  <c r="N40" i="4"/>
  <c r="P40" i="4"/>
  <c r="K41" i="4"/>
  <c r="L41" i="4"/>
  <c r="M41" i="4"/>
  <c r="N41" i="4"/>
  <c r="P41" i="4"/>
  <c r="K42" i="4"/>
  <c r="L42" i="4"/>
  <c r="M42" i="4"/>
  <c r="N42" i="4"/>
  <c r="P42" i="4"/>
  <c r="K43" i="4"/>
  <c r="L43" i="4"/>
  <c r="M43" i="4"/>
  <c r="N43" i="4"/>
  <c r="P43" i="4"/>
  <c r="K44" i="4"/>
  <c r="L44" i="4"/>
  <c r="M44" i="4"/>
  <c r="N44" i="4"/>
  <c r="P44" i="4"/>
  <c r="K45" i="4"/>
  <c r="L45" i="4"/>
  <c r="M45" i="4"/>
  <c r="N45" i="4"/>
  <c r="P45" i="4"/>
  <c r="K46" i="4"/>
  <c r="L46" i="4"/>
  <c r="M46" i="4"/>
  <c r="N46" i="4"/>
  <c r="P46" i="4"/>
  <c r="K47" i="4"/>
  <c r="L47" i="4"/>
  <c r="M47" i="4"/>
  <c r="N47" i="4"/>
  <c r="P47" i="4"/>
  <c r="K48" i="4"/>
  <c r="L48" i="4"/>
  <c r="M48" i="4"/>
  <c r="N48" i="4"/>
  <c r="P48" i="4"/>
  <c r="K49" i="4"/>
  <c r="L49" i="4"/>
  <c r="M49" i="4"/>
  <c r="N49" i="4"/>
  <c r="P49" i="4"/>
  <c r="K50" i="4"/>
  <c r="L50" i="4"/>
  <c r="M50" i="4"/>
  <c r="N50" i="4"/>
  <c r="P50" i="4"/>
  <c r="K51" i="4"/>
  <c r="L51" i="4"/>
  <c r="M51" i="4"/>
  <c r="N51" i="4"/>
  <c r="P51" i="4"/>
  <c r="K52" i="4"/>
  <c r="L52" i="4"/>
  <c r="M52" i="4"/>
  <c r="N52" i="4"/>
  <c r="P52" i="4"/>
  <c r="K53" i="4"/>
  <c r="L53" i="4"/>
  <c r="M53" i="4"/>
  <c r="N53" i="4"/>
  <c r="P53" i="4"/>
  <c r="K54" i="4"/>
  <c r="L54" i="4"/>
  <c r="M54" i="4"/>
  <c r="N54" i="4"/>
  <c r="P54" i="4"/>
  <c r="K55" i="4"/>
  <c r="L55" i="4"/>
  <c r="M55" i="4"/>
  <c r="N55" i="4"/>
  <c r="P55" i="4"/>
  <c r="K56" i="4"/>
  <c r="L56" i="4"/>
  <c r="M56" i="4"/>
  <c r="N56" i="4"/>
  <c r="P56" i="4"/>
  <c r="K57" i="4"/>
  <c r="L57" i="4"/>
  <c r="M57" i="4"/>
  <c r="N57" i="4"/>
  <c r="P57" i="4"/>
  <c r="K58" i="4"/>
  <c r="L58" i="4"/>
  <c r="M58" i="4"/>
  <c r="N58" i="4"/>
  <c r="P58" i="4"/>
  <c r="K59" i="4"/>
  <c r="L59" i="4"/>
  <c r="M59" i="4"/>
  <c r="N59" i="4"/>
  <c r="P59" i="4"/>
  <c r="K60" i="4"/>
  <c r="L60" i="4"/>
  <c r="M60" i="4"/>
  <c r="N60" i="4"/>
  <c r="P60" i="4"/>
  <c r="K61" i="4"/>
  <c r="L61" i="4"/>
  <c r="M61" i="4"/>
  <c r="N61" i="4"/>
  <c r="P61" i="4"/>
  <c r="K62" i="4"/>
  <c r="L62" i="4"/>
  <c r="M62" i="4"/>
  <c r="N62" i="4"/>
  <c r="P62" i="4"/>
  <c r="K63" i="4"/>
  <c r="L63" i="4"/>
  <c r="M63" i="4"/>
  <c r="N63" i="4"/>
  <c r="P63" i="4"/>
  <c r="K64" i="4"/>
  <c r="L64" i="4"/>
  <c r="M64" i="4"/>
  <c r="N64" i="4"/>
  <c r="P64" i="4"/>
  <c r="K65" i="4"/>
  <c r="L65" i="4"/>
  <c r="M65" i="4"/>
  <c r="N65" i="4"/>
  <c r="P65" i="4"/>
  <c r="K66" i="4"/>
  <c r="L66" i="4"/>
  <c r="M66" i="4"/>
  <c r="N66" i="4"/>
  <c r="P66" i="4"/>
  <c r="K67" i="4"/>
  <c r="L67" i="4"/>
  <c r="M67" i="4"/>
  <c r="N67" i="4"/>
  <c r="P67" i="4"/>
  <c r="K68" i="4"/>
  <c r="L68" i="4"/>
  <c r="M68" i="4"/>
  <c r="N68" i="4"/>
  <c r="P68" i="4"/>
  <c r="K69" i="4"/>
  <c r="L69" i="4"/>
  <c r="M69" i="4"/>
  <c r="N69" i="4"/>
  <c r="P69" i="4"/>
  <c r="K70" i="4"/>
  <c r="L70" i="4"/>
  <c r="M70" i="4"/>
  <c r="N70" i="4"/>
  <c r="P70" i="4"/>
  <c r="K71" i="4"/>
  <c r="L71" i="4"/>
  <c r="M71" i="4"/>
  <c r="N71" i="4"/>
  <c r="P71" i="4"/>
  <c r="K72" i="4"/>
  <c r="L72" i="4"/>
  <c r="M72" i="4"/>
  <c r="N72" i="4"/>
  <c r="P72" i="4"/>
  <c r="K73" i="4"/>
  <c r="L73" i="4"/>
  <c r="M73" i="4"/>
  <c r="N73" i="4"/>
  <c r="P73" i="4"/>
  <c r="K74" i="4"/>
  <c r="L74" i="4"/>
  <c r="M74" i="4"/>
  <c r="N74" i="4"/>
  <c r="P74" i="4"/>
  <c r="K75" i="4"/>
  <c r="L75" i="4"/>
  <c r="M75" i="4"/>
  <c r="N75" i="4"/>
  <c r="P75" i="4"/>
  <c r="K76" i="4"/>
  <c r="L76" i="4"/>
  <c r="M76" i="4"/>
  <c r="N76" i="4"/>
  <c r="P76" i="4"/>
  <c r="K77" i="4"/>
  <c r="L77" i="4"/>
  <c r="M77" i="4"/>
  <c r="N77" i="4"/>
  <c r="P77" i="4"/>
  <c r="K78" i="4"/>
  <c r="L78" i="4"/>
  <c r="M78" i="4"/>
  <c r="N78" i="4"/>
  <c r="P78" i="4"/>
  <c r="K79" i="4"/>
  <c r="L79" i="4"/>
  <c r="M79" i="4"/>
  <c r="N79" i="4"/>
  <c r="P79" i="4"/>
  <c r="K80" i="4"/>
  <c r="L80" i="4"/>
  <c r="M80" i="4"/>
  <c r="N80" i="4"/>
  <c r="P80" i="4"/>
  <c r="K81" i="4"/>
  <c r="L81" i="4"/>
  <c r="M81" i="4"/>
  <c r="N81" i="4"/>
  <c r="P81" i="4"/>
  <c r="K82" i="4"/>
  <c r="L82" i="4"/>
  <c r="M82" i="4"/>
  <c r="N82" i="4"/>
  <c r="P82" i="4"/>
  <c r="K83" i="4"/>
  <c r="L83" i="4"/>
  <c r="M83" i="4"/>
  <c r="N83" i="4"/>
  <c r="P83" i="4"/>
  <c r="K84" i="4"/>
  <c r="L84" i="4"/>
  <c r="M84" i="4"/>
  <c r="N84" i="4"/>
  <c r="P84" i="4"/>
  <c r="K85" i="4"/>
  <c r="L85" i="4"/>
  <c r="M85" i="4"/>
  <c r="N85" i="4"/>
  <c r="P85" i="4"/>
  <c r="K86" i="4"/>
  <c r="L86" i="4"/>
  <c r="M86" i="4"/>
  <c r="N86" i="4"/>
  <c r="P86" i="4"/>
  <c r="K87" i="4"/>
  <c r="L87" i="4"/>
  <c r="M87" i="4"/>
  <c r="N87" i="4"/>
  <c r="P87" i="4"/>
  <c r="K88" i="4"/>
  <c r="L88" i="4"/>
  <c r="M88" i="4"/>
  <c r="N88" i="4"/>
  <c r="P88" i="4"/>
  <c r="K89" i="4"/>
  <c r="L89" i="4"/>
  <c r="M89" i="4"/>
  <c r="N89" i="4"/>
  <c r="P89" i="4"/>
  <c r="K90" i="4"/>
  <c r="L90" i="4"/>
  <c r="M90" i="4"/>
  <c r="N90" i="4"/>
  <c r="P90" i="4"/>
  <c r="K91" i="4"/>
  <c r="L91" i="4"/>
  <c r="M91" i="4"/>
  <c r="N91" i="4"/>
  <c r="P91" i="4"/>
  <c r="K92" i="4"/>
  <c r="L92" i="4"/>
  <c r="M92" i="4"/>
  <c r="N92" i="4"/>
  <c r="P92" i="4"/>
  <c r="K93" i="4"/>
  <c r="L93" i="4"/>
  <c r="M93" i="4"/>
  <c r="N93" i="4"/>
  <c r="P93" i="4"/>
  <c r="K94" i="4"/>
  <c r="L94" i="4"/>
  <c r="M94" i="4"/>
  <c r="N94" i="4"/>
  <c r="P94" i="4"/>
  <c r="K95" i="4"/>
  <c r="L95" i="4"/>
  <c r="M95" i="4"/>
  <c r="N95" i="4"/>
  <c r="P95" i="4"/>
  <c r="K96" i="4"/>
  <c r="L96" i="4"/>
  <c r="M96" i="4"/>
  <c r="N96" i="4"/>
  <c r="P96" i="4"/>
  <c r="K97" i="4"/>
  <c r="L97" i="4"/>
  <c r="M97" i="4"/>
  <c r="N97" i="4"/>
  <c r="P97" i="4"/>
  <c r="K98" i="4"/>
  <c r="L98" i="4"/>
  <c r="M98" i="4"/>
  <c r="N98" i="4"/>
  <c r="P98" i="4"/>
  <c r="K99" i="4"/>
  <c r="L99" i="4"/>
  <c r="M99" i="4"/>
  <c r="N99" i="4"/>
  <c r="P99" i="4"/>
  <c r="K100" i="4"/>
  <c r="L100" i="4"/>
  <c r="M100" i="4"/>
  <c r="N100" i="4"/>
  <c r="P100" i="4"/>
  <c r="K101" i="4"/>
  <c r="L101" i="4"/>
  <c r="M101" i="4"/>
  <c r="N101" i="4"/>
  <c r="P101" i="4"/>
  <c r="K102" i="4"/>
  <c r="L102" i="4"/>
  <c r="M102" i="4"/>
  <c r="N102" i="4"/>
  <c r="P102" i="4"/>
  <c r="K103" i="4"/>
  <c r="L103" i="4"/>
  <c r="M103" i="4"/>
  <c r="N103" i="4"/>
  <c r="P103" i="4"/>
  <c r="K104" i="4"/>
  <c r="L104" i="4"/>
  <c r="M104" i="4"/>
  <c r="N104" i="4"/>
  <c r="P104" i="4"/>
  <c r="K105" i="4"/>
  <c r="L105" i="4"/>
  <c r="M105" i="4"/>
  <c r="N105" i="4"/>
  <c r="P105" i="4"/>
  <c r="K106" i="4"/>
  <c r="L106" i="4"/>
  <c r="M106" i="4"/>
  <c r="N106" i="4"/>
  <c r="P106" i="4"/>
  <c r="K107" i="4"/>
  <c r="L107" i="4"/>
  <c r="M107" i="4"/>
  <c r="N107" i="4"/>
  <c r="P107" i="4"/>
  <c r="K108" i="4"/>
  <c r="L108" i="4"/>
  <c r="M108" i="4"/>
  <c r="N108" i="4"/>
  <c r="P108" i="4"/>
  <c r="K109" i="4"/>
  <c r="L109" i="4"/>
  <c r="M109" i="4"/>
  <c r="N109" i="4"/>
  <c r="P109" i="4"/>
  <c r="K110" i="4"/>
  <c r="L110" i="4"/>
  <c r="M110" i="4"/>
  <c r="N110" i="4"/>
  <c r="P110" i="4"/>
  <c r="K111" i="4"/>
  <c r="L111" i="4"/>
  <c r="M111" i="4"/>
  <c r="N111" i="4"/>
  <c r="P111" i="4"/>
  <c r="K112" i="4"/>
  <c r="L112" i="4"/>
  <c r="M112" i="4"/>
  <c r="N112" i="4"/>
  <c r="P112" i="4"/>
  <c r="K113" i="4"/>
  <c r="L113" i="4"/>
  <c r="M113" i="4"/>
  <c r="N113" i="4"/>
  <c r="P113" i="4"/>
  <c r="K114" i="4"/>
  <c r="L114" i="4"/>
  <c r="M114" i="4"/>
  <c r="N114" i="4"/>
  <c r="P114" i="4"/>
  <c r="K115" i="4"/>
  <c r="L115" i="4"/>
  <c r="M115" i="4"/>
  <c r="N115" i="4"/>
  <c r="P115" i="4"/>
  <c r="K116" i="4"/>
  <c r="L116" i="4"/>
  <c r="M116" i="4"/>
  <c r="N116" i="4"/>
  <c r="P116" i="4"/>
  <c r="K117" i="4"/>
  <c r="L117" i="4"/>
  <c r="M117" i="4"/>
  <c r="N117" i="4"/>
  <c r="P117" i="4"/>
  <c r="K118" i="4"/>
  <c r="L118" i="4"/>
  <c r="M118" i="4"/>
  <c r="N118" i="4"/>
  <c r="P118" i="4"/>
  <c r="K119" i="4"/>
  <c r="L119" i="4"/>
  <c r="M119" i="4"/>
  <c r="N119" i="4"/>
  <c r="P119" i="4"/>
  <c r="K120" i="4"/>
  <c r="L120" i="4"/>
  <c r="M120" i="4"/>
  <c r="N120" i="4"/>
  <c r="P120" i="4"/>
  <c r="K121" i="4"/>
  <c r="L121" i="4"/>
  <c r="M121" i="4"/>
  <c r="N121" i="4"/>
  <c r="P121" i="4"/>
  <c r="K122" i="4"/>
  <c r="L122" i="4"/>
  <c r="M122" i="4"/>
  <c r="N122" i="4"/>
  <c r="P122" i="4"/>
  <c r="K123" i="4"/>
  <c r="L123" i="4"/>
  <c r="M123" i="4"/>
  <c r="N123" i="4"/>
  <c r="P123" i="4"/>
  <c r="K124" i="4"/>
  <c r="L124" i="4"/>
  <c r="M124" i="4"/>
  <c r="N124" i="4"/>
  <c r="P124" i="4"/>
  <c r="K125" i="4"/>
  <c r="L125" i="4"/>
  <c r="M125" i="4"/>
  <c r="N125" i="4"/>
  <c r="P125" i="4"/>
  <c r="K126" i="4"/>
  <c r="L126" i="4"/>
  <c r="M126" i="4"/>
  <c r="N126" i="4"/>
  <c r="P126" i="4"/>
  <c r="K127" i="4"/>
  <c r="L127" i="4"/>
  <c r="M127" i="4"/>
  <c r="N127" i="4"/>
  <c r="P127" i="4"/>
  <c r="K128" i="4"/>
  <c r="L128" i="4"/>
  <c r="M128" i="4"/>
  <c r="N128" i="4"/>
  <c r="P128" i="4"/>
  <c r="K129" i="4"/>
  <c r="L129" i="4"/>
  <c r="M129" i="4"/>
  <c r="N129" i="4"/>
  <c r="P129" i="4"/>
  <c r="K130" i="4"/>
  <c r="L130" i="4"/>
  <c r="M130" i="4"/>
  <c r="N130" i="4"/>
  <c r="P130" i="4"/>
  <c r="K131" i="4"/>
  <c r="L131" i="4"/>
  <c r="M131" i="4"/>
  <c r="N131" i="4"/>
  <c r="P131" i="4"/>
  <c r="K132" i="4"/>
  <c r="L132" i="4"/>
  <c r="M132" i="4"/>
  <c r="N132" i="4"/>
  <c r="P132" i="4"/>
  <c r="K133" i="4"/>
  <c r="L133" i="4"/>
  <c r="M133" i="4"/>
  <c r="N133" i="4"/>
  <c r="P133" i="4"/>
  <c r="K134" i="4"/>
  <c r="L134" i="4"/>
  <c r="M134" i="4"/>
  <c r="N134" i="4"/>
  <c r="P134" i="4"/>
  <c r="K135" i="4"/>
  <c r="L135" i="4"/>
  <c r="M135" i="4"/>
  <c r="N135" i="4"/>
  <c r="P135" i="4"/>
  <c r="K136" i="4"/>
  <c r="L136" i="4"/>
  <c r="M136" i="4"/>
  <c r="N136" i="4"/>
  <c r="P136" i="4"/>
  <c r="K137" i="4"/>
  <c r="L137" i="4"/>
  <c r="M137" i="4"/>
  <c r="N137" i="4"/>
  <c r="P137" i="4"/>
  <c r="K138" i="4"/>
  <c r="L138" i="4"/>
  <c r="M138" i="4"/>
  <c r="N138" i="4"/>
  <c r="P138" i="4"/>
  <c r="K139" i="4"/>
  <c r="L139" i="4"/>
  <c r="M139" i="4"/>
  <c r="N139" i="4"/>
  <c r="P139" i="4"/>
  <c r="K140" i="4"/>
  <c r="L140" i="4"/>
  <c r="M140" i="4"/>
  <c r="N140" i="4"/>
  <c r="P140" i="4"/>
  <c r="K141" i="4"/>
  <c r="L141" i="4"/>
  <c r="M141" i="4"/>
  <c r="N141" i="4"/>
  <c r="P141" i="4"/>
  <c r="K142" i="4"/>
  <c r="L142" i="4"/>
  <c r="M142" i="4"/>
  <c r="N142" i="4"/>
  <c r="P142" i="4"/>
  <c r="K143" i="4"/>
  <c r="L143" i="4"/>
  <c r="M143" i="4"/>
  <c r="N143" i="4"/>
  <c r="P143" i="4"/>
  <c r="K144" i="4"/>
  <c r="L144" i="4"/>
  <c r="M144" i="4"/>
  <c r="N144" i="4"/>
  <c r="P144" i="4"/>
  <c r="K145" i="4"/>
  <c r="L145" i="4"/>
  <c r="M145" i="4"/>
  <c r="N145" i="4"/>
  <c r="P145" i="4"/>
  <c r="K146" i="4"/>
  <c r="L146" i="4"/>
  <c r="M146" i="4"/>
  <c r="N146" i="4"/>
  <c r="P146" i="4"/>
  <c r="K147" i="4"/>
  <c r="L147" i="4"/>
  <c r="M147" i="4"/>
  <c r="N147" i="4"/>
  <c r="P147" i="4"/>
  <c r="K148" i="4"/>
  <c r="L148" i="4"/>
  <c r="M148" i="4"/>
  <c r="N148" i="4"/>
  <c r="P148" i="4"/>
  <c r="K149" i="4"/>
  <c r="L149" i="4"/>
  <c r="M149" i="4"/>
  <c r="N149" i="4"/>
  <c r="P149" i="4"/>
  <c r="K150" i="4"/>
  <c r="L150" i="4"/>
  <c r="M150" i="4"/>
  <c r="N150" i="4"/>
  <c r="P150" i="4"/>
  <c r="K151" i="4"/>
  <c r="L151" i="4"/>
  <c r="M151" i="4"/>
  <c r="N151" i="4"/>
  <c r="P151" i="4"/>
  <c r="K152" i="4"/>
  <c r="L152" i="4"/>
  <c r="M152" i="4"/>
  <c r="N152" i="4"/>
  <c r="P152" i="4"/>
  <c r="K153" i="4"/>
  <c r="L153" i="4"/>
  <c r="M153" i="4"/>
  <c r="N153" i="4"/>
  <c r="P153" i="4"/>
  <c r="K154" i="4"/>
  <c r="L154" i="4"/>
  <c r="M154" i="4"/>
  <c r="N154" i="4"/>
  <c r="P154" i="4"/>
  <c r="K155" i="4"/>
  <c r="L155" i="4"/>
  <c r="M155" i="4"/>
  <c r="N155" i="4"/>
  <c r="P155" i="4"/>
  <c r="K156" i="4"/>
  <c r="L156" i="4"/>
  <c r="M156" i="4"/>
  <c r="N156" i="4"/>
  <c r="P156" i="4"/>
  <c r="K157" i="4"/>
  <c r="L157" i="4"/>
  <c r="M157" i="4"/>
  <c r="N157" i="4"/>
  <c r="P157" i="4"/>
  <c r="K158" i="4"/>
  <c r="L158" i="4"/>
  <c r="M158" i="4"/>
  <c r="N158" i="4"/>
  <c r="P158" i="4"/>
  <c r="K159" i="4"/>
  <c r="L159" i="4"/>
  <c r="M159" i="4"/>
  <c r="N159" i="4"/>
  <c r="P159" i="4"/>
  <c r="K160" i="4"/>
  <c r="L160" i="4"/>
  <c r="M160" i="4"/>
  <c r="N160" i="4"/>
  <c r="P160" i="4"/>
  <c r="K161" i="4"/>
  <c r="L161" i="4"/>
  <c r="M161" i="4"/>
  <c r="N161" i="4"/>
  <c r="P161" i="4"/>
  <c r="K162" i="4"/>
  <c r="L162" i="4"/>
  <c r="M162" i="4"/>
  <c r="N162" i="4"/>
  <c r="P162" i="4"/>
  <c r="K163" i="4"/>
  <c r="L163" i="4"/>
  <c r="M163" i="4"/>
  <c r="N163" i="4"/>
  <c r="P163" i="4"/>
  <c r="K164" i="4"/>
  <c r="L164" i="4"/>
  <c r="M164" i="4"/>
  <c r="N164" i="4"/>
  <c r="P164" i="4"/>
  <c r="K165" i="4"/>
  <c r="L165" i="4"/>
  <c r="M165" i="4"/>
  <c r="N165" i="4"/>
  <c r="P165" i="4"/>
  <c r="K166" i="4"/>
  <c r="L166" i="4"/>
  <c r="M166" i="4"/>
  <c r="N166" i="4"/>
  <c r="P166" i="4"/>
  <c r="K167" i="4"/>
  <c r="L167" i="4"/>
  <c r="M167" i="4"/>
  <c r="N167" i="4"/>
  <c r="P167" i="4"/>
  <c r="K168" i="4"/>
  <c r="L168" i="4"/>
  <c r="M168" i="4"/>
  <c r="N168" i="4"/>
  <c r="P168" i="4"/>
  <c r="K169" i="4"/>
  <c r="L169" i="4"/>
  <c r="M169" i="4"/>
  <c r="N169" i="4"/>
  <c r="P169" i="4"/>
  <c r="K170" i="4"/>
  <c r="L170" i="4"/>
  <c r="M170" i="4"/>
  <c r="N170" i="4"/>
  <c r="P170" i="4"/>
  <c r="K171" i="4"/>
  <c r="L171" i="4"/>
  <c r="M171" i="4"/>
  <c r="N171" i="4"/>
  <c r="P171" i="4"/>
  <c r="K172" i="4"/>
  <c r="L172" i="4"/>
  <c r="M172" i="4"/>
  <c r="N172" i="4"/>
  <c r="P172" i="4"/>
  <c r="K173" i="4"/>
  <c r="L173" i="4"/>
  <c r="M173" i="4"/>
  <c r="N173" i="4"/>
  <c r="P173" i="4"/>
  <c r="K174" i="4"/>
  <c r="L174" i="4"/>
  <c r="M174" i="4"/>
  <c r="N174" i="4"/>
  <c r="P174" i="4"/>
  <c r="K175" i="4"/>
  <c r="L175" i="4"/>
  <c r="M175" i="4"/>
  <c r="N175" i="4"/>
  <c r="P175" i="4"/>
  <c r="K176" i="4"/>
  <c r="L176" i="4"/>
  <c r="M176" i="4"/>
  <c r="N176" i="4"/>
  <c r="P176" i="4"/>
  <c r="K177" i="4"/>
  <c r="L177" i="4"/>
  <c r="M177" i="4"/>
  <c r="N177" i="4"/>
  <c r="P177" i="4"/>
  <c r="K178" i="4"/>
  <c r="L178" i="4"/>
  <c r="M178" i="4"/>
  <c r="N178" i="4"/>
  <c r="P178" i="4"/>
  <c r="K179" i="4"/>
  <c r="L179" i="4"/>
  <c r="M179" i="4"/>
  <c r="N179" i="4"/>
  <c r="P179" i="4"/>
  <c r="K180" i="4"/>
  <c r="L180" i="4"/>
  <c r="M180" i="4"/>
  <c r="N180" i="4"/>
  <c r="P180" i="4"/>
  <c r="K181" i="4"/>
  <c r="L181" i="4"/>
  <c r="M181" i="4"/>
  <c r="N181" i="4"/>
  <c r="P181" i="4"/>
  <c r="K182" i="4"/>
  <c r="L182" i="4"/>
  <c r="M182" i="4"/>
  <c r="N182" i="4"/>
  <c r="P182" i="4"/>
  <c r="K183" i="4"/>
  <c r="L183" i="4"/>
  <c r="M183" i="4"/>
  <c r="N183" i="4"/>
  <c r="P183" i="4"/>
  <c r="K184" i="4"/>
  <c r="L184" i="4"/>
  <c r="M184" i="4"/>
  <c r="N184" i="4"/>
  <c r="P184" i="4"/>
  <c r="K185" i="4"/>
  <c r="L185" i="4"/>
  <c r="M185" i="4"/>
  <c r="N185" i="4"/>
  <c r="P185" i="4"/>
  <c r="K186" i="4"/>
  <c r="L186" i="4"/>
  <c r="M186" i="4"/>
  <c r="N186" i="4"/>
  <c r="P186" i="4"/>
  <c r="K187" i="4"/>
  <c r="L187" i="4"/>
  <c r="M187" i="4"/>
  <c r="N187" i="4"/>
  <c r="P187" i="4"/>
  <c r="K188" i="4"/>
  <c r="L188" i="4"/>
  <c r="M188" i="4"/>
  <c r="N188" i="4"/>
  <c r="P188" i="4"/>
  <c r="K189" i="4"/>
  <c r="L189" i="4"/>
  <c r="M189" i="4"/>
  <c r="N189" i="4"/>
  <c r="P189" i="4"/>
  <c r="K190" i="4"/>
  <c r="L190" i="4"/>
  <c r="M190" i="4"/>
  <c r="N190" i="4"/>
  <c r="P190" i="4"/>
  <c r="K191" i="4"/>
  <c r="L191" i="4"/>
  <c r="M191" i="4"/>
  <c r="N191" i="4"/>
  <c r="P191" i="4"/>
  <c r="K192" i="4"/>
  <c r="L192" i="4"/>
  <c r="M192" i="4"/>
  <c r="N192" i="4"/>
  <c r="P192" i="4"/>
  <c r="K193" i="4"/>
  <c r="L193" i="4"/>
  <c r="M193" i="4"/>
  <c r="N193" i="4"/>
  <c r="P193" i="4"/>
  <c r="K194" i="4"/>
  <c r="L194" i="4"/>
  <c r="M194" i="4"/>
  <c r="N194" i="4"/>
  <c r="P194" i="4"/>
  <c r="K195" i="4"/>
  <c r="L195" i="4"/>
  <c r="M195" i="4"/>
  <c r="N195" i="4"/>
  <c r="P195" i="4"/>
  <c r="K196" i="4"/>
  <c r="L196" i="4"/>
  <c r="M196" i="4"/>
  <c r="N196" i="4"/>
  <c r="P196" i="4"/>
  <c r="K197" i="4"/>
  <c r="L197" i="4"/>
  <c r="M197" i="4"/>
  <c r="N197" i="4"/>
  <c r="P197" i="4"/>
  <c r="K198" i="4"/>
  <c r="L198" i="4"/>
  <c r="M198" i="4"/>
  <c r="N198" i="4"/>
  <c r="P198" i="4"/>
  <c r="K199" i="4"/>
  <c r="L199" i="4"/>
  <c r="M199" i="4"/>
  <c r="N199" i="4"/>
  <c r="P199" i="4"/>
  <c r="K200" i="4"/>
  <c r="L200" i="4"/>
  <c r="M200" i="4"/>
  <c r="N200" i="4"/>
  <c r="P200" i="4"/>
  <c r="K201" i="4"/>
  <c r="L201" i="4"/>
  <c r="M201" i="4"/>
  <c r="N201" i="4"/>
  <c r="P201" i="4"/>
  <c r="K202" i="4"/>
  <c r="L202" i="4"/>
  <c r="M202" i="4"/>
  <c r="N202" i="4"/>
  <c r="P202" i="4"/>
  <c r="K203" i="4"/>
  <c r="L203" i="4"/>
  <c r="M203" i="4"/>
  <c r="N203" i="4"/>
  <c r="P203" i="4"/>
  <c r="K204" i="4"/>
  <c r="L204" i="4"/>
  <c r="M204" i="4"/>
  <c r="N204" i="4"/>
  <c r="P204" i="4"/>
  <c r="K205" i="4"/>
  <c r="L205" i="4"/>
  <c r="M205" i="4"/>
  <c r="N205" i="4"/>
  <c r="P205" i="4"/>
  <c r="K206" i="4"/>
  <c r="L206" i="4"/>
  <c r="M206" i="4"/>
  <c r="N206" i="4"/>
  <c r="P206" i="4"/>
  <c r="K207" i="4"/>
  <c r="L207" i="4"/>
  <c r="M207" i="4"/>
  <c r="N207" i="4"/>
  <c r="P207" i="4"/>
  <c r="K208" i="4"/>
  <c r="L208" i="4"/>
  <c r="M208" i="4"/>
  <c r="N208" i="4"/>
  <c r="P208" i="4"/>
  <c r="K209" i="4"/>
  <c r="L209" i="4"/>
  <c r="M209" i="4"/>
  <c r="N209" i="4"/>
  <c r="P209" i="4"/>
  <c r="K210" i="4"/>
  <c r="L210" i="4"/>
  <c r="M210" i="4"/>
  <c r="N210" i="4"/>
  <c r="P210" i="4"/>
  <c r="K211" i="4"/>
  <c r="L211" i="4"/>
  <c r="M211" i="4"/>
  <c r="N211" i="4"/>
  <c r="P211" i="4"/>
  <c r="K212" i="4"/>
  <c r="L212" i="4"/>
  <c r="M212" i="4"/>
  <c r="N212" i="4"/>
  <c r="P212" i="4"/>
  <c r="K213" i="4"/>
  <c r="L213" i="4"/>
  <c r="M213" i="4"/>
  <c r="N213" i="4"/>
  <c r="P213" i="4"/>
  <c r="K214" i="4"/>
  <c r="L214" i="4"/>
  <c r="M214" i="4"/>
  <c r="N214" i="4"/>
  <c r="P214" i="4"/>
  <c r="K215" i="4"/>
  <c r="L215" i="4"/>
  <c r="M215" i="4"/>
  <c r="N215" i="4"/>
  <c r="P215" i="4"/>
  <c r="K216" i="4"/>
  <c r="L216" i="4"/>
  <c r="M216" i="4"/>
  <c r="N216" i="4"/>
  <c r="P216" i="4"/>
  <c r="K217" i="4"/>
  <c r="L217" i="4"/>
  <c r="M217" i="4"/>
  <c r="N217" i="4"/>
  <c r="P217" i="4"/>
  <c r="K218" i="4"/>
  <c r="L218" i="4"/>
  <c r="M218" i="4"/>
  <c r="N218" i="4"/>
  <c r="P218" i="4"/>
  <c r="K219" i="4"/>
  <c r="L219" i="4"/>
  <c r="M219" i="4"/>
  <c r="N219" i="4"/>
  <c r="P219" i="4"/>
  <c r="K220" i="4"/>
  <c r="L220" i="4"/>
  <c r="M220" i="4"/>
  <c r="N220" i="4"/>
  <c r="P220" i="4"/>
  <c r="K221" i="4"/>
  <c r="L221" i="4"/>
  <c r="M221" i="4"/>
  <c r="N221" i="4"/>
  <c r="P221" i="4"/>
  <c r="K222" i="4"/>
  <c r="L222" i="4"/>
  <c r="M222" i="4"/>
  <c r="N222" i="4"/>
  <c r="P222" i="4"/>
  <c r="K223" i="4"/>
  <c r="L223" i="4"/>
  <c r="M223" i="4"/>
  <c r="N223" i="4"/>
  <c r="P223" i="4"/>
  <c r="K224" i="4"/>
  <c r="L224" i="4"/>
  <c r="M224" i="4"/>
  <c r="N224" i="4"/>
  <c r="P224" i="4"/>
  <c r="K225" i="4"/>
  <c r="L225" i="4"/>
  <c r="M225" i="4"/>
  <c r="N225" i="4"/>
  <c r="P225" i="4"/>
  <c r="K226" i="4"/>
  <c r="L226" i="4"/>
  <c r="M226" i="4"/>
  <c r="N226" i="4"/>
  <c r="P226" i="4"/>
  <c r="K227" i="4"/>
  <c r="L227" i="4"/>
  <c r="M227" i="4"/>
  <c r="N227" i="4"/>
  <c r="P227" i="4"/>
  <c r="K228" i="4"/>
  <c r="L228" i="4"/>
  <c r="M228" i="4"/>
  <c r="N228" i="4"/>
  <c r="P228" i="4"/>
  <c r="K229" i="4"/>
  <c r="L229" i="4"/>
  <c r="M229" i="4"/>
  <c r="N229" i="4"/>
  <c r="P229" i="4"/>
  <c r="K230" i="4"/>
  <c r="L230" i="4"/>
  <c r="M230" i="4"/>
  <c r="N230" i="4"/>
  <c r="P230" i="4"/>
  <c r="K231" i="4"/>
  <c r="L231" i="4"/>
  <c r="M231" i="4"/>
  <c r="N231" i="4"/>
  <c r="P231" i="4"/>
  <c r="K232" i="4"/>
  <c r="L232" i="4"/>
  <c r="M232" i="4"/>
  <c r="N232" i="4"/>
  <c r="P232" i="4"/>
  <c r="K233" i="4"/>
  <c r="L233" i="4"/>
  <c r="M233" i="4"/>
  <c r="N233" i="4"/>
  <c r="P233" i="4"/>
  <c r="K234" i="4"/>
  <c r="L234" i="4"/>
  <c r="M234" i="4"/>
  <c r="N234" i="4"/>
  <c r="P234" i="4"/>
  <c r="K235" i="4"/>
  <c r="L235" i="4"/>
  <c r="M235" i="4"/>
  <c r="N235" i="4"/>
  <c r="P235" i="4"/>
  <c r="K236" i="4"/>
  <c r="L236" i="4"/>
  <c r="M236" i="4"/>
  <c r="N236" i="4"/>
  <c r="P236" i="4"/>
  <c r="K237" i="4"/>
  <c r="L237" i="4"/>
  <c r="M237" i="4"/>
  <c r="N237" i="4"/>
  <c r="P237" i="4"/>
  <c r="K238" i="4"/>
  <c r="L238" i="4"/>
  <c r="M238" i="4"/>
  <c r="N238" i="4"/>
  <c r="P238" i="4"/>
  <c r="K239" i="4"/>
  <c r="L239" i="4"/>
  <c r="M239" i="4"/>
  <c r="N239" i="4"/>
  <c r="P239" i="4"/>
  <c r="K240" i="4"/>
  <c r="L240" i="4"/>
  <c r="M240" i="4"/>
  <c r="N240" i="4"/>
  <c r="P240" i="4"/>
  <c r="K241" i="4"/>
  <c r="L241" i="4"/>
  <c r="M241" i="4"/>
  <c r="N241" i="4"/>
  <c r="P241" i="4"/>
  <c r="K242" i="4"/>
  <c r="L242" i="4"/>
  <c r="M242" i="4"/>
  <c r="N242" i="4"/>
  <c r="P242" i="4"/>
  <c r="K243" i="4"/>
  <c r="L243" i="4"/>
  <c r="M243" i="4"/>
  <c r="N243" i="4"/>
  <c r="P243" i="4"/>
  <c r="K244" i="4"/>
  <c r="L244" i="4"/>
  <c r="M244" i="4"/>
  <c r="N244" i="4"/>
  <c r="P244" i="4"/>
  <c r="K245" i="4"/>
  <c r="L245" i="4"/>
  <c r="M245" i="4"/>
  <c r="N245" i="4"/>
  <c r="P245" i="4"/>
  <c r="K246" i="4"/>
  <c r="L246" i="4"/>
  <c r="M246" i="4"/>
  <c r="N246" i="4"/>
  <c r="P246" i="4"/>
  <c r="K247" i="4"/>
  <c r="L247" i="4"/>
  <c r="M247" i="4"/>
  <c r="N247" i="4"/>
  <c r="P247" i="4"/>
  <c r="K248" i="4"/>
  <c r="L248" i="4"/>
  <c r="M248" i="4"/>
  <c r="N248" i="4"/>
  <c r="P248" i="4"/>
  <c r="K249" i="4"/>
  <c r="L249" i="4"/>
  <c r="M249" i="4"/>
  <c r="N249" i="4"/>
  <c r="P249" i="4"/>
  <c r="K250" i="4"/>
  <c r="L250" i="4"/>
  <c r="M250" i="4"/>
  <c r="N250" i="4"/>
  <c r="P250" i="4"/>
  <c r="K251" i="4"/>
  <c r="L251" i="4"/>
  <c r="M251" i="4"/>
  <c r="N251" i="4"/>
  <c r="P251" i="4"/>
  <c r="K252" i="4"/>
  <c r="L252" i="4"/>
  <c r="M252" i="4"/>
  <c r="N252" i="4"/>
  <c r="P252" i="4"/>
  <c r="K253" i="4"/>
  <c r="L253" i="4"/>
  <c r="M253" i="4"/>
  <c r="N253" i="4"/>
  <c r="P253" i="4"/>
  <c r="K254" i="4"/>
  <c r="L254" i="4"/>
  <c r="M254" i="4"/>
  <c r="N254" i="4"/>
  <c r="P254" i="4"/>
  <c r="K255" i="4"/>
  <c r="L255" i="4"/>
  <c r="M255" i="4"/>
  <c r="N255" i="4"/>
  <c r="P255" i="4"/>
  <c r="K256" i="4"/>
  <c r="L256" i="4"/>
  <c r="M256" i="4"/>
  <c r="N256" i="4"/>
  <c r="P256" i="4"/>
  <c r="K257" i="4"/>
  <c r="L257" i="4"/>
  <c r="M257" i="4"/>
  <c r="N257" i="4"/>
  <c r="P257" i="4"/>
  <c r="K258" i="4"/>
  <c r="L258" i="4"/>
  <c r="M258" i="4"/>
  <c r="N258" i="4"/>
  <c r="P258" i="4"/>
  <c r="K259" i="4"/>
  <c r="L259" i="4"/>
  <c r="M259" i="4"/>
  <c r="N259" i="4"/>
  <c r="P259" i="4"/>
  <c r="K260" i="4"/>
  <c r="L260" i="4"/>
  <c r="M260" i="4"/>
  <c r="N260" i="4"/>
  <c r="P260" i="4"/>
  <c r="K261" i="4"/>
  <c r="L261" i="4"/>
  <c r="M261" i="4"/>
  <c r="N261" i="4"/>
  <c r="P261" i="4"/>
  <c r="K262" i="4"/>
  <c r="L262" i="4"/>
  <c r="M262" i="4"/>
  <c r="N262" i="4"/>
  <c r="P262" i="4"/>
  <c r="K263" i="4"/>
  <c r="L263" i="4"/>
  <c r="M263" i="4"/>
  <c r="N263" i="4"/>
  <c r="P263" i="4"/>
  <c r="K264" i="4"/>
  <c r="L264" i="4"/>
  <c r="M264" i="4"/>
  <c r="N264" i="4"/>
  <c r="P264" i="4"/>
  <c r="K265" i="4"/>
  <c r="L265" i="4"/>
  <c r="M265" i="4"/>
  <c r="N265" i="4"/>
  <c r="P265" i="4"/>
  <c r="K266" i="4"/>
  <c r="L266" i="4"/>
  <c r="M266" i="4"/>
  <c r="N266" i="4"/>
  <c r="P266" i="4"/>
  <c r="K267" i="4"/>
  <c r="L267" i="4"/>
  <c r="M267" i="4"/>
  <c r="N267" i="4"/>
  <c r="P267" i="4"/>
  <c r="K268" i="4"/>
  <c r="L268" i="4"/>
  <c r="M268" i="4"/>
  <c r="N268" i="4"/>
  <c r="P268" i="4"/>
  <c r="K269" i="4"/>
  <c r="L269" i="4"/>
  <c r="M269" i="4"/>
  <c r="N269" i="4"/>
  <c r="P269" i="4"/>
  <c r="K270" i="4"/>
  <c r="L270" i="4"/>
  <c r="M270" i="4"/>
  <c r="N270" i="4"/>
  <c r="P270" i="4"/>
  <c r="K271" i="4"/>
  <c r="L271" i="4"/>
  <c r="M271" i="4"/>
  <c r="N271" i="4"/>
  <c r="P271" i="4"/>
  <c r="K272" i="4"/>
  <c r="L272" i="4"/>
  <c r="M272" i="4"/>
  <c r="N272" i="4"/>
  <c r="P272" i="4"/>
  <c r="K273" i="4"/>
  <c r="L273" i="4"/>
  <c r="M273" i="4"/>
  <c r="N273" i="4"/>
  <c r="P273" i="4"/>
  <c r="K274" i="4"/>
  <c r="L274" i="4"/>
  <c r="M274" i="4"/>
  <c r="N274" i="4"/>
  <c r="P274" i="4"/>
  <c r="K275" i="4"/>
  <c r="L275" i="4"/>
  <c r="M275" i="4"/>
  <c r="N275" i="4"/>
  <c r="P275" i="4"/>
  <c r="K276" i="4"/>
  <c r="L276" i="4"/>
  <c r="M276" i="4"/>
  <c r="N276" i="4"/>
  <c r="P276" i="4"/>
  <c r="K277" i="4"/>
  <c r="L277" i="4"/>
  <c r="M277" i="4"/>
  <c r="N277" i="4"/>
  <c r="P277" i="4"/>
  <c r="K278" i="4"/>
  <c r="L278" i="4"/>
  <c r="M278" i="4"/>
  <c r="N278" i="4"/>
  <c r="P278" i="4"/>
  <c r="K279" i="4"/>
  <c r="L279" i="4"/>
  <c r="M279" i="4"/>
  <c r="N279" i="4"/>
  <c r="P279" i="4"/>
  <c r="K280" i="4"/>
  <c r="L280" i="4"/>
  <c r="M280" i="4"/>
  <c r="N280" i="4"/>
  <c r="P280" i="4"/>
  <c r="K281" i="4"/>
  <c r="L281" i="4"/>
  <c r="M281" i="4"/>
  <c r="N281" i="4"/>
  <c r="P281" i="4"/>
  <c r="K282" i="4"/>
  <c r="L282" i="4"/>
  <c r="M282" i="4"/>
  <c r="N282" i="4"/>
  <c r="P282" i="4"/>
  <c r="K283" i="4"/>
  <c r="L283" i="4"/>
  <c r="M283" i="4"/>
  <c r="N283" i="4"/>
  <c r="P283" i="4"/>
  <c r="K284" i="4"/>
  <c r="L284" i="4"/>
  <c r="M284" i="4"/>
  <c r="N284" i="4"/>
  <c r="P284" i="4"/>
  <c r="K285" i="4"/>
  <c r="L285" i="4"/>
  <c r="M285" i="4"/>
  <c r="N285" i="4"/>
  <c r="P285" i="4"/>
  <c r="K286" i="4"/>
  <c r="L286" i="4"/>
  <c r="M286" i="4"/>
  <c r="N286" i="4"/>
  <c r="P286" i="4"/>
  <c r="K287" i="4"/>
  <c r="L287" i="4"/>
  <c r="M287" i="4"/>
  <c r="N287" i="4"/>
  <c r="P287" i="4"/>
  <c r="K288" i="4"/>
  <c r="L288" i="4"/>
  <c r="M288" i="4"/>
  <c r="N288" i="4"/>
  <c r="P288" i="4"/>
  <c r="K289" i="4"/>
  <c r="L289" i="4"/>
  <c r="M289" i="4"/>
  <c r="N289" i="4"/>
  <c r="P289" i="4"/>
  <c r="K290" i="4"/>
  <c r="L290" i="4"/>
  <c r="M290" i="4"/>
  <c r="N290" i="4"/>
  <c r="P290" i="4"/>
  <c r="K291" i="4"/>
  <c r="L291" i="4"/>
  <c r="M291" i="4"/>
  <c r="N291" i="4"/>
  <c r="P291" i="4"/>
  <c r="K292" i="4"/>
  <c r="L292" i="4"/>
  <c r="M292" i="4"/>
  <c r="N292" i="4"/>
  <c r="P292" i="4"/>
  <c r="K293" i="4"/>
  <c r="L293" i="4"/>
  <c r="M293" i="4"/>
  <c r="N293" i="4"/>
  <c r="P293" i="4"/>
  <c r="K294" i="4"/>
  <c r="L294" i="4"/>
  <c r="M294" i="4"/>
  <c r="N294" i="4"/>
  <c r="P294" i="4"/>
  <c r="K295" i="4"/>
  <c r="L295" i="4"/>
  <c r="M295" i="4"/>
  <c r="N295" i="4"/>
  <c r="P295" i="4"/>
  <c r="K296" i="4"/>
  <c r="L296" i="4"/>
  <c r="M296" i="4"/>
  <c r="N296" i="4"/>
  <c r="P296" i="4"/>
  <c r="K297" i="4"/>
  <c r="L297" i="4"/>
  <c r="M297" i="4"/>
  <c r="N297" i="4"/>
  <c r="P297" i="4"/>
  <c r="K298" i="4"/>
  <c r="L298" i="4"/>
  <c r="M298" i="4"/>
  <c r="N298" i="4"/>
  <c r="P298" i="4"/>
  <c r="K299" i="4"/>
  <c r="L299" i="4"/>
  <c r="M299" i="4"/>
  <c r="N299" i="4"/>
  <c r="P299" i="4"/>
  <c r="K300" i="4"/>
  <c r="L300" i="4"/>
  <c r="M300" i="4"/>
  <c r="N300" i="4"/>
  <c r="P300" i="4"/>
  <c r="K301" i="4"/>
  <c r="L301" i="4"/>
  <c r="M301" i="4"/>
  <c r="N301" i="4"/>
  <c r="P301" i="4"/>
  <c r="K302" i="4"/>
  <c r="L302" i="4"/>
  <c r="M302" i="4"/>
  <c r="N302" i="4"/>
  <c r="P302" i="4"/>
  <c r="K303" i="4"/>
  <c r="L303" i="4"/>
  <c r="M303" i="4"/>
  <c r="N303" i="4"/>
  <c r="P303" i="4"/>
  <c r="K304" i="4"/>
  <c r="L304" i="4"/>
  <c r="M304" i="4"/>
  <c r="N304" i="4"/>
  <c r="P304" i="4"/>
  <c r="K305" i="4"/>
  <c r="L305" i="4"/>
  <c r="M305" i="4"/>
  <c r="N305" i="4"/>
  <c r="P305" i="4"/>
  <c r="K306" i="4"/>
  <c r="L306" i="4"/>
  <c r="M306" i="4"/>
  <c r="N306" i="4"/>
  <c r="P306" i="4"/>
  <c r="K307" i="4"/>
  <c r="L307" i="4"/>
  <c r="M307" i="4"/>
  <c r="N307" i="4"/>
  <c r="P307" i="4"/>
  <c r="K308" i="4"/>
  <c r="L308" i="4"/>
  <c r="M308" i="4"/>
  <c r="N308" i="4"/>
  <c r="P308" i="4"/>
  <c r="K309" i="4"/>
  <c r="L309" i="4"/>
  <c r="M309" i="4"/>
  <c r="N309" i="4"/>
  <c r="P309" i="4"/>
  <c r="K310" i="4"/>
  <c r="L310" i="4"/>
  <c r="M310" i="4"/>
  <c r="N310" i="4"/>
  <c r="P310" i="4"/>
  <c r="K311" i="4"/>
  <c r="L311" i="4"/>
  <c r="M311" i="4"/>
  <c r="N311" i="4"/>
  <c r="P311" i="4"/>
  <c r="K312" i="4"/>
  <c r="L312" i="4"/>
  <c r="M312" i="4"/>
  <c r="N312" i="4"/>
  <c r="P312" i="4"/>
  <c r="K313" i="4"/>
  <c r="L313" i="4"/>
  <c r="M313" i="4"/>
  <c r="N313" i="4"/>
  <c r="P313" i="4"/>
  <c r="K314" i="4"/>
  <c r="L314" i="4"/>
  <c r="M314" i="4"/>
  <c r="N314" i="4"/>
  <c r="P314" i="4"/>
  <c r="K315" i="4"/>
  <c r="L315" i="4"/>
  <c r="M315" i="4"/>
  <c r="N315" i="4"/>
  <c r="P315" i="4"/>
  <c r="K316" i="4"/>
  <c r="L316" i="4"/>
  <c r="M316" i="4"/>
  <c r="N316" i="4"/>
  <c r="P316" i="4"/>
  <c r="K317" i="4"/>
  <c r="L317" i="4"/>
  <c r="M317" i="4"/>
  <c r="N317" i="4"/>
  <c r="P317" i="4"/>
  <c r="K318" i="4"/>
  <c r="L318" i="4"/>
  <c r="M318" i="4"/>
  <c r="N318" i="4"/>
  <c r="P318" i="4"/>
  <c r="K319" i="4"/>
  <c r="L319" i="4"/>
  <c r="M319" i="4"/>
  <c r="N319" i="4"/>
  <c r="P319" i="4"/>
  <c r="K320" i="4"/>
  <c r="L320" i="4"/>
  <c r="M320" i="4"/>
  <c r="N320" i="4"/>
  <c r="P320" i="4"/>
  <c r="K321" i="4"/>
  <c r="L321" i="4"/>
  <c r="M321" i="4"/>
  <c r="N321" i="4"/>
  <c r="P321" i="4"/>
  <c r="K322" i="4"/>
  <c r="L322" i="4"/>
  <c r="M322" i="4"/>
  <c r="N322" i="4"/>
  <c r="P322" i="4"/>
  <c r="K323" i="4"/>
  <c r="L323" i="4"/>
  <c r="M323" i="4"/>
  <c r="N323" i="4"/>
  <c r="P323" i="4"/>
  <c r="K324" i="4"/>
  <c r="L324" i="4"/>
  <c r="M324" i="4"/>
  <c r="N324" i="4"/>
  <c r="P324" i="4"/>
  <c r="K325" i="4"/>
  <c r="L325" i="4"/>
  <c r="M325" i="4"/>
  <c r="N325" i="4"/>
  <c r="P325" i="4"/>
  <c r="K326" i="4"/>
  <c r="L326" i="4"/>
  <c r="M326" i="4"/>
  <c r="N326" i="4"/>
  <c r="P326" i="4"/>
  <c r="K327" i="4"/>
  <c r="L327" i="4"/>
  <c r="M327" i="4"/>
  <c r="N327" i="4"/>
  <c r="P327" i="4"/>
  <c r="K328" i="4"/>
  <c r="L328" i="4"/>
  <c r="M328" i="4"/>
  <c r="N328" i="4"/>
  <c r="P328" i="4"/>
  <c r="K329" i="4"/>
  <c r="L329" i="4"/>
  <c r="M329" i="4"/>
  <c r="N329" i="4"/>
  <c r="P329" i="4"/>
  <c r="K330" i="4"/>
  <c r="L330" i="4"/>
  <c r="M330" i="4"/>
  <c r="N330" i="4"/>
  <c r="P330" i="4"/>
  <c r="K331" i="4"/>
  <c r="L331" i="4"/>
  <c r="M331" i="4"/>
  <c r="N331" i="4"/>
  <c r="P331" i="4"/>
  <c r="K332" i="4"/>
  <c r="L332" i="4"/>
  <c r="M332" i="4"/>
  <c r="N332" i="4"/>
  <c r="P332" i="4"/>
  <c r="K333" i="4"/>
  <c r="L333" i="4"/>
  <c r="M333" i="4"/>
  <c r="N333" i="4"/>
  <c r="P333" i="4"/>
  <c r="K334" i="4"/>
  <c r="L334" i="4"/>
  <c r="M334" i="4"/>
  <c r="N334" i="4"/>
  <c r="P334" i="4"/>
  <c r="K335" i="4"/>
  <c r="L335" i="4"/>
  <c r="M335" i="4"/>
  <c r="N335" i="4"/>
  <c r="P335" i="4"/>
  <c r="K336" i="4"/>
  <c r="L336" i="4"/>
  <c r="M336" i="4"/>
  <c r="N336" i="4"/>
  <c r="P336" i="4"/>
  <c r="K337" i="4"/>
  <c r="L337" i="4"/>
  <c r="M337" i="4"/>
  <c r="N337" i="4"/>
  <c r="P337" i="4"/>
  <c r="K338" i="4"/>
  <c r="L338" i="4"/>
  <c r="M338" i="4"/>
  <c r="N338" i="4"/>
  <c r="P338" i="4"/>
  <c r="K339" i="4"/>
  <c r="L339" i="4"/>
  <c r="M339" i="4"/>
  <c r="N339" i="4"/>
  <c r="P339" i="4"/>
  <c r="K340" i="4"/>
  <c r="L340" i="4"/>
  <c r="M340" i="4"/>
  <c r="N340" i="4"/>
  <c r="P340" i="4"/>
  <c r="K341" i="4"/>
  <c r="L341" i="4"/>
  <c r="M341" i="4"/>
  <c r="N341" i="4"/>
  <c r="P341" i="4"/>
  <c r="K342" i="4"/>
  <c r="L342" i="4"/>
  <c r="M342" i="4"/>
  <c r="N342" i="4"/>
  <c r="P342" i="4"/>
  <c r="K343" i="4"/>
  <c r="L343" i="4"/>
  <c r="M343" i="4"/>
  <c r="N343" i="4"/>
  <c r="P343" i="4"/>
  <c r="K344" i="4"/>
  <c r="L344" i="4"/>
  <c r="M344" i="4"/>
  <c r="N344" i="4"/>
  <c r="P344" i="4"/>
  <c r="K345" i="4"/>
  <c r="L345" i="4"/>
  <c r="M345" i="4"/>
  <c r="N345" i="4"/>
  <c r="P345" i="4"/>
  <c r="K346" i="4"/>
  <c r="L346" i="4"/>
  <c r="M346" i="4"/>
  <c r="N346" i="4"/>
  <c r="P346" i="4"/>
  <c r="K347" i="4"/>
  <c r="L347" i="4"/>
  <c r="M347" i="4"/>
  <c r="N347" i="4"/>
  <c r="P347" i="4"/>
  <c r="K348" i="4"/>
  <c r="L348" i="4"/>
  <c r="M348" i="4"/>
  <c r="N348" i="4"/>
  <c r="P348" i="4"/>
  <c r="K349" i="4"/>
  <c r="L349" i="4"/>
  <c r="M349" i="4"/>
  <c r="N349" i="4"/>
  <c r="P349" i="4"/>
  <c r="K350" i="4"/>
  <c r="L350" i="4"/>
  <c r="M350" i="4"/>
  <c r="N350" i="4"/>
  <c r="P350" i="4"/>
  <c r="K351" i="4"/>
  <c r="L351" i="4"/>
  <c r="M351" i="4"/>
  <c r="N351" i="4"/>
  <c r="P351" i="4"/>
  <c r="K352" i="4"/>
  <c r="L352" i="4"/>
  <c r="M352" i="4"/>
  <c r="N352" i="4"/>
  <c r="P352" i="4"/>
  <c r="K353" i="4"/>
  <c r="L353" i="4"/>
  <c r="M353" i="4"/>
  <c r="N353" i="4"/>
  <c r="P353" i="4"/>
  <c r="K354" i="4"/>
  <c r="L354" i="4"/>
  <c r="M354" i="4"/>
  <c r="N354" i="4"/>
  <c r="P354" i="4"/>
  <c r="K355" i="4"/>
  <c r="L355" i="4"/>
  <c r="M355" i="4"/>
  <c r="N355" i="4"/>
  <c r="P355" i="4"/>
  <c r="K356" i="4"/>
  <c r="L356" i="4"/>
  <c r="M356" i="4"/>
  <c r="N356" i="4"/>
  <c r="P356" i="4"/>
  <c r="K357" i="4"/>
  <c r="L357" i="4"/>
  <c r="M357" i="4"/>
  <c r="N357" i="4"/>
  <c r="P357" i="4"/>
  <c r="K358" i="4"/>
  <c r="L358" i="4"/>
  <c r="M358" i="4"/>
  <c r="N358" i="4"/>
  <c r="P358" i="4"/>
  <c r="K359" i="4"/>
  <c r="L359" i="4"/>
  <c r="M359" i="4"/>
  <c r="N359" i="4"/>
  <c r="P359" i="4"/>
  <c r="K360" i="4"/>
  <c r="L360" i="4"/>
  <c r="M360" i="4"/>
  <c r="N360" i="4"/>
  <c r="P360" i="4"/>
  <c r="K361" i="4"/>
  <c r="L361" i="4"/>
  <c r="M361" i="4"/>
  <c r="N361" i="4"/>
  <c r="P361" i="4"/>
  <c r="K362" i="4"/>
  <c r="L362" i="4"/>
  <c r="M362" i="4"/>
  <c r="N362" i="4"/>
  <c r="P362" i="4"/>
  <c r="K363" i="4"/>
  <c r="L363" i="4"/>
  <c r="M363" i="4"/>
  <c r="N363" i="4"/>
  <c r="P363" i="4"/>
  <c r="K364" i="4"/>
  <c r="L364" i="4"/>
  <c r="M364" i="4"/>
  <c r="N364" i="4"/>
  <c r="P364" i="4"/>
  <c r="K365" i="4"/>
  <c r="L365" i="4"/>
  <c r="M365" i="4"/>
  <c r="N365" i="4"/>
  <c r="P365" i="4"/>
  <c r="K366" i="4"/>
  <c r="L366" i="4"/>
  <c r="M366" i="4"/>
  <c r="N366" i="4"/>
  <c r="P366" i="4"/>
  <c r="K367" i="4"/>
  <c r="L367" i="4"/>
  <c r="M367" i="4"/>
  <c r="N367" i="4"/>
  <c r="P367" i="4"/>
  <c r="K368" i="4"/>
  <c r="L368" i="4"/>
  <c r="M368" i="4"/>
  <c r="N368" i="4"/>
  <c r="P368" i="4"/>
  <c r="K369" i="4"/>
  <c r="L369" i="4"/>
  <c r="M369" i="4"/>
  <c r="N369" i="4"/>
  <c r="P369" i="4"/>
  <c r="K370" i="4"/>
  <c r="L370" i="4"/>
  <c r="M370" i="4"/>
  <c r="N370" i="4"/>
  <c r="P370" i="4"/>
  <c r="K371" i="4"/>
  <c r="L371" i="4"/>
  <c r="M371" i="4"/>
  <c r="N371" i="4"/>
  <c r="P371" i="4"/>
  <c r="K372" i="4"/>
  <c r="L372" i="4"/>
  <c r="M372" i="4"/>
  <c r="N372" i="4"/>
  <c r="P372" i="4"/>
  <c r="K373" i="4"/>
  <c r="L373" i="4"/>
  <c r="M373" i="4"/>
  <c r="N373" i="4"/>
  <c r="P373" i="4"/>
  <c r="K374" i="4"/>
  <c r="L374" i="4"/>
  <c r="M374" i="4"/>
  <c r="N374" i="4"/>
  <c r="P374" i="4"/>
  <c r="K375" i="4"/>
  <c r="L375" i="4"/>
  <c r="M375" i="4"/>
  <c r="N375" i="4"/>
  <c r="P375" i="4"/>
  <c r="K376" i="4"/>
  <c r="L376" i="4"/>
  <c r="M376" i="4"/>
  <c r="N376" i="4"/>
  <c r="P376" i="4"/>
  <c r="K377" i="4"/>
  <c r="L377" i="4"/>
  <c r="M377" i="4"/>
  <c r="N377" i="4"/>
  <c r="P377" i="4"/>
  <c r="K378" i="4"/>
  <c r="L378" i="4"/>
  <c r="M378" i="4"/>
  <c r="N378" i="4"/>
  <c r="P378" i="4"/>
  <c r="K379" i="4"/>
  <c r="L379" i="4"/>
  <c r="M379" i="4"/>
  <c r="N379" i="4"/>
  <c r="P379" i="4"/>
  <c r="K380" i="4"/>
  <c r="L380" i="4"/>
  <c r="M380" i="4"/>
  <c r="N380" i="4"/>
  <c r="P380" i="4"/>
  <c r="K381" i="4"/>
  <c r="L381" i="4"/>
  <c r="M381" i="4"/>
  <c r="N381" i="4"/>
  <c r="P381" i="4"/>
  <c r="K382" i="4"/>
  <c r="L382" i="4"/>
  <c r="M382" i="4"/>
  <c r="N382" i="4"/>
  <c r="P382" i="4"/>
  <c r="K383" i="4"/>
  <c r="L383" i="4"/>
  <c r="M383" i="4"/>
  <c r="N383" i="4"/>
  <c r="P383" i="4"/>
  <c r="K384" i="4"/>
  <c r="L384" i="4"/>
  <c r="M384" i="4"/>
  <c r="N384" i="4"/>
  <c r="P384" i="4"/>
  <c r="K385" i="4"/>
  <c r="L385" i="4"/>
  <c r="M385" i="4"/>
  <c r="N385" i="4"/>
  <c r="P385" i="4"/>
  <c r="K386" i="4"/>
  <c r="L386" i="4"/>
  <c r="M386" i="4"/>
  <c r="N386" i="4"/>
  <c r="P386" i="4"/>
  <c r="K387" i="4"/>
  <c r="L387" i="4"/>
  <c r="M387" i="4"/>
  <c r="N387" i="4"/>
  <c r="P387" i="4"/>
  <c r="K388" i="4"/>
  <c r="L388" i="4"/>
  <c r="M388" i="4"/>
  <c r="N388" i="4"/>
  <c r="P388" i="4"/>
  <c r="K389" i="4"/>
  <c r="L389" i="4"/>
  <c r="M389" i="4"/>
  <c r="N389" i="4"/>
  <c r="P389" i="4"/>
  <c r="K390" i="4"/>
  <c r="L390" i="4"/>
  <c r="M390" i="4"/>
  <c r="N390" i="4"/>
  <c r="P390" i="4"/>
  <c r="K391" i="4"/>
  <c r="L391" i="4"/>
  <c r="M391" i="4"/>
  <c r="N391" i="4"/>
  <c r="P391" i="4"/>
  <c r="K392" i="4"/>
  <c r="L392" i="4"/>
  <c r="M392" i="4"/>
  <c r="N392" i="4"/>
  <c r="P392" i="4"/>
  <c r="K393" i="4"/>
  <c r="L393" i="4"/>
  <c r="M393" i="4"/>
  <c r="N393" i="4"/>
  <c r="P393" i="4"/>
  <c r="K394" i="4"/>
  <c r="L394" i="4"/>
  <c r="M394" i="4"/>
  <c r="N394" i="4"/>
  <c r="P394" i="4"/>
  <c r="K395" i="4"/>
  <c r="L395" i="4"/>
  <c r="M395" i="4"/>
  <c r="N395" i="4"/>
  <c r="P395" i="4"/>
  <c r="K396" i="4"/>
  <c r="L396" i="4"/>
  <c r="M396" i="4"/>
  <c r="N396" i="4"/>
  <c r="P396" i="4"/>
  <c r="K397" i="4"/>
  <c r="L397" i="4"/>
  <c r="M397" i="4"/>
  <c r="N397" i="4"/>
  <c r="P397" i="4"/>
  <c r="K398" i="4"/>
  <c r="L398" i="4"/>
  <c r="M398" i="4"/>
  <c r="N398" i="4"/>
  <c r="P398" i="4"/>
  <c r="K399" i="4"/>
  <c r="L399" i="4"/>
  <c r="M399" i="4"/>
  <c r="N399" i="4"/>
  <c r="P399" i="4"/>
  <c r="K400" i="4"/>
  <c r="L400" i="4"/>
  <c r="M400" i="4"/>
  <c r="N400" i="4"/>
  <c r="P400" i="4"/>
  <c r="K401" i="4"/>
  <c r="L401" i="4"/>
  <c r="M401" i="4"/>
  <c r="N401" i="4"/>
  <c r="P401" i="4"/>
  <c r="K402" i="4"/>
  <c r="L402" i="4"/>
  <c r="M402" i="4"/>
  <c r="N402" i="4"/>
  <c r="P402" i="4"/>
  <c r="K403" i="4"/>
  <c r="L403" i="4"/>
  <c r="M403" i="4"/>
  <c r="N403" i="4"/>
  <c r="P403" i="4"/>
  <c r="K404" i="4"/>
  <c r="L404" i="4"/>
  <c r="M404" i="4"/>
  <c r="N404" i="4"/>
  <c r="P404" i="4"/>
  <c r="K405" i="4"/>
  <c r="L405" i="4"/>
  <c r="M405" i="4"/>
  <c r="N405" i="4"/>
  <c r="P405" i="4"/>
  <c r="K406" i="4"/>
  <c r="L406" i="4"/>
  <c r="M406" i="4"/>
  <c r="N406" i="4"/>
  <c r="P406" i="4"/>
  <c r="K407" i="4"/>
  <c r="L407" i="4"/>
  <c r="M407" i="4"/>
  <c r="N407" i="4"/>
  <c r="P407" i="4"/>
  <c r="K408" i="4"/>
  <c r="L408" i="4"/>
  <c r="M408" i="4"/>
  <c r="N408" i="4"/>
  <c r="P408" i="4"/>
  <c r="K409" i="4"/>
  <c r="L409" i="4"/>
  <c r="M409" i="4"/>
  <c r="N409" i="4"/>
  <c r="P409" i="4"/>
  <c r="K410" i="4"/>
  <c r="L410" i="4"/>
  <c r="M410" i="4"/>
  <c r="N410" i="4"/>
  <c r="P410" i="4"/>
  <c r="K411" i="4"/>
  <c r="L411" i="4"/>
  <c r="M411" i="4"/>
  <c r="N411" i="4"/>
  <c r="P411" i="4"/>
  <c r="K412" i="4"/>
  <c r="L412" i="4"/>
  <c r="M412" i="4"/>
  <c r="N412" i="4"/>
  <c r="P412" i="4"/>
  <c r="K413" i="4"/>
  <c r="L413" i="4"/>
  <c r="M413" i="4"/>
  <c r="N413" i="4"/>
  <c r="P413" i="4"/>
  <c r="K414" i="4"/>
  <c r="L414" i="4"/>
  <c r="M414" i="4"/>
  <c r="N414" i="4"/>
  <c r="P414" i="4"/>
  <c r="K415" i="4"/>
  <c r="L415" i="4"/>
  <c r="M415" i="4"/>
  <c r="N415" i="4"/>
  <c r="P415" i="4"/>
  <c r="K416" i="4"/>
  <c r="L416" i="4"/>
  <c r="M416" i="4"/>
  <c r="N416" i="4"/>
  <c r="P416" i="4"/>
  <c r="K417" i="4"/>
  <c r="L417" i="4"/>
  <c r="M417" i="4"/>
  <c r="N417" i="4"/>
  <c r="P417" i="4"/>
  <c r="K418" i="4"/>
  <c r="L418" i="4"/>
  <c r="M418" i="4"/>
  <c r="N418" i="4"/>
  <c r="P418" i="4"/>
  <c r="K419" i="4"/>
  <c r="L419" i="4"/>
  <c r="M419" i="4"/>
  <c r="N419" i="4"/>
  <c r="P419" i="4"/>
  <c r="K420" i="4"/>
  <c r="L420" i="4"/>
  <c r="M420" i="4"/>
  <c r="N420" i="4"/>
  <c r="P420" i="4"/>
  <c r="K421" i="4"/>
  <c r="L421" i="4"/>
  <c r="M421" i="4"/>
  <c r="N421" i="4"/>
  <c r="P421" i="4"/>
  <c r="K422" i="4"/>
  <c r="L422" i="4"/>
  <c r="M422" i="4"/>
  <c r="N422" i="4"/>
  <c r="P422" i="4"/>
  <c r="K423" i="4"/>
  <c r="L423" i="4"/>
  <c r="M423" i="4"/>
  <c r="N423" i="4"/>
  <c r="P423" i="4"/>
  <c r="K424" i="4"/>
  <c r="L424" i="4"/>
  <c r="M424" i="4"/>
  <c r="N424" i="4"/>
  <c r="P424" i="4"/>
  <c r="K425" i="4"/>
  <c r="L425" i="4"/>
  <c r="M425" i="4"/>
  <c r="N425" i="4"/>
  <c r="P425" i="4"/>
  <c r="K426" i="4"/>
  <c r="L426" i="4"/>
  <c r="M426" i="4"/>
  <c r="N426" i="4"/>
  <c r="P426" i="4"/>
  <c r="K427" i="4"/>
  <c r="L427" i="4"/>
  <c r="M427" i="4"/>
  <c r="N427" i="4"/>
  <c r="P427" i="4"/>
  <c r="K428" i="4"/>
  <c r="L428" i="4"/>
  <c r="M428" i="4"/>
  <c r="N428" i="4"/>
  <c r="P428" i="4"/>
  <c r="K429" i="4"/>
  <c r="L429" i="4"/>
  <c r="M429" i="4"/>
  <c r="N429" i="4"/>
  <c r="P429" i="4"/>
  <c r="K430" i="4"/>
  <c r="L430" i="4"/>
  <c r="M430" i="4"/>
  <c r="N430" i="4"/>
  <c r="P430" i="4"/>
  <c r="K431" i="4"/>
  <c r="L431" i="4"/>
  <c r="M431" i="4"/>
  <c r="N431" i="4"/>
  <c r="P431" i="4"/>
  <c r="K432" i="4"/>
  <c r="L432" i="4"/>
  <c r="M432" i="4"/>
  <c r="N432" i="4"/>
  <c r="P432" i="4"/>
  <c r="K433" i="4"/>
  <c r="L433" i="4"/>
  <c r="M433" i="4"/>
  <c r="N433" i="4"/>
  <c r="P433" i="4"/>
  <c r="K434" i="4"/>
  <c r="L434" i="4"/>
  <c r="M434" i="4"/>
  <c r="N434" i="4"/>
  <c r="P434" i="4"/>
  <c r="K435" i="4"/>
  <c r="L435" i="4"/>
  <c r="M435" i="4"/>
  <c r="N435" i="4"/>
  <c r="P435" i="4"/>
  <c r="K436" i="4"/>
  <c r="L436" i="4"/>
  <c r="M436" i="4"/>
  <c r="N436" i="4"/>
  <c r="P436" i="4"/>
  <c r="K437" i="4"/>
  <c r="L437" i="4"/>
  <c r="M437" i="4"/>
  <c r="N437" i="4"/>
  <c r="P437" i="4"/>
  <c r="K438" i="4"/>
  <c r="L438" i="4"/>
  <c r="M438" i="4"/>
  <c r="N438" i="4"/>
  <c r="P438" i="4"/>
  <c r="K439" i="4"/>
  <c r="L439" i="4"/>
  <c r="M439" i="4"/>
  <c r="N439" i="4"/>
  <c r="P439" i="4"/>
  <c r="K440" i="4"/>
  <c r="L440" i="4"/>
  <c r="M440" i="4"/>
  <c r="N440" i="4"/>
  <c r="P440" i="4"/>
  <c r="K441" i="4"/>
  <c r="L441" i="4"/>
  <c r="M441" i="4"/>
  <c r="N441" i="4"/>
  <c r="P441" i="4"/>
  <c r="K442" i="4"/>
  <c r="L442" i="4"/>
  <c r="M442" i="4"/>
  <c r="N442" i="4"/>
  <c r="P442" i="4"/>
  <c r="K443" i="4"/>
  <c r="L443" i="4"/>
  <c r="M443" i="4"/>
  <c r="N443" i="4"/>
  <c r="P443" i="4"/>
  <c r="K444" i="4"/>
  <c r="L444" i="4"/>
  <c r="M444" i="4"/>
  <c r="N444" i="4"/>
  <c r="P444" i="4"/>
  <c r="K445" i="4"/>
  <c r="L445" i="4"/>
  <c r="M445" i="4"/>
  <c r="N445" i="4"/>
  <c r="P445" i="4"/>
  <c r="K446" i="4"/>
  <c r="L446" i="4"/>
  <c r="M446" i="4"/>
  <c r="N446" i="4"/>
  <c r="P446" i="4"/>
  <c r="K447" i="4"/>
  <c r="L447" i="4"/>
  <c r="M447" i="4"/>
  <c r="N447" i="4"/>
  <c r="P447" i="4"/>
  <c r="K448" i="4"/>
  <c r="L448" i="4"/>
  <c r="M448" i="4"/>
  <c r="N448" i="4"/>
  <c r="P448" i="4"/>
  <c r="K449" i="4"/>
  <c r="L449" i="4"/>
  <c r="M449" i="4"/>
  <c r="N449" i="4"/>
  <c r="P449" i="4"/>
  <c r="K450" i="4"/>
  <c r="L450" i="4"/>
  <c r="M450" i="4"/>
  <c r="N450" i="4"/>
  <c r="P450" i="4"/>
  <c r="K451" i="4"/>
  <c r="L451" i="4"/>
  <c r="M451" i="4"/>
  <c r="N451" i="4"/>
  <c r="P451" i="4"/>
  <c r="K452" i="4"/>
  <c r="L452" i="4"/>
  <c r="M452" i="4"/>
  <c r="N452" i="4"/>
  <c r="P452" i="4"/>
  <c r="K453" i="4"/>
  <c r="L453" i="4"/>
  <c r="M453" i="4"/>
  <c r="N453" i="4"/>
  <c r="P453" i="4"/>
  <c r="K454" i="4"/>
  <c r="L454" i="4"/>
  <c r="M454" i="4"/>
  <c r="N454" i="4"/>
  <c r="P454" i="4"/>
  <c r="K455" i="4"/>
  <c r="L455" i="4"/>
  <c r="M455" i="4"/>
  <c r="N455" i="4"/>
  <c r="P455" i="4"/>
  <c r="K456" i="4"/>
  <c r="L456" i="4"/>
  <c r="M456" i="4"/>
  <c r="N456" i="4"/>
  <c r="P456" i="4"/>
  <c r="K457" i="4"/>
  <c r="L457" i="4"/>
  <c r="M457" i="4"/>
  <c r="N457" i="4"/>
  <c r="P457" i="4"/>
  <c r="K458" i="4"/>
  <c r="L458" i="4"/>
  <c r="M458" i="4"/>
  <c r="N458" i="4"/>
  <c r="P458" i="4"/>
  <c r="K459" i="4"/>
  <c r="L459" i="4"/>
  <c r="M459" i="4"/>
  <c r="N459" i="4"/>
  <c r="P459" i="4"/>
  <c r="K460" i="4"/>
  <c r="L460" i="4"/>
  <c r="M460" i="4"/>
  <c r="N460" i="4"/>
  <c r="P460" i="4"/>
  <c r="K461" i="4"/>
  <c r="L461" i="4"/>
  <c r="M461" i="4"/>
  <c r="N461" i="4"/>
  <c r="P461" i="4"/>
  <c r="K462" i="4"/>
  <c r="L462" i="4"/>
  <c r="M462" i="4"/>
  <c r="N462" i="4"/>
  <c r="P462" i="4"/>
  <c r="K463" i="4"/>
  <c r="L463" i="4"/>
  <c r="M463" i="4"/>
  <c r="N463" i="4"/>
  <c r="P463" i="4"/>
  <c r="K464" i="4"/>
  <c r="L464" i="4"/>
  <c r="M464" i="4"/>
  <c r="N464" i="4"/>
  <c r="P464" i="4"/>
  <c r="K465" i="4"/>
  <c r="L465" i="4"/>
  <c r="M465" i="4"/>
  <c r="N465" i="4"/>
  <c r="P465" i="4"/>
  <c r="K466" i="4"/>
  <c r="L466" i="4"/>
  <c r="M466" i="4"/>
  <c r="N466" i="4"/>
  <c r="P466" i="4"/>
  <c r="K467" i="4"/>
  <c r="L467" i="4"/>
  <c r="M467" i="4"/>
  <c r="N467" i="4"/>
  <c r="P467" i="4"/>
  <c r="K468" i="4"/>
  <c r="L468" i="4"/>
  <c r="M468" i="4"/>
  <c r="N468" i="4"/>
  <c r="P468" i="4"/>
  <c r="K469" i="4"/>
  <c r="L469" i="4"/>
  <c r="M469" i="4"/>
  <c r="N469" i="4"/>
  <c r="P469" i="4"/>
  <c r="K470" i="4"/>
  <c r="L470" i="4"/>
  <c r="M470" i="4"/>
  <c r="N470" i="4"/>
  <c r="P470" i="4"/>
  <c r="K471" i="4"/>
  <c r="L471" i="4"/>
  <c r="M471" i="4"/>
  <c r="N471" i="4"/>
  <c r="P471" i="4"/>
  <c r="K472" i="4"/>
  <c r="L472" i="4"/>
  <c r="M472" i="4"/>
  <c r="N472" i="4"/>
  <c r="P472" i="4"/>
  <c r="K473" i="4"/>
  <c r="L473" i="4"/>
  <c r="M473" i="4"/>
  <c r="N473" i="4"/>
  <c r="P473" i="4"/>
  <c r="K474" i="4"/>
  <c r="L474" i="4"/>
  <c r="M474" i="4"/>
  <c r="N474" i="4"/>
  <c r="P474" i="4"/>
  <c r="K475" i="4"/>
  <c r="L475" i="4"/>
  <c r="M475" i="4"/>
  <c r="N475" i="4"/>
  <c r="P475" i="4"/>
  <c r="K476" i="4"/>
  <c r="L476" i="4"/>
  <c r="M476" i="4"/>
  <c r="N476" i="4"/>
  <c r="P476" i="4"/>
  <c r="K477" i="4"/>
  <c r="L477" i="4"/>
  <c r="M477" i="4"/>
  <c r="N477" i="4"/>
  <c r="P477" i="4"/>
  <c r="K478" i="4"/>
  <c r="L478" i="4"/>
  <c r="M478" i="4"/>
  <c r="N478" i="4"/>
  <c r="P478" i="4"/>
  <c r="K479" i="4"/>
  <c r="L479" i="4"/>
  <c r="M479" i="4"/>
  <c r="N479" i="4"/>
  <c r="P479" i="4"/>
  <c r="K480" i="4"/>
  <c r="L480" i="4"/>
  <c r="M480" i="4"/>
  <c r="N480" i="4"/>
  <c r="P480" i="4"/>
  <c r="K481" i="4"/>
  <c r="L481" i="4"/>
  <c r="M481" i="4"/>
  <c r="N481" i="4"/>
  <c r="P481" i="4"/>
  <c r="K482" i="4"/>
  <c r="L482" i="4"/>
  <c r="M482" i="4"/>
  <c r="N482" i="4"/>
  <c r="P482" i="4"/>
  <c r="K483" i="4"/>
  <c r="L483" i="4"/>
  <c r="M483" i="4"/>
  <c r="N483" i="4"/>
  <c r="P483" i="4"/>
  <c r="K484" i="4"/>
  <c r="L484" i="4"/>
  <c r="M484" i="4"/>
  <c r="N484" i="4"/>
  <c r="P484" i="4"/>
  <c r="K485" i="4"/>
  <c r="L485" i="4"/>
  <c r="M485" i="4"/>
  <c r="N485" i="4"/>
  <c r="P485" i="4"/>
  <c r="K486" i="4"/>
  <c r="L486" i="4"/>
  <c r="M486" i="4"/>
  <c r="N486" i="4"/>
  <c r="P486" i="4"/>
  <c r="K487" i="4"/>
  <c r="L487" i="4"/>
  <c r="M487" i="4"/>
  <c r="N487" i="4"/>
  <c r="P487" i="4"/>
  <c r="K488" i="4"/>
  <c r="L488" i="4"/>
  <c r="M488" i="4"/>
  <c r="N488" i="4"/>
  <c r="P488" i="4"/>
  <c r="K489" i="4"/>
  <c r="L489" i="4"/>
  <c r="M489" i="4"/>
  <c r="N489" i="4"/>
  <c r="P489" i="4"/>
  <c r="K490" i="4"/>
  <c r="L490" i="4"/>
  <c r="M490" i="4"/>
  <c r="N490" i="4"/>
  <c r="P490" i="4"/>
  <c r="K491" i="4"/>
  <c r="L491" i="4"/>
  <c r="M491" i="4"/>
  <c r="N491" i="4"/>
  <c r="P491" i="4"/>
  <c r="K492" i="4"/>
  <c r="L492" i="4"/>
  <c r="M492" i="4"/>
  <c r="N492" i="4"/>
  <c r="P492" i="4"/>
  <c r="K493" i="4"/>
  <c r="L493" i="4"/>
  <c r="M493" i="4"/>
  <c r="N493" i="4"/>
  <c r="P493" i="4"/>
  <c r="K494" i="4"/>
  <c r="L494" i="4"/>
  <c r="M494" i="4"/>
  <c r="N494" i="4"/>
  <c r="P494" i="4"/>
  <c r="K495" i="4"/>
  <c r="L495" i="4"/>
  <c r="M495" i="4"/>
  <c r="N495" i="4"/>
  <c r="P495" i="4"/>
  <c r="K496" i="4"/>
  <c r="L496" i="4"/>
  <c r="M496" i="4"/>
  <c r="N496" i="4"/>
  <c r="P496" i="4"/>
  <c r="K497" i="4"/>
  <c r="L497" i="4"/>
  <c r="M497" i="4"/>
  <c r="N497" i="4"/>
  <c r="P497" i="4"/>
  <c r="K498" i="4"/>
  <c r="L498" i="4"/>
  <c r="M498" i="4"/>
  <c r="N498" i="4"/>
  <c r="P498" i="4"/>
  <c r="K499" i="4"/>
  <c r="L499" i="4"/>
  <c r="M499" i="4"/>
  <c r="N499" i="4"/>
  <c r="P499" i="4"/>
  <c r="K500" i="4"/>
  <c r="L500" i="4"/>
  <c r="M500" i="4"/>
  <c r="N500" i="4"/>
  <c r="P500" i="4"/>
  <c r="K501" i="4"/>
  <c r="L501" i="4"/>
  <c r="M501" i="4"/>
  <c r="N501" i="4"/>
  <c r="P501" i="4"/>
  <c r="K502" i="4"/>
  <c r="L502" i="4"/>
  <c r="M502" i="4"/>
  <c r="N502" i="4"/>
  <c r="P502" i="4"/>
  <c r="K503" i="4"/>
  <c r="L503" i="4"/>
  <c r="M503" i="4"/>
  <c r="N503" i="4"/>
  <c r="P503" i="4"/>
  <c r="K504" i="4"/>
  <c r="L504" i="4"/>
  <c r="M504" i="4"/>
  <c r="N504" i="4"/>
  <c r="P504" i="4"/>
  <c r="K505" i="4"/>
  <c r="L505" i="4"/>
  <c r="M505" i="4"/>
  <c r="N505" i="4"/>
  <c r="P505" i="4"/>
  <c r="K506" i="4"/>
  <c r="L506" i="4"/>
  <c r="M506" i="4"/>
  <c r="N506" i="4"/>
  <c r="P506" i="4"/>
  <c r="K507" i="4"/>
  <c r="L507" i="4"/>
  <c r="M507" i="4"/>
  <c r="N507" i="4"/>
  <c r="P507" i="4"/>
  <c r="K508" i="4"/>
  <c r="L508" i="4"/>
  <c r="M508" i="4"/>
  <c r="N508" i="4"/>
  <c r="P508" i="4"/>
  <c r="K509" i="4"/>
  <c r="L509" i="4"/>
  <c r="M509" i="4"/>
  <c r="N509" i="4"/>
  <c r="P509" i="4"/>
  <c r="K510" i="4"/>
  <c r="L510" i="4"/>
  <c r="M510" i="4"/>
  <c r="N510" i="4"/>
  <c r="P510" i="4"/>
  <c r="K511" i="4"/>
  <c r="L511" i="4"/>
  <c r="M511" i="4"/>
  <c r="N511" i="4"/>
  <c r="P511" i="4"/>
  <c r="K512" i="4"/>
  <c r="L512" i="4"/>
  <c r="M512" i="4"/>
  <c r="N512" i="4"/>
  <c r="P512" i="4"/>
  <c r="K513" i="4"/>
  <c r="L513" i="4"/>
  <c r="M513" i="4"/>
  <c r="N513" i="4"/>
  <c r="P513" i="4"/>
  <c r="K514" i="4"/>
  <c r="L514" i="4"/>
  <c r="M514" i="4"/>
  <c r="N514" i="4"/>
  <c r="P514" i="4"/>
  <c r="K515" i="4"/>
  <c r="L515" i="4"/>
  <c r="M515" i="4"/>
  <c r="N515" i="4"/>
  <c r="P515" i="4"/>
  <c r="K516" i="4"/>
  <c r="L516" i="4"/>
  <c r="M516" i="4"/>
  <c r="N516" i="4"/>
  <c r="P516" i="4"/>
  <c r="K517" i="4"/>
  <c r="L517" i="4"/>
  <c r="M517" i="4"/>
  <c r="N517" i="4"/>
  <c r="P517" i="4"/>
  <c r="K518" i="4"/>
  <c r="L518" i="4"/>
  <c r="M518" i="4"/>
  <c r="N518" i="4"/>
  <c r="P518" i="4"/>
  <c r="K519" i="4"/>
  <c r="L519" i="4"/>
  <c r="M519" i="4"/>
  <c r="N519" i="4"/>
  <c r="P519" i="4"/>
  <c r="K520" i="4"/>
  <c r="L520" i="4"/>
  <c r="M520" i="4"/>
  <c r="N520" i="4"/>
  <c r="P520" i="4"/>
  <c r="K521" i="4"/>
  <c r="L521" i="4"/>
  <c r="M521" i="4"/>
  <c r="N521" i="4"/>
  <c r="P521" i="4"/>
  <c r="K522" i="4"/>
  <c r="L522" i="4"/>
  <c r="M522" i="4"/>
  <c r="N522" i="4"/>
  <c r="P522" i="4"/>
  <c r="K523" i="4"/>
  <c r="L523" i="4"/>
  <c r="M523" i="4"/>
  <c r="N523" i="4"/>
  <c r="P523" i="4"/>
  <c r="K524" i="4"/>
  <c r="L524" i="4"/>
  <c r="M524" i="4"/>
  <c r="N524" i="4"/>
  <c r="P524" i="4"/>
  <c r="K525" i="4"/>
  <c r="L525" i="4"/>
  <c r="M525" i="4"/>
  <c r="N525" i="4"/>
  <c r="P525" i="4"/>
  <c r="K526" i="4"/>
  <c r="L526" i="4"/>
  <c r="M526" i="4"/>
  <c r="N526" i="4"/>
  <c r="P526" i="4"/>
  <c r="K527" i="4"/>
  <c r="L527" i="4"/>
  <c r="M527" i="4"/>
  <c r="N527" i="4"/>
  <c r="P527" i="4"/>
  <c r="K528" i="4"/>
  <c r="L528" i="4"/>
  <c r="M528" i="4"/>
  <c r="N528" i="4"/>
  <c r="P528" i="4"/>
  <c r="K529" i="4"/>
  <c r="L529" i="4"/>
  <c r="M529" i="4"/>
  <c r="N529" i="4"/>
  <c r="P529" i="4"/>
  <c r="K530" i="4"/>
  <c r="L530" i="4"/>
  <c r="M530" i="4"/>
  <c r="N530" i="4"/>
  <c r="P530" i="4"/>
  <c r="K531" i="4"/>
  <c r="L531" i="4"/>
  <c r="M531" i="4"/>
  <c r="N531" i="4"/>
  <c r="P531" i="4"/>
  <c r="K532" i="4"/>
  <c r="L532" i="4"/>
  <c r="M532" i="4"/>
  <c r="N532" i="4"/>
  <c r="P532" i="4"/>
  <c r="K533" i="4"/>
  <c r="L533" i="4"/>
  <c r="M533" i="4"/>
  <c r="N533" i="4"/>
  <c r="P533" i="4"/>
  <c r="K534" i="4"/>
  <c r="L534" i="4"/>
  <c r="M534" i="4"/>
  <c r="N534" i="4"/>
  <c r="P534" i="4"/>
  <c r="K535" i="4"/>
  <c r="L535" i="4"/>
  <c r="M535" i="4"/>
  <c r="N535" i="4"/>
  <c r="P535" i="4"/>
  <c r="K536" i="4"/>
  <c r="L536" i="4"/>
  <c r="M536" i="4"/>
  <c r="N536" i="4"/>
  <c r="P536" i="4"/>
  <c r="K537" i="4"/>
  <c r="L537" i="4"/>
  <c r="M537" i="4"/>
  <c r="N537" i="4"/>
  <c r="P537" i="4"/>
  <c r="K538" i="4"/>
  <c r="L538" i="4"/>
  <c r="M538" i="4"/>
  <c r="N538" i="4"/>
  <c r="P538" i="4"/>
  <c r="K539" i="4"/>
  <c r="L539" i="4"/>
  <c r="M539" i="4"/>
  <c r="N539" i="4"/>
  <c r="P539" i="4"/>
  <c r="K540" i="4"/>
  <c r="L540" i="4"/>
  <c r="M540" i="4"/>
  <c r="N540" i="4"/>
  <c r="P540" i="4"/>
  <c r="K541" i="4"/>
  <c r="L541" i="4"/>
  <c r="M541" i="4"/>
  <c r="N541" i="4"/>
  <c r="P541" i="4"/>
  <c r="K542" i="4"/>
  <c r="L542" i="4"/>
  <c r="M542" i="4"/>
  <c r="N542" i="4"/>
  <c r="P542" i="4"/>
  <c r="K543" i="4"/>
  <c r="L543" i="4"/>
  <c r="M543" i="4"/>
  <c r="N543" i="4"/>
  <c r="P543" i="4"/>
  <c r="K544" i="4"/>
  <c r="L544" i="4"/>
  <c r="M544" i="4"/>
  <c r="N544" i="4"/>
  <c r="P544" i="4"/>
  <c r="K545" i="4"/>
  <c r="L545" i="4"/>
  <c r="M545" i="4"/>
  <c r="N545" i="4"/>
  <c r="P545" i="4"/>
  <c r="K546" i="4"/>
  <c r="L546" i="4"/>
  <c r="M546" i="4"/>
  <c r="N546" i="4"/>
  <c r="P546" i="4"/>
  <c r="K547" i="4"/>
  <c r="L547" i="4"/>
  <c r="M547" i="4"/>
  <c r="N547" i="4"/>
  <c r="P547" i="4"/>
  <c r="K548" i="4"/>
  <c r="L548" i="4"/>
  <c r="M548" i="4"/>
  <c r="N548" i="4"/>
  <c r="P548" i="4"/>
  <c r="K549" i="4"/>
  <c r="L549" i="4"/>
  <c r="M549" i="4"/>
  <c r="N549" i="4"/>
  <c r="P549" i="4"/>
  <c r="K550" i="4"/>
  <c r="L550" i="4"/>
  <c r="M550" i="4"/>
  <c r="N550" i="4"/>
  <c r="P550" i="4"/>
  <c r="K551" i="4"/>
  <c r="L551" i="4"/>
  <c r="M551" i="4"/>
  <c r="N551" i="4"/>
  <c r="P551" i="4"/>
  <c r="K552" i="4"/>
  <c r="L552" i="4"/>
  <c r="M552" i="4"/>
  <c r="N552" i="4"/>
  <c r="P552" i="4"/>
  <c r="K553" i="4"/>
  <c r="L553" i="4"/>
  <c r="M553" i="4"/>
  <c r="N553" i="4"/>
  <c r="P553" i="4"/>
  <c r="K554" i="4"/>
  <c r="L554" i="4"/>
  <c r="M554" i="4"/>
  <c r="N554" i="4"/>
  <c r="P554" i="4"/>
  <c r="K555" i="4"/>
  <c r="L555" i="4"/>
  <c r="M555" i="4"/>
  <c r="N555" i="4"/>
  <c r="P555" i="4"/>
  <c r="K556" i="4"/>
  <c r="L556" i="4"/>
  <c r="M556" i="4"/>
  <c r="N556" i="4"/>
  <c r="P556" i="4"/>
  <c r="F10" i="7" a="1"/>
  <c r="F10" i="7" s="1"/>
  <c r="F2" i="7" a="1"/>
  <c r="F2" i="7" s="1"/>
  <c r="B7" i="7" a="1"/>
  <c r="B7" i="7" s="1"/>
  <c r="B2" i="7" a="1"/>
  <c r="B2" i="7" s="1"/>
  <c r="F54" i="9" l="1"/>
  <c r="F55" i="9" s="1"/>
  <c r="G54" i="9"/>
  <c r="G55" i="9" s="1"/>
  <c r="F49" i="9"/>
  <c r="F50" i="9" s="1"/>
  <c r="F44" i="9"/>
  <c r="F45" i="9" s="1"/>
  <c r="G44" i="9"/>
  <c r="G45" i="9" s="1"/>
  <c r="G49" i="9"/>
  <c r="G50" i="9" s="1"/>
  <c r="F38" i="9"/>
  <c r="F39" i="9" s="1"/>
  <c r="G39" i="9"/>
  <c r="H54" i="9" l="1"/>
  <c r="H49" i="9"/>
  <c r="H44" i="9"/>
  <c r="H38" i="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<sst xmlns="http://schemas.openxmlformats.org/spreadsheetml/2006/main" count="3719" uniqueCount="688">
  <si>
    <t>Customer Name</t>
  </si>
  <si>
    <t>Product Category</t>
  </si>
  <si>
    <t>Product Name</t>
  </si>
  <si>
    <t>Order Date</t>
  </si>
  <si>
    <t>Delivered Date</t>
  </si>
  <si>
    <t>Quantity</t>
  </si>
  <si>
    <t>Unit Price</t>
  </si>
  <si>
    <t>Status</t>
  </si>
  <si>
    <t>Country</t>
  </si>
  <si>
    <t>Payment Method</t>
  </si>
  <si>
    <t>Allison Hill</t>
  </si>
  <si>
    <t>Electronics</t>
  </si>
  <si>
    <t>Smartphone</t>
  </si>
  <si>
    <t>Completed</t>
  </si>
  <si>
    <t>Mobile Money</t>
  </si>
  <si>
    <t>Lance Hoffman</t>
  </si>
  <si>
    <t>Books</t>
  </si>
  <si>
    <t>Fiction</t>
  </si>
  <si>
    <t>Credit Card</t>
  </si>
  <si>
    <t>Brent Abbott</t>
  </si>
  <si>
    <t>Apparel</t>
  </si>
  <si>
    <t>Sneakers</t>
  </si>
  <si>
    <t>Edward Fuller</t>
  </si>
  <si>
    <t>Groceries</t>
  </si>
  <si>
    <t>Cereal</t>
  </si>
  <si>
    <t>Melinda Jones</t>
  </si>
  <si>
    <t>Headphones</t>
  </si>
  <si>
    <t>Returned</t>
  </si>
  <si>
    <t>Cash</t>
  </si>
  <si>
    <t>Andrew Stewart</t>
  </si>
  <si>
    <t>Home Decor</t>
  </si>
  <si>
    <t>Vase</t>
  </si>
  <si>
    <t>Nigeria</t>
  </si>
  <si>
    <t>Nicole Patterson</t>
  </si>
  <si>
    <t>Anthony Rodriguez</t>
  </si>
  <si>
    <t>Camera</t>
  </si>
  <si>
    <t>Shannon Smith</t>
  </si>
  <si>
    <t>Milk</t>
  </si>
  <si>
    <t>Pamela Romero</t>
  </si>
  <si>
    <t>T-Shirt</t>
  </si>
  <si>
    <t>Tammy Sellers</t>
  </si>
  <si>
    <t>Curtains</t>
  </si>
  <si>
    <t>Joseph Obrien</t>
  </si>
  <si>
    <t>Children's Book</t>
  </si>
  <si>
    <t>Austin Smith</t>
  </si>
  <si>
    <t>Bank Transfer</t>
  </si>
  <si>
    <t>David Caldwell</t>
  </si>
  <si>
    <t>Matthew Gomez</t>
  </si>
  <si>
    <t>Maria Brown</t>
  </si>
  <si>
    <t>Wall Art</t>
  </si>
  <si>
    <t>Clifford Ford</t>
  </si>
  <si>
    <t>Dress</t>
  </si>
  <si>
    <t>Tammy Allison</t>
  </si>
  <si>
    <t>Jeans</t>
  </si>
  <si>
    <t>Rachel Gibson</t>
  </si>
  <si>
    <t>Biography</t>
  </si>
  <si>
    <t>Lauren Daniels</t>
  </si>
  <si>
    <t>Laptop</t>
  </si>
  <si>
    <t>Amanda Miller</t>
  </si>
  <si>
    <t>Cookbook</t>
  </si>
  <si>
    <t>Michael Evans</t>
  </si>
  <si>
    <t>Angel Lewis MD</t>
  </si>
  <si>
    <t>Joshua Turner</t>
  </si>
  <si>
    <t>Non-Fiction</t>
  </si>
  <si>
    <t>Douglas Clark</t>
  </si>
  <si>
    <t>Kimberly Davenport</t>
  </si>
  <si>
    <t>Richard Rodriguez</t>
  </si>
  <si>
    <t>Matthew Ross</t>
  </si>
  <si>
    <t>Victoria Johnson</t>
  </si>
  <si>
    <t>Juice</t>
  </si>
  <si>
    <t>Stephanie Lee</t>
  </si>
  <si>
    <t>Benjamin Beck</t>
  </si>
  <si>
    <t>Stephanie Gilbert</t>
  </si>
  <si>
    <t>Jeffrey Carpenter</t>
  </si>
  <si>
    <t>Curtis Johnson</t>
  </si>
  <si>
    <t>Table Lamp</t>
  </si>
  <si>
    <t>Michael Snyder</t>
  </si>
  <si>
    <t>Melissa Marshall</t>
  </si>
  <si>
    <t>Cushion</t>
  </si>
  <si>
    <t>Michelle Wagner</t>
  </si>
  <si>
    <t>Sara Ramirez</t>
  </si>
  <si>
    <t>George Orozco</t>
  </si>
  <si>
    <t>Jacket</t>
  </si>
  <si>
    <t>Joshua Perry</t>
  </si>
  <si>
    <t>Aaron Bell</t>
  </si>
  <si>
    <t>Stephanie Freeman</t>
  </si>
  <si>
    <t>Rebecca Ramsey</t>
  </si>
  <si>
    <t>Mary Miller</t>
  </si>
  <si>
    <t>Andre Wright</t>
  </si>
  <si>
    <t>Jeffrey Wood</t>
  </si>
  <si>
    <t>Samuel Rivas</t>
  </si>
  <si>
    <t>Daniel Salinas</t>
  </si>
  <si>
    <t>Michael West</t>
  </si>
  <si>
    <t>Elizabeth Ward</t>
  </si>
  <si>
    <t>Kristen Terry</t>
  </si>
  <si>
    <t>Tablet</t>
  </si>
  <si>
    <t>David Grant</t>
  </si>
  <si>
    <t>Kevin Patterson</t>
  </si>
  <si>
    <t>Juan Moore</t>
  </si>
  <si>
    <t>Pasta</t>
  </si>
  <si>
    <t>Dwayne Campbell</t>
  </si>
  <si>
    <t>Samantha Morse</t>
  </si>
  <si>
    <t>Kathryn Snyder</t>
  </si>
  <si>
    <t>Alicia Hubbard</t>
  </si>
  <si>
    <t>Tanya Kim</t>
  </si>
  <si>
    <t>Bruce Collier</t>
  </si>
  <si>
    <t>Kimberly Gibson</t>
  </si>
  <si>
    <t>Reginald Williams</t>
  </si>
  <si>
    <t>Amanda Shaw</t>
  </si>
  <si>
    <t>Alexis Thomas</t>
  </si>
  <si>
    <t>Sarah Villarreal</t>
  </si>
  <si>
    <t>Cynthia Cohen</t>
  </si>
  <si>
    <t>Michele Garcia</t>
  </si>
  <si>
    <t>Joel King</t>
  </si>
  <si>
    <t>Rice</t>
  </si>
  <si>
    <t>Brooke Alexander</t>
  </si>
  <si>
    <t>Ann Phillips</t>
  </si>
  <si>
    <t>Richard Smith</t>
  </si>
  <si>
    <t>David Johnson</t>
  </si>
  <si>
    <t>Elizabeth Ortiz</t>
  </si>
  <si>
    <t>Teresa Ramirez</t>
  </si>
  <si>
    <t>Michael Stephens</t>
  </si>
  <si>
    <t>Kristen Willis</t>
  </si>
  <si>
    <t>Rebecca Rodriguez</t>
  </si>
  <si>
    <t>Jessica Rodriguez DDS</t>
  </si>
  <si>
    <t>Donald Schultz</t>
  </si>
  <si>
    <t>Emily Edwards</t>
  </si>
  <si>
    <t>Anna Davis</t>
  </si>
  <si>
    <t>Jordan Moore</t>
  </si>
  <si>
    <t>Phillip Andrews</t>
  </si>
  <si>
    <t>Christopher Park</t>
  </si>
  <si>
    <t>Andrea Figueroa</t>
  </si>
  <si>
    <t>Karla Ramos</t>
  </si>
  <si>
    <t>Michael Watkins</t>
  </si>
  <si>
    <t>Eric Clark</t>
  </si>
  <si>
    <t>Thomas Atkins</t>
  </si>
  <si>
    <t>Alex Nguyen</t>
  </si>
  <si>
    <t>Kelly Foster</t>
  </si>
  <si>
    <t>Kerry Lee</t>
  </si>
  <si>
    <t>Rebecca Vargas</t>
  </si>
  <si>
    <t>John Hernandez</t>
  </si>
  <si>
    <t>Katelyn Perez</t>
  </si>
  <si>
    <t>George Miranda</t>
  </si>
  <si>
    <t>Jackson Ball</t>
  </si>
  <si>
    <t>Vincent Mueller</t>
  </si>
  <si>
    <t>Tracy Montoya</t>
  </si>
  <si>
    <t>Phillip Nelson</t>
  </si>
  <si>
    <t>Jonathan Young</t>
  </si>
  <si>
    <t>Howard Norman</t>
  </si>
  <si>
    <t>Stephanie Hughes</t>
  </si>
  <si>
    <t>Samantha Gardner</t>
  </si>
  <si>
    <t>William Gould</t>
  </si>
  <si>
    <t>Laura Moreno</t>
  </si>
  <si>
    <t>Kathryn Hughes</t>
  </si>
  <si>
    <t>Benjamin Thompson</t>
  </si>
  <si>
    <t>Betty Shaw</t>
  </si>
  <si>
    <t>Todd Jacobson</t>
  </si>
  <si>
    <t>Martin Vargas</t>
  </si>
  <si>
    <t>Travis Wise</t>
  </si>
  <si>
    <t>Stephen Gardner</t>
  </si>
  <si>
    <t>Jesse Barker</t>
  </si>
  <si>
    <t>James Gilbert</t>
  </si>
  <si>
    <t>Shawn Jimenez</t>
  </si>
  <si>
    <t>Kyle Cameron</t>
  </si>
  <si>
    <t>Monica Gallagher</t>
  </si>
  <si>
    <t>Brent Brooks</t>
  </si>
  <si>
    <t>Brenda Velazquez</t>
  </si>
  <si>
    <t>Katie Hicks</t>
  </si>
  <si>
    <t>Veronica Silva</t>
  </si>
  <si>
    <t>Michelle Hampton</t>
  </si>
  <si>
    <t>Ashley Smith</t>
  </si>
  <si>
    <t>Gloria Gomez</t>
  </si>
  <si>
    <t>Courtney Dudley</t>
  </si>
  <si>
    <t>Timothy Pope</t>
  </si>
  <si>
    <t>Tina Ballard</t>
  </si>
  <si>
    <t>Anthony Stein</t>
  </si>
  <si>
    <t>Matthew Velez</t>
  </si>
  <si>
    <t>Alexandra Bradley</t>
  </si>
  <si>
    <t>Nicole Thompson</t>
  </si>
  <si>
    <t>Stacy Carrillo</t>
  </si>
  <si>
    <t>Justin Brown</t>
  </si>
  <si>
    <t>Steven Griffin Jr.</t>
  </si>
  <si>
    <t>Aaron Robinson</t>
  </si>
  <si>
    <t>Jason Mack</t>
  </si>
  <si>
    <t>Michael Stanley</t>
  </si>
  <si>
    <t>Julie Ball</t>
  </si>
  <si>
    <t>Donald Pineda</t>
  </si>
  <si>
    <t>Jill Powers</t>
  </si>
  <si>
    <t>Donna Cabrera</t>
  </si>
  <si>
    <t>Jason Hernandez</t>
  </si>
  <si>
    <t>Michael Shaffer</t>
  </si>
  <si>
    <t>Kristin Mendoza</t>
  </si>
  <si>
    <t>Jose Crawford</t>
  </si>
  <si>
    <t>Connie Thomas</t>
  </si>
  <si>
    <t>Robert Jackson</t>
  </si>
  <si>
    <t>Kelly Combs</t>
  </si>
  <si>
    <t>Antonio Little</t>
  </si>
  <si>
    <t>James Tran</t>
  </si>
  <si>
    <t>Tamara Hall</t>
  </si>
  <si>
    <t>Jennifer Ayala</t>
  </si>
  <si>
    <t>Kevin James</t>
  </si>
  <si>
    <t>Derrick Adams</t>
  </si>
  <si>
    <t>Michelle Simpson</t>
  </si>
  <si>
    <t>Scott Alexander</t>
  </si>
  <si>
    <t>Ernest Oconnell</t>
  </si>
  <si>
    <t>Randall Johnson</t>
  </si>
  <si>
    <t>Ryan Pope</t>
  </si>
  <si>
    <t>Jay Bennett</t>
  </si>
  <si>
    <t>Lonnie Hart</t>
  </si>
  <si>
    <t>Eric Patrick</t>
  </si>
  <si>
    <t>Rhonda Brown</t>
  </si>
  <si>
    <t>Emily Price</t>
  </si>
  <si>
    <t>Jill Jackson</t>
  </si>
  <si>
    <t>Ashley Wilson</t>
  </si>
  <si>
    <t>Ashley Greer PhD</t>
  </si>
  <si>
    <t>Charles Clark</t>
  </si>
  <si>
    <t>Brandi Thomas</t>
  </si>
  <si>
    <t>Mark Burton</t>
  </si>
  <si>
    <t>Paul Neal</t>
  </si>
  <si>
    <t>Raymond Oconnor</t>
  </si>
  <si>
    <t>Aaron Rubio</t>
  </si>
  <si>
    <t>Steven Martin</t>
  </si>
  <si>
    <t>Jennifer Anderson MD</t>
  </si>
  <si>
    <t>Emily Taylor</t>
  </si>
  <si>
    <t>Matthew Bowers</t>
  </si>
  <si>
    <t>Samantha Green</t>
  </si>
  <si>
    <t>Jesse Ward</t>
  </si>
  <si>
    <t>Tyler Johnson</t>
  </si>
  <si>
    <t>Patricia Collins</t>
  </si>
  <si>
    <t>Jacob Bonilla</t>
  </si>
  <si>
    <t>Anthony Shea DDS</t>
  </si>
  <si>
    <t>Kathy Walsh</t>
  </si>
  <si>
    <t>Cynthia Green</t>
  </si>
  <si>
    <t>Melissa Williams</t>
  </si>
  <si>
    <t>Anthony Evans</t>
  </si>
  <si>
    <t>Antonio Norman</t>
  </si>
  <si>
    <t>Kenneth Underwood</t>
  </si>
  <si>
    <t>Danielle Phillips</t>
  </si>
  <si>
    <t>Curtis Wilkerson</t>
  </si>
  <si>
    <t>Kathryn Price</t>
  </si>
  <si>
    <t>Kevin Hall</t>
  </si>
  <si>
    <t>Kristy Hart</t>
  </si>
  <si>
    <t>Joseph Smith</t>
  </si>
  <si>
    <t>Sarah Valencia</t>
  </si>
  <si>
    <t>Patricia Bradley</t>
  </si>
  <si>
    <t>William Jackson</t>
  </si>
  <si>
    <t>Michelle Williams</t>
  </si>
  <si>
    <t>Fernando Lynn</t>
  </si>
  <si>
    <t>Lisa Webb</t>
  </si>
  <si>
    <t>Jennifer Spencer</t>
  </si>
  <si>
    <t>Sara Hernandez</t>
  </si>
  <si>
    <t>Steven Baker</t>
  </si>
  <si>
    <t>Dennis Marshall</t>
  </si>
  <si>
    <t>Cynthia Evans</t>
  </si>
  <si>
    <t>Beth Henderson</t>
  </si>
  <si>
    <t>Thomas Sloan</t>
  </si>
  <si>
    <t>Kara Jackson</t>
  </si>
  <si>
    <t>Steve Rivera</t>
  </si>
  <si>
    <t>Caitlin Collins</t>
  </si>
  <si>
    <t>Corey Whitaker</t>
  </si>
  <si>
    <t>Madison Martinez</t>
  </si>
  <si>
    <t>Penny Lewis</t>
  </si>
  <si>
    <t>Carlos Thompson</t>
  </si>
  <si>
    <t>James Bailey</t>
  </si>
  <si>
    <t>Brian Hunt</t>
  </si>
  <si>
    <t>Sarah Pittman</t>
  </si>
  <si>
    <t>Courtney Walker</t>
  </si>
  <si>
    <t>Edward York</t>
  </si>
  <si>
    <t>Steve Mason</t>
  </si>
  <si>
    <t>Penny Anderson</t>
  </si>
  <si>
    <t>Joseph Cross</t>
  </si>
  <si>
    <t>Shawn Collins</t>
  </si>
  <si>
    <t>Joy Meyer</t>
  </si>
  <si>
    <t>Alex Wagner</t>
  </si>
  <si>
    <t>Martha Smith</t>
  </si>
  <si>
    <t>Matthew Bates</t>
  </si>
  <si>
    <t>Autumn Wilson</t>
  </si>
  <si>
    <t>Michael Meadows</t>
  </si>
  <si>
    <t>Sarah Ward</t>
  </si>
  <si>
    <t>Charles Holland</t>
  </si>
  <si>
    <t>Robert White</t>
  </si>
  <si>
    <t>Karen Fisher</t>
  </si>
  <si>
    <t>Jason Williams</t>
  </si>
  <si>
    <t>Vanessa Santiago</t>
  </si>
  <si>
    <t>Erica Rivera</t>
  </si>
  <si>
    <t>Alicia Powell</t>
  </si>
  <si>
    <t>Brian Prince</t>
  </si>
  <si>
    <t>Janice Petty</t>
  </si>
  <si>
    <t>Nicole Evans</t>
  </si>
  <si>
    <t>Anthony Adams</t>
  </si>
  <si>
    <t>Richard Jennings</t>
  </si>
  <si>
    <t>Douglas Baker</t>
  </si>
  <si>
    <t>Michael Fox</t>
  </si>
  <si>
    <t>Lisa Oliver</t>
  </si>
  <si>
    <t>Bradley Davis</t>
  </si>
  <si>
    <t>Ronald Johns</t>
  </si>
  <si>
    <t>Alan Nunez</t>
  </si>
  <si>
    <t>Daniel Davenport</t>
  </si>
  <si>
    <t>Angel Powers</t>
  </si>
  <si>
    <t>Ian Frazier</t>
  </si>
  <si>
    <t>Matthew Miller</t>
  </si>
  <si>
    <t>Angela Jones</t>
  </si>
  <si>
    <t>Sarah Drake</t>
  </si>
  <si>
    <t>Sierra Williams</t>
  </si>
  <si>
    <t>Deborah Stephens</t>
  </si>
  <si>
    <t>Brenda Martin</t>
  </si>
  <si>
    <t>Gary Wilson</t>
  </si>
  <si>
    <t>Alison Williams</t>
  </si>
  <si>
    <t>Rebecca Hoover</t>
  </si>
  <si>
    <t>Joseph Blankenship</t>
  </si>
  <si>
    <t>Robert Velez</t>
  </si>
  <si>
    <t>Kimberly Scott</t>
  </si>
  <si>
    <t>Wendy Sanders</t>
  </si>
  <si>
    <t>Eric Cooper</t>
  </si>
  <si>
    <t>Jessica Harris</t>
  </si>
  <si>
    <t>Lisa Craig</t>
  </si>
  <si>
    <t>Penny Gomez MD</t>
  </si>
  <si>
    <t>Hannah Richmond</t>
  </si>
  <si>
    <t>Debbie Russell</t>
  </si>
  <si>
    <t>Judy Murray</t>
  </si>
  <si>
    <t>Jennifer Gomez</t>
  </si>
  <si>
    <t>Hayden Shannon</t>
  </si>
  <si>
    <t>Nicolas Salas II</t>
  </si>
  <si>
    <t>Katherine Joyce</t>
  </si>
  <si>
    <t>Alexandra Clark</t>
  </si>
  <si>
    <t>Jonathan Clark</t>
  </si>
  <si>
    <t>Adam Fisher</t>
  </si>
  <si>
    <t>Jason Bell</t>
  </si>
  <si>
    <t>Greg Edwards</t>
  </si>
  <si>
    <t>Mary Shepard</t>
  </si>
  <si>
    <t>Cameron Rose</t>
  </si>
  <si>
    <t>Kimberly Taylor</t>
  </si>
  <si>
    <t>Sarah Cooper</t>
  </si>
  <si>
    <t>Ralph Yates</t>
  </si>
  <si>
    <t>Connie Miller</t>
  </si>
  <si>
    <t>Jason Floyd</t>
  </si>
  <si>
    <t>Tiffany Brown</t>
  </si>
  <si>
    <t>Sandra Martinez</t>
  </si>
  <si>
    <t>Dawn Little</t>
  </si>
  <si>
    <t>Heather Taylor</t>
  </si>
  <si>
    <t>Gregory Oconnor</t>
  </si>
  <si>
    <t>Cynthia Le</t>
  </si>
  <si>
    <t>Douglas Ortiz</t>
  </si>
  <si>
    <t>Beverly Russo</t>
  </si>
  <si>
    <t>Amy Grant</t>
  </si>
  <si>
    <t>Maurice Andrade</t>
  </si>
  <si>
    <t>David Gardner</t>
  </si>
  <si>
    <t>Andrew Mitchell</t>
  </si>
  <si>
    <t>Rodney Norris</t>
  </si>
  <si>
    <t>Jacob Perkins</t>
  </si>
  <si>
    <t>Jessica Conrad</t>
  </si>
  <si>
    <t>Caitlin Henderson</t>
  </si>
  <si>
    <t>Victoria Wyatt</t>
  </si>
  <si>
    <t>Matthew Foster</t>
  </si>
  <si>
    <t>David Bradley</t>
  </si>
  <si>
    <t>Tyler Miller</t>
  </si>
  <si>
    <t>Taylor Mathis Jr.</t>
  </si>
  <si>
    <t>Candice Ramos</t>
  </si>
  <si>
    <t>Christine Wright</t>
  </si>
  <si>
    <t>Allison Doyle</t>
  </si>
  <si>
    <t>Meghan Anthony</t>
  </si>
  <si>
    <t>Jason Powell</t>
  </si>
  <si>
    <t>Rebecca Moyer</t>
  </si>
  <si>
    <t>Daniel Murphy</t>
  </si>
  <si>
    <t>Paul Williams</t>
  </si>
  <si>
    <t>Pamela Jackson</t>
  </si>
  <si>
    <t>Miguel Jones</t>
  </si>
  <si>
    <t>Jack Snow</t>
  </si>
  <si>
    <t>Robert Medina</t>
  </si>
  <si>
    <t>Cheryl Allen</t>
  </si>
  <si>
    <t>Joseph Coleman</t>
  </si>
  <si>
    <t>Nathan Stewart</t>
  </si>
  <si>
    <t>Scott Wilson</t>
  </si>
  <si>
    <t>Regina Gonzalez</t>
  </si>
  <si>
    <t>Sydney White</t>
  </si>
  <si>
    <t>Frank Garcia</t>
  </si>
  <si>
    <t>David Wilson</t>
  </si>
  <si>
    <t>Joseph Dean</t>
  </si>
  <si>
    <t>Emily Smith</t>
  </si>
  <si>
    <t>Kristen Reyes</t>
  </si>
  <si>
    <t>Diane Evans</t>
  </si>
  <si>
    <t>Joseph Knight</t>
  </si>
  <si>
    <t>Christina Cruz</t>
  </si>
  <si>
    <t>Michael Johnson</t>
  </si>
  <si>
    <t>Tanner Mitchell DDS</t>
  </si>
  <si>
    <t>Patricia Becker</t>
  </si>
  <si>
    <t>Susan Rivas</t>
  </si>
  <si>
    <t>Regina Mcdonald</t>
  </si>
  <si>
    <t>Jesse Santiago</t>
  </si>
  <si>
    <t>Samantha Davis</t>
  </si>
  <si>
    <t>Cameron Fisher</t>
  </si>
  <si>
    <t>Richard Camacho</t>
  </si>
  <si>
    <t>Larry Garcia</t>
  </si>
  <si>
    <t>Meagan Jenkins</t>
  </si>
  <si>
    <t>Paula Bradley</t>
  </si>
  <si>
    <t>Crystal Hansen</t>
  </si>
  <si>
    <t>Craig Morrison</t>
  </si>
  <si>
    <t>Sonia Day</t>
  </si>
  <si>
    <t>Dustin Newman</t>
  </si>
  <si>
    <t>Kelly Bishop MD</t>
  </si>
  <si>
    <t>Rachel Holland</t>
  </si>
  <si>
    <t>Felicia Aguilar</t>
  </si>
  <si>
    <t>Meagan Calderon</t>
  </si>
  <si>
    <t>Kaitlyn Guerra</t>
  </si>
  <si>
    <t>Ruben Dunn</t>
  </si>
  <si>
    <t>Jason Bauer</t>
  </si>
  <si>
    <t>Lynn Andrews</t>
  </si>
  <si>
    <t>Heather Ashley</t>
  </si>
  <si>
    <t>Haley Quinn</t>
  </si>
  <si>
    <t>Catherine Taylor</t>
  </si>
  <si>
    <t>Emily Collins</t>
  </si>
  <si>
    <t>Mitchell Jackson</t>
  </si>
  <si>
    <t>Jessica Martinez</t>
  </si>
  <si>
    <t>Michelle Pierce</t>
  </si>
  <si>
    <t>William Conner</t>
  </si>
  <si>
    <t>Ana Sanders</t>
  </si>
  <si>
    <t>Evan Jones</t>
  </si>
  <si>
    <t>Emma Travis</t>
  </si>
  <si>
    <t>Emma Owens</t>
  </si>
  <si>
    <t>Dylan Hughes</t>
  </si>
  <si>
    <t>Andrew Williams</t>
  </si>
  <si>
    <t>Reginald Knapp</t>
  </si>
  <si>
    <t>Mary Burgess</t>
  </si>
  <si>
    <t>Brooke Delgado</t>
  </si>
  <si>
    <t>Casey Gillespie</t>
  </si>
  <si>
    <t>Corey Rodriguez</t>
  </si>
  <si>
    <t>Cathy Taylor</t>
  </si>
  <si>
    <t>Tiffany Turner</t>
  </si>
  <si>
    <t>Michael Durham</t>
  </si>
  <si>
    <t>Donald Hawkins</t>
  </si>
  <si>
    <t>Sarah Davis</t>
  </si>
  <si>
    <t>Autumn Key</t>
  </si>
  <si>
    <t>Kristen Rowe</t>
  </si>
  <si>
    <t>Kelly Sanchez</t>
  </si>
  <si>
    <t>Alan Bowen</t>
  </si>
  <si>
    <t>Susan Rodriguez</t>
  </si>
  <si>
    <t>Tyler Stevens</t>
  </si>
  <si>
    <t>Amanda Mcfarland</t>
  </si>
  <si>
    <t>Tanya Evans</t>
  </si>
  <si>
    <t>Valerie Brown</t>
  </si>
  <si>
    <t>Richard Moore</t>
  </si>
  <si>
    <t>Philip Garcia</t>
  </si>
  <si>
    <t>Rachel Shields</t>
  </si>
  <si>
    <t>Douglas Hartman</t>
  </si>
  <si>
    <t>Sheila Barnes</t>
  </si>
  <si>
    <t>Daniel Burgess</t>
  </si>
  <si>
    <t>Thomas Miller</t>
  </si>
  <si>
    <t>Christopher Castro</t>
  </si>
  <si>
    <t>Jessica Johnson</t>
  </si>
  <si>
    <t>Michael Mcbride</t>
  </si>
  <si>
    <t>Jennifer Taylor</t>
  </si>
  <si>
    <t>Maria Cooke</t>
  </si>
  <si>
    <t>Kari Lee</t>
  </si>
  <si>
    <t>Xavier Rowe</t>
  </si>
  <si>
    <t>Tiffany Robertson</t>
  </si>
  <si>
    <t>Samantha Simpson</t>
  </si>
  <si>
    <t>Rachel Shannon</t>
  </si>
  <si>
    <t>Brandon Lewis</t>
  </si>
  <si>
    <t>Edwin Reyes</t>
  </si>
  <si>
    <t>Lisa Ramos</t>
  </si>
  <si>
    <t>Peggy Vaughn</t>
  </si>
  <si>
    <t>Bonnie Valencia</t>
  </si>
  <si>
    <t>Austin Baker</t>
  </si>
  <si>
    <t>James Davidson</t>
  </si>
  <si>
    <t>Kevin Hines</t>
  </si>
  <si>
    <t>Lee Parker</t>
  </si>
  <si>
    <t>Patricia Johnson</t>
  </si>
  <si>
    <t>Megan Wilson</t>
  </si>
  <si>
    <t>Roger Duncan</t>
  </si>
  <si>
    <t>April Sandoval</t>
  </si>
  <si>
    <t>Dillon Jones</t>
  </si>
  <si>
    <t>Bryan Howard</t>
  </si>
  <si>
    <t>Angela Osborn</t>
  </si>
  <si>
    <t>Daniel Lopez</t>
  </si>
  <si>
    <t>Vickie Price</t>
  </si>
  <si>
    <t>Morgan Kim</t>
  </si>
  <si>
    <t>Kevin Thompson</t>
  </si>
  <si>
    <t>Heather Bennett</t>
  </si>
  <si>
    <t>Karen Davis</t>
  </si>
  <si>
    <t>Leah Spencer</t>
  </si>
  <si>
    <t>Lisa Martinez</t>
  </si>
  <si>
    <t>Lisa Mills</t>
  </si>
  <si>
    <t>Traci Garcia</t>
  </si>
  <si>
    <t>Ryan Garrison</t>
  </si>
  <si>
    <t>Ann Alexander</t>
  </si>
  <si>
    <t>Hailey Monroe</t>
  </si>
  <si>
    <t>Donald Nguyen</t>
  </si>
  <si>
    <t>Cynthia Brown</t>
  </si>
  <si>
    <t>Jason Price</t>
  </si>
  <si>
    <t>William Orozco</t>
  </si>
  <si>
    <t>Christopher Walters</t>
  </si>
  <si>
    <t>Katherine Christensen MD</t>
  </si>
  <si>
    <t>Elizabeth Williams</t>
  </si>
  <si>
    <t>Ashley Scott</t>
  </si>
  <si>
    <t>Meghan White</t>
  </si>
  <si>
    <t>Michael Cruz</t>
  </si>
  <si>
    <t>David Stevens</t>
  </si>
  <si>
    <t>Heidi Brown</t>
  </si>
  <si>
    <t>Peter Walker</t>
  </si>
  <si>
    <t>Levi Lopez</t>
  </si>
  <si>
    <t>Peter Williams</t>
  </si>
  <si>
    <t>Jessica Richards</t>
  </si>
  <si>
    <t>Tammy Anderson</t>
  </si>
  <si>
    <t>Stephanie Ferguson</t>
  </si>
  <si>
    <t>Ashley Parrish</t>
  </si>
  <si>
    <t>Kimberly Morrison</t>
  </si>
  <si>
    <t>Timothy Gilbert</t>
  </si>
  <si>
    <t>Erin Carter</t>
  </si>
  <si>
    <t>Jaime Lang</t>
  </si>
  <si>
    <t>Amanda Jones</t>
  </si>
  <si>
    <t>Elizabeth Miller</t>
  </si>
  <si>
    <t>Joseph Taylor</t>
  </si>
  <si>
    <t>Traci Camacho</t>
  </si>
  <si>
    <t>Kenneth Long</t>
  </si>
  <si>
    <t>Michael Young</t>
  </si>
  <si>
    <t>Matthew Steele</t>
  </si>
  <si>
    <t>Reginald Diaz</t>
  </si>
  <si>
    <t>Amanda Juarez</t>
  </si>
  <si>
    <t>Courtney Sullivan</t>
  </si>
  <si>
    <t>Linda Elliott</t>
  </si>
  <si>
    <t>Sherry Schmidt</t>
  </si>
  <si>
    <t>Jacqueline Williams</t>
  </si>
  <si>
    <t>Brian Simmons</t>
  </si>
  <si>
    <t>Richard Avery</t>
  </si>
  <si>
    <t>Abigail Davis</t>
  </si>
  <si>
    <t>Andrew Cruz</t>
  </si>
  <si>
    <t>Laura Benson</t>
  </si>
  <si>
    <t>Pamela Weaver</t>
  </si>
  <si>
    <t>Robert Mendoza</t>
  </si>
  <si>
    <t>Veronica Parks</t>
  </si>
  <si>
    <t>Robert Woods</t>
  </si>
  <si>
    <t>Jane Mitchell</t>
  </si>
  <si>
    <t>Teresa Adkins</t>
  </si>
  <si>
    <t>Randy Warren</t>
  </si>
  <si>
    <t>Brandon Parker</t>
  </si>
  <si>
    <t>Mark Williamson</t>
  </si>
  <si>
    <t>Joseph Lopez</t>
  </si>
  <si>
    <t>Ray Boyd</t>
  </si>
  <si>
    <t>Donald Wilson</t>
  </si>
  <si>
    <t>Jonathan Parks</t>
  </si>
  <si>
    <t>Ashley Freeman</t>
  </si>
  <si>
    <t>Dawn Diaz</t>
  </si>
  <si>
    <t>Morgan Davenport</t>
  </si>
  <si>
    <t>Theresa Hansen</t>
  </si>
  <si>
    <t>Krista Shea</t>
  </si>
  <si>
    <t>Rebecca Thompson</t>
  </si>
  <si>
    <t>United States</t>
  </si>
  <si>
    <t>Brazil</t>
  </si>
  <si>
    <t>United Kingdom</t>
  </si>
  <si>
    <t>China</t>
  </si>
  <si>
    <t>Australia</t>
  </si>
  <si>
    <t>Antarctica</t>
  </si>
  <si>
    <t>Year</t>
  </si>
  <si>
    <t>Month</t>
  </si>
  <si>
    <t>Day</t>
  </si>
  <si>
    <t>Delivery time</t>
  </si>
  <si>
    <t>Total cost</t>
  </si>
  <si>
    <t>Sales Revenue</t>
  </si>
  <si>
    <t>Net Profit</t>
  </si>
  <si>
    <t>Mean</t>
  </si>
  <si>
    <t>Standard Error</t>
  </si>
  <si>
    <t>Median</t>
  </si>
  <si>
    <t>Mode</t>
  </si>
  <si>
    <t>Standard Deviation</t>
  </si>
  <si>
    <t>Sample Variance</t>
  </si>
  <si>
    <t>Kurtosis</t>
  </si>
  <si>
    <t>Skewness</t>
  </si>
  <si>
    <t>Range</t>
  </si>
  <si>
    <t>Minimum</t>
  </si>
  <si>
    <t>Maximum</t>
  </si>
  <si>
    <t>Sum</t>
  </si>
  <si>
    <t>Count</t>
  </si>
  <si>
    <t>Descriptive statistiics</t>
  </si>
  <si>
    <t>Sales revenue</t>
  </si>
  <si>
    <t>Net profit</t>
  </si>
  <si>
    <t>Unit price</t>
  </si>
  <si>
    <t>TEST</t>
  </si>
  <si>
    <t>Scenario</t>
  </si>
  <si>
    <t>Delivery time does not influence whether an order is returned.</t>
  </si>
  <si>
    <t>Whether there is a relationship between delivery time and statust (Completed/Returned ).</t>
  </si>
  <si>
    <t>Alternative hypothesis(H1)</t>
  </si>
  <si>
    <t>Null hypothesis (Ho)</t>
  </si>
  <si>
    <t>Orders with longer delivery times are more likely to return.</t>
  </si>
  <si>
    <t xml:space="preserve">Returned </t>
  </si>
  <si>
    <t>t-Test: Two-Sample Assuming Unequal Variances</t>
  </si>
  <si>
    <t>Variance</t>
  </si>
  <si>
    <t>Observations</t>
  </si>
  <si>
    <t>Hypothesized Mean Difference</t>
  </si>
  <si>
    <t>df</t>
  </si>
  <si>
    <t>t Stat</t>
  </si>
  <si>
    <t>P(T&lt;=t) one-tail</t>
  </si>
  <si>
    <t>t Critical one-tail</t>
  </si>
  <si>
    <t>P(T&lt;=t) two-tail</t>
  </si>
  <si>
    <t>t Critical two-tail</t>
  </si>
  <si>
    <t>Interpratation</t>
  </si>
  <si>
    <t>1.Since P value is much smaller than 0.05, we rejects null hypothesis.</t>
  </si>
  <si>
    <t>2.There is a statistically significant relationship between delivery times and order status.</t>
  </si>
  <si>
    <t>In business terms</t>
  </si>
  <si>
    <t>1. Orders that end up being returned take an average of 1.79 days , or about 2 days longer to deliver.</t>
  </si>
  <si>
    <t xml:space="preserve">recommendation </t>
  </si>
  <si>
    <t>1.Monitor orders that are longer than 7 days to deliver , as they might be higher risk of returns.</t>
  </si>
  <si>
    <t xml:space="preserve">2.set up alerts for delayed deliveries to take preventative actions. </t>
  </si>
  <si>
    <t xml:space="preserve">
</t>
  </si>
  <si>
    <t xml:space="preserve">What it means: In statistics, the p-value helps us decide if an observed effect is real or just due to random chance.
</t>
  </si>
  <si>
    <t>A p-value much smaller than 0.05 means the result is statistically significant.
"Rejecting the null hypothesis" means we believe that there is a real relationship between delivery times and order status (not just random chance).</t>
  </si>
  <si>
    <t>This means the time it takes to deliver an order is related to whether or not the customer keeps the order or returns it.
In other words, how long delivery takes affects whether the product is returned.</t>
  </si>
  <si>
    <t>Customers are more likely to return orders that took longer to arrive.
On average, returned items were delivered 1.79 days later than those not returned.
Delayed deliveries may lead to customer dissatisfaction, increasing the chance of returns.</t>
  </si>
  <si>
    <t>Orders that take more than a week to arrive could be red flags.
These deliveries should be watched closely because they have a higher chance of being returned.
This can help the business spot problems early and reduce return rates.</t>
  </si>
  <si>
    <t>Use systems or tools to automatically notify the team if a delivery is running late.
Then the company can take steps like:
Contacting the customer.
Speeding up delivery.
Offering support or explanations.
This helps keep customers happy and reduce returns.</t>
  </si>
  <si>
    <t>category</t>
  </si>
  <si>
    <t>Product name:</t>
  </si>
  <si>
    <t>country:</t>
  </si>
  <si>
    <t>Method:</t>
  </si>
  <si>
    <t xml:space="preserve">Sales Form </t>
  </si>
  <si>
    <t>Customer name:</t>
  </si>
  <si>
    <t>Product Category:</t>
  </si>
  <si>
    <t>Product Name:</t>
  </si>
  <si>
    <t>Order date:</t>
  </si>
  <si>
    <t>Delivered date:</t>
  </si>
  <si>
    <t>Quantity:</t>
  </si>
  <si>
    <t>Unit Price:</t>
  </si>
  <si>
    <t>Status:</t>
  </si>
  <si>
    <t>Country:</t>
  </si>
  <si>
    <t>Payment method:</t>
  </si>
  <si>
    <t xml:space="preserve">Mona France </t>
  </si>
  <si>
    <t xml:space="preserve">Customer name </t>
  </si>
  <si>
    <t>Product name</t>
  </si>
  <si>
    <t>Order date</t>
  </si>
  <si>
    <t>Delivered date</t>
  </si>
  <si>
    <t xml:space="preserve">Quantity </t>
  </si>
  <si>
    <t xml:space="preserve">Unit Price </t>
  </si>
  <si>
    <t xml:space="preserve">Country </t>
  </si>
  <si>
    <t>Payment method</t>
  </si>
  <si>
    <t>John Legend</t>
  </si>
  <si>
    <t>Yoro Yui</t>
  </si>
  <si>
    <t>Miya kollar</t>
  </si>
  <si>
    <t>Sum of Sales Revenue</t>
  </si>
  <si>
    <t>Sum of Total cost</t>
  </si>
  <si>
    <t>Sum of Net Profit</t>
  </si>
  <si>
    <t>Count of Customer Name</t>
  </si>
  <si>
    <t>Row Labels</t>
  </si>
  <si>
    <t>Grand Total</t>
  </si>
  <si>
    <t>Count of Status</t>
  </si>
  <si>
    <t>Percentage</t>
  </si>
  <si>
    <t>Other</t>
  </si>
  <si>
    <t xml:space="preserve">Other </t>
  </si>
  <si>
    <t>Jan</t>
  </si>
  <si>
    <t>Feb</t>
  </si>
  <si>
    <t>Mar</t>
  </si>
  <si>
    <t>Apr</t>
  </si>
  <si>
    <t>May</t>
  </si>
  <si>
    <t>Jun</t>
  </si>
  <si>
    <t>Jul</t>
  </si>
  <si>
    <t>Aug</t>
  </si>
  <si>
    <t>Sep</t>
  </si>
  <si>
    <t>Oct</t>
  </si>
  <si>
    <t>Nov</t>
  </si>
  <si>
    <t>Dec</t>
  </si>
  <si>
    <t>Monday</t>
  </si>
  <si>
    <t>Saturday</t>
  </si>
  <si>
    <t>Friday</t>
  </si>
  <si>
    <t>Find Position</t>
  </si>
  <si>
    <t>Previous month</t>
  </si>
  <si>
    <t>Support</t>
  </si>
  <si>
    <t xml:space="preserve">Current Revenue </t>
  </si>
  <si>
    <t>Previous Revenue</t>
  </si>
  <si>
    <t>(All)</t>
  </si>
  <si>
    <t xml:space="preserve">Percentage difference </t>
  </si>
  <si>
    <t>Value difference</t>
  </si>
  <si>
    <t>Final revenue VS LM</t>
  </si>
  <si>
    <t>Total Cost</t>
  </si>
  <si>
    <t>Revenue</t>
  </si>
  <si>
    <t>Previous cost</t>
  </si>
  <si>
    <t>Final cost VS LM</t>
  </si>
  <si>
    <t>Orders</t>
  </si>
  <si>
    <t>Current Orders</t>
  </si>
  <si>
    <t>Previous Orders</t>
  </si>
  <si>
    <t>John</t>
  </si>
  <si>
    <t xml:space="preserve">Sales Revenue </t>
  </si>
  <si>
    <t xml:space="preserve">Net Profit </t>
  </si>
  <si>
    <t xml:space="preserve">Total cost </t>
  </si>
  <si>
    <t>Count of Payment Method</t>
  </si>
  <si>
    <t>Yanshin</t>
  </si>
  <si>
    <t>Wednesday</t>
  </si>
  <si>
    <t>Sunday</t>
  </si>
  <si>
    <t>Tuesday</t>
  </si>
  <si>
    <t>Thursday</t>
  </si>
  <si>
    <t>Cost Percentage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</si>
</sst>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5" formatCode="&quot;$&quot;#,##0_);\(&quot;$&quot;#,##0\)"/>
    <numFmt numFmtId="44" formatCode="_(&quot;$&quot;* #,##0.00_);_(&quot;$&quot;* \(#,##0.00\);_(&quot;$&quot;* &quot;-&quot;??_);_(@_)"/>
    <numFmt numFmtId="164" formatCode="_(&quot;$&quot;* #,##0_);_(&quot;$&quot;* \(#,##0\);_(&quot;$&quot;* &quot;-&quot;??_);_(@_)"/>
  </numFmts>
  <fonts count="16" x14ac:knownFonts="1">
    <font>
      <sz val="11"/>
      <color theme="1"/>
      <name val="Calibri"/>
      <family val="2"/>
      <scheme val="minor"/>
    </font>
    <font>
      <i/>
      <sz val="11"/>
      <color theme="1"/>
      <name val="Calibri"/>
      <family val="2"/>
      <scheme val="minor"/>
    </font>
    <font>
      <sz val="20"/>
      <color theme="2"/>
      <name val="Calibri"/>
      <family val="2"/>
      <scheme val="minor"/>
    </font>
    <font>
      <b/>
      <i/>
      <sz val="11"/>
      <color theme="1"/>
      <name val="Calibri"/>
      <family val="2"/>
      <scheme val="minor"/>
    </font>
    <font>
      <sz val="22"/>
      <color theme="1"/>
      <name val="Calibri"/>
      <family val="2"/>
      <scheme val="minor"/>
    </font>
    <font>
      <b/>
      <sz val="16"/>
      <color theme="1"/>
      <name val="Calibri"/>
      <family val="2"/>
      <scheme val="minor"/>
    </font>
    <font>
      <b/>
      <sz val="22"/>
      <color theme="1"/>
      <name val="Calibri"/>
      <family val="2"/>
      <scheme val="minor"/>
    </font>
    <font>
      <b/>
      <sz val="11"/>
      <color theme="0"/>
      <name val="Calibri"/>
      <family val="2"/>
      <scheme val="minor"/>
    </font>
    <font>
      <sz val="28"/>
      <color theme="0"/>
      <name val="Calibri"/>
      <family val="2"/>
      <scheme val="minor"/>
    </font>
    <font>
      <b/>
      <sz val="28"/>
      <color theme="0"/>
      <name val="Calibri"/>
      <family val="2"/>
      <scheme val="minor"/>
    </font>
    <font>
      <b/>
      <sz val="22"/>
      <color rgb="FF000000"/>
      <name val="Calibri"/>
      <family val="2"/>
    </font>
    <font>
      <sz val="11"/>
      <color theme="1"/>
      <name val="Calibri"/>
      <family val="2"/>
      <scheme val="minor"/>
    </font>
    <font>
      <b/>
      <sz val="11"/>
      <color theme="1"/>
      <name val="Calibri"/>
      <family val="2"/>
      <scheme val="minor"/>
    </font>
    <font>
      <sz val="11"/>
      <color theme="5" tint="0.79998168889431442"/>
      <name val="Calibri"/>
      <family val="2"/>
      <scheme val="minor"/>
    </font>
    <font>
      <b/>
      <sz val="10"/>
      <color rgb="FFFF0000"/>
      <name val="Calibri"/>
      <family val="2"/>
      <scheme val="minor"/>
    </font>
    <font>
      <b/>
      <sz val="10"/>
      <color theme="1"/>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8" tint="-0.249977111117893"/>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4" tint="0.79998168889431442"/>
        <bgColor indexed="64"/>
      </patternFill>
    </fill>
  </fills>
  <borders count="21">
    <border>
      <left/>
      <right/>
      <top/>
      <bottom/>
      <diagonal/>
    </border>
    <border>
      <left/>
      <right/>
      <top/>
      <bottom style="medium">
        <color indexed="64"/>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thin">
        <color theme="4" tint="0.39997558519241921"/>
      </right>
      <top/>
      <bottom/>
      <diagonal/>
    </border>
    <border>
      <left style="thin">
        <color theme="4" tint="0.39997558519241921"/>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s>
  <cellStyleXfs count="3">
    <xf numFmtId="0" fontId="0" fillId="0" borderId="0"/>
    <xf numFmtId="44" fontId="11" fillId="0" borderId="0" applyFont="0" applyFill="0" applyBorder="0" applyAlignment="0" applyProtection="0"/>
    <xf numFmtId="9" fontId="11" fillId="0" borderId="0" applyFont="0" applyFill="0" applyBorder="0" applyAlignment="0" applyProtection="0"/>
  </cellStyleXfs>
  <cellXfs count="60">
    <xf numFmtId="0" fontId="0" fillId="0" borderId="0" xfId="0"/>
    <xf numFmtId="0" fontId="3" fillId="0" borderId="3" xfId="0" applyFont="1" applyBorder="1" applyAlignment="1">
      <alignment horizontal="center"/>
    </xf>
    <xf numFmtId="0" fontId="0" fillId="0" borderId="3" xfId="0" applyBorder="1"/>
    <xf numFmtId="0" fontId="4" fillId="0" borderId="0" xfId="0" applyFont="1"/>
    <xf numFmtId="0" fontId="5" fillId="0" borderId="0" xfId="0" applyFont="1"/>
    <xf numFmtId="0" fontId="4" fillId="0" borderId="4" xfId="0" applyFont="1" applyBorder="1"/>
    <xf numFmtId="0" fontId="4" fillId="0" borderId="5" xfId="0" applyFont="1" applyBorder="1"/>
    <xf numFmtId="0" fontId="6" fillId="0" borderId="5" xfId="0" applyFont="1" applyBorder="1"/>
    <xf numFmtId="0" fontId="4" fillId="0" borderId="6" xfId="0" applyFont="1" applyBorder="1"/>
    <xf numFmtId="0" fontId="0" fillId="0" borderId="1" xfId="0" applyBorder="1"/>
    <xf numFmtId="0" fontId="1" fillId="0" borderId="2" xfId="0" applyFont="1" applyBorder="1" applyAlignment="1">
      <alignment horizontal="center"/>
    </xf>
    <xf numFmtId="0" fontId="0" fillId="4" borderId="7" xfId="0" applyFill="1" applyBorder="1"/>
    <xf numFmtId="0" fontId="0" fillId="4" borderId="8" xfId="0" applyFill="1" applyBorder="1"/>
    <xf numFmtId="14" fontId="0" fillId="4" borderId="8" xfId="0" applyNumberFormat="1" applyFill="1" applyBorder="1"/>
    <xf numFmtId="0" fontId="0" fillId="4" borderId="9" xfId="0" applyFill="1" applyBorder="1"/>
    <xf numFmtId="0" fontId="0" fillId="0" borderId="7" xfId="0" applyBorder="1"/>
    <xf numFmtId="0" fontId="0" fillId="0" borderId="8" xfId="0" applyBorder="1"/>
    <xf numFmtId="14" fontId="0" fillId="0" borderId="8" xfId="0" applyNumberFormat="1" applyBorder="1"/>
    <xf numFmtId="0" fontId="0" fillId="0" borderId="9" xfId="0" applyBorder="1"/>
    <xf numFmtId="0" fontId="0" fillId="2" borderId="8" xfId="0" applyFill="1" applyBorder="1"/>
    <xf numFmtId="0" fontId="7" fillId="5" borderId="0" xfId="0" applyFont="1" applyFill="1"/>
    <xf numFmtId="0" fontId="7" fillId="5" borderId="10" xfId="0" applyFont="1" applyFill="1" applyBorder="1"/>
    <xf numFmtId="0" fontId="7" fillId="5" borderId="11" xfId="0" applyFont="1" applyFill="1" applyBorder="1"/>
    <xf numFmtId="1" fontId="0" fillId="4" borderId="8" xfId="0" applyNumberFormat="1" applyFill="1" applyBorder="1"/>
    <xf numFmtId="1" fontId="0" fillId="0" borderId="8" xfId="0" applyNumberFormat="1" applyBorder="1"/>
    <xf numFmtId="0" fontId="0" fillId="0" borderId="0" xfId="0" applyAlignment="1">
      <alignment wrapText="1"/>
    </xf>
    <xf numFmtId="0" fontId="0" fillId="2" borderId="0" xfId="0" applyFill="1"/>
    <xf numFmtId="0" fontId="8" fillId="2" borderId="16" xfId="0" applyFont="1" applyFill="1" applyBorder="1" applyAlignment="1">
      <alignment horizontal="center"/>
    </xf>
    <xf numFmtId="0" fontId="8" fillId="2" borderId="0" xfId="0" applyFont="1" applyFill="1" applyAlignment="1">
      <alignment horizontal="center"/>
    </xf>
    <xf numFmtId="0" fontId="8" fillId="2" borderId="17" xfId="0" applyFont="1" applyFill="1" applyBorder="1" applyAlignment="1">
      <alignment horizontal="center"/>
    </xf>
    <xf numFmtId="0" fontId="0" fillId="2" borderId="16" xfId="0" applyFill="1" applyBorder="1"/>
    <xf numFmtId="0" fontId="0" fillId="2" borderId="17" xfId="0" applyFill="1" applyBorder="1"/>
    <xf numFmtId="0" fontId="0" fillId="2" borderId="18" xfId="0" applyFill="1" applyBorder="1"/>
    <xf numFmtId="0" fontId="0" fillId="2" borderId="1" xfId="0" applyFill="1" applyBorder="1"/>
    <xf numFmtId="0" fontId="0" fillId="2" borderId="19" xfId="0" applyFill="1" applyBorder="1"/>
    <xf numFmtId="0" fontId="0" fillId="7" borderId="0" xfId="0" applyFill="1"/>
    <xf numFmtId="0" fontId="13" fillId="7" borderId="0" xfId="0" applyFont="1" applyFill="1"/>
    <xf numFmtId="0" fontId="13" fillId="6" borderId="12" xfId="0" applyFont="1" applyFill="1" applyBorder="1"/>
    <xf numFmtId="14" fontId="13" fillId="6" borderId="12" xfId="0" applyNumberFormat="1" applyFont="1" applyFill="1" applyBorder="1"/>
    <xf numFmtId="14" fontId="13" fillId="7" borderId="0" xfId="0" applyNumberFormat="1" applyFont="1" applyFill="1"/>
    <xf numFmtId="0" fontId="0" fillId="0" borderId="0" xfId="0" pivotButton="1"/>
    <xf numFmtId="0" fontId="12" fillId="0" borderId="0" xfId="0" pivotButton="1" applyFont="1"/>
    <xf numFmtId="0" fontId="12" fillId="0" borderId="0" xfId="0" applyFont="1"/>
    <xf numFmtId="164" fontId="0" fillId="0" borderId="0" xfId="1" applyNumberFormat="1" applyFont="1"/>
    <xf numFmtId="0" fontId="12" fillId="0" borderId="0" xfId="0" applyFont="1" applyAlignment="1">
      <alignment horizontal="left"/>
    </xf>
    <xf numFmtId="9" fontId="0" fillId="0" borderId="0" xfId="2" applyFont="1"/>
    <xf numFmtId="2" fontId="0" fillId="0" borderId="0" xfId="0" applyNumberFormat="1"/>
    <xf numFmtId="9" fontId="0" fillId="0" borderId="0" xfId="0" applyNumberFormat="1"/>
    <xf numFmtId="0" fontId="12" fillId="4" borderId="20" xfId="0" applyFont="1" applyFill="1" applyBorder="1"/>
    <xf numFmtId="5" fontId="12" fillId="0" borderId="0" xfId="0" applyNumberFormat="1" applyFont="1"/>
    <xf numFmtId="0" fontId="14" fillId="8" borderId="0" xfId="0" applyFont="1" applyFill="1" applyAlignment="1">
      <alignment horizontal="center" vertical="center"/>
    </xf>
    <xf numFmtId="0" fontId="15" fillId="8" borderId="0" xfId="0" applyFont="1" applyFill="1" applyAlignment="1">
      <alignment horizontal="center" vertical="center"/>
    </xf>
    <xf numFmtId="5" fontId="12" fillId="0" borderId="0" xfId="0" applyNumberFormat="1" applyFont="1" applyAlignment="1">
      <alignment horizontal="left"/>
    </xf>
    <xf numFmtId="0" fontId="2" fillId="3" borderId="0" xfId="0" applyFont="1" applyFill="1" applyAlignment="1">
      <alignment horizontal="center"/>
    </xf>
    <xf numFmtId="0" fontId="9" fillId="9" borderId="13" xfId="0" applyFont="1" applyFill="1" applyBorder="1" applyAlignment="1">
      <alignment horizontal="center"/>
    </xf>
    <xf numFmtId="0" fontId="9" fillId="9" borderId="14" xfId="0" applyFont="1" applyFill="1" applyBorder="1" applyAlignment="1">
      <alignment horizontal="center"/>
    </xf>
    <xf numFmtId="0" fontId="9" fillId="9" borderId="15" xfId="0" applyFont="1" applyFill="1" applyBorder="1" applyAlignment="1">
      <alignment horizontal="center"/>
    </xf>
    <xf numFmtId="0" fontId="0" fillId="10" borderId="12" xfId="0" applyFill="1" applyBorder="1" applyProtection="1">
      <protection locked="0"/>
    </xf>
    <xf numFmtId="0" fontId="0" fillId="10" borderId="12" xfId="0" quotePrefix="1" applyFill="1" applyBorder="1" applyProtection="1">
      <protection locked="0"/>
    </xf>
    <xf numFmtId="14" fontId="0" fillId="10" borderId="12" xfId="0" applyNumberFormat="1" applyFill="1" applyBorder="1" applyProtection="1">
      <protection locked="0"/>
    </xf>
  </cellXfs>
  <cellStyles count="3">
    <cellStyle name="Currency" xfId="1" builtinId="4"/>
    <cellStyle name="Normal" xfId="0" builtinId="0"/>
    <cellStyle name="Percent" xfId="2" builtinId="5"/>
  </cellStyles>
  <dxfs count="50">
    <dxf>
      <font>
        <color rgb="FF00B050"/>
      </font>
    </dxf>
    <dxf>
      <font>
        <color rgb="FFFF0000"/>
      </font>
    </dxf>
    <dxf>
      <font>
        <color rgb="FFFF0000"/>
      </font>
    </dxf>
    <dxf>
      <font>
        <color rgb="FF00B050"/>
      </font>
    </dxf>
    <dxf>
      <font>
        <color rgb="FF00B050"/>
      </font>
    </dxf>
    <dxf>
      <font>
        <color rgb="FFFF0000"/>
      </font>
    </dxf>
    <dxf>
      <font>
        <color rgb="FFFF0000"/>
      </font>
    </dxf>
    <dxf>
      <font>
        <color rgb="FF00B050"/>
      </font>
    </dxf>
    <dxf>
      <font>
        <b/>
      </font>
    </dxf>
    <dxf>
      <font>
        <b/>
      </font>
    </dxf>
    <dxf>
      <font>
        <b/>
      </font>
    </dxf>
    <dxf>
      <font>
        <b/>
      </font>
    </dxf>
    <dxf>
      <numFmt numFmtId="9" formatCode="&quot;$&quot;#,##0_);\(&quot;$&quot;#,##0\)"/>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style="thin">
          <color theme="4" tint="0.39997558519241921"/>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9" formatCode="dd/mm/yy"/>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9" formatCode="dd/mm/yy"/>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i val="0"/>
        <sz val="12"/>
        <color theme="1"/>
        <name val="Calibri"/>
        <family val="2"/>
        <scheme val="minor"/>
      </font>
    </dxf>
    <dxf>
      <font>
        <b/>
        <i val="0"/>
        <sz val="12"/>
        <color theme="0"/>
        <name val="Calibri"/>
        <family val="2"/>
        <scheme val="minor"/>
      </font>
    </dxf>
  </dxfs>
  <tableStyles count="1" defaultTableStyle="TableStyleMedium2" defaultPivotStyle="PivotStyleLight16">
    <tableStyle name="Slicer Style 1" pivot="0" table="0" count="5" xr9:uid="{4645C76E-DB0D-4FEA-952F-88CB10FD4DB6}">
      <tableStyleElement type="wholeTable" dxfId="49"/>
      <tableStyleElement type="headerRow" dxfId="48"/>
    </tableStyle>
  </tableStyles>
  <extLst>
    <ext xmlns:x14="http://schemas.microsoft.com/office/spreadsheetml/2009/9/main" uri="{46F421CA-312F-682f-3DD2-61675219B42D}">
      <x14:dxfs count="3">
        <dxf>
          <font>
            <b/>
            <i val="0"/>
            <sz val="12"/>
            <name val="Calibri"/>
            <family val="2"/>
            <scheme val="minor"/>
          </font>
          <fill>
            <gradientFill degree="90">
              <stop position="0">
                <color theme="2"/>
              </stop>
              <stop position="1">
                <color theme="3"/>
              </stop>
            </gradientFill>
          </fill>
        </dxf>
        <dxf>
          <font>
            <b/>
            <i val="0"/>
            <sz val="12"/>
            <name val="Calibri"/>
            <family val="2"/>
            <scheme val="minor"/>
          </font>
          <fill>
            <gradientFill degree="270">
              <stop position="0">
                <color theme="4" tint="-0.25098422193060094"/>
              </stop>
              <stop position="1">
                <color theme="9" tint="-0.49803155613879818"/>
              </stop>
            </gradientFill>
          </fill>
        </dxf>
        <dxf>
          <font>
            <b/>
            <i val="0"/>
            <sz val="12"/>
            <color theme="4" tint="-0.499984740745262"/>
            <name val="Calibri"/>
            <family val="2"/>
            <scheme val="minor"/>
          </font>
          <fill>
            <patternFill>
              <bgColor theme="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2"/>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4.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8.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9.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0.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867190468381921"/>
          <c:y val="0"/>
          <c:w val="0.57344989221336551"/>
          <c:h val="0.86579531747936733"/>
        </c:manualLayout>
      </c:layout>
      <c:doughnutChart>
        <c:varyColors val="1"/>
        <c:ser>
          <c:idx val="0"/>
          <c:order val="0"/>
          <c:dPt>
            <c:idx val="0"/>
            <c:bubble3D val="0"/>
            <c:spPr>
              <a:gradFill flip="none" rotWithShape="1">
                <a:gsLst>
                  <a:gs pos="26000">
                    <a:srgbClr val="95C675"/>
                  </a:gs>
                  <a:gs pos="26480">
                    <a:srgbClr val="94C674"/>
                  </a:gs>
                  <a:gs pos="17647">
                    <a:srgbClr val="95C675"/>
                  </a:gs>
                  <a:gs pos="29000">
                    <a:schemeClr val="accent6">
                      <a:lumMod val="40000"/>
                      <a:lumOff val="60000"/>
                    </a:schemeClr>
                  </a:gs>
                  <a:gs pos="46000">
                    <a:schemeClr val="accent6">
                      <a:lumMod val="95000"/>
                      <a:lumOff val="5000"/>
                    </a:schemeClr>
                  </a:gs>
                  <a:gs pos="100000">
                    <a:schemeClr val="accent6">
                      <a:lumMod val="60000"/>
                    </a:schemeClr>
                  </a:gs>
                </a:gsLst>
                <a:path path="circle">
                  <a:fillToRect l="50000" t="130000" r="50000" b="-30000"/>
                </a:path>
                <a:tileRect/>
              </a:gradFill>
              <a:ln w="19050">
                <a:solidFill>
                  <a:schemeClr val="lt1"/>
                </a:solidFill>
              </a:ln>
              <a:effectLst/>
            </c:spPr>
            <c:extLst>
              <c:ext xmlns:c16="http://schemas.microsoft.com/office/drawing/2014/chart" uri="{C3380CC4-5D6E-409C-BE32-E72D297353CC}">
                <c16:uniqueId val="{00000001-4C88-4478-AB7F-511759FEFE5D}"/>
              </c:ext>
            </c:extLst>
          </c:dPt>
          <c:dPt>
            <c:idx val="1"/>
            <c:bubble3D val="0"/>
            <c:spPr>
              <a:solidFill>
                <a:schemeClr val="bg2"/>
              </a:solidFill>
              <a:ln w="19050">
                <a:solidFill>
                  <a:schemeClr val="lt1"/>
                </a:solidFill>
              </a:ln>
              <a:effectLst/>
            </c:spPr>
            <c:extLst>
              <c:ext xmlns:c16="http://schemas.microsoft.com/office/drawing/2014/chart" uri="{C3380CC4-5D6E-409C-BE32-E72D297353CC}">
                <c16:uniqueId val="{00000003-4C88-4478-AB7F-511759FEFE5D}"/>
              </c:ext>
            </c:extLst>
          </c:dPt>
          <c:val>
            <c:numRef>
              <c:f>'Pivot tables'!$F$12:$F$13</c:f>
              <c:numCache>
                <c:formatCode>0%</c:formatCode>
                <c:ptCount val="2"/>
                <c:pt idx="0">
                  <c:v>0.57499999999999996</c:v>
                </c:pt>
                <c:pt idx="1">
                  <c:v>0.42499999999999999</c:v>
                </c:pt>
              </c:numCache>
            </c:numRef>
          </c:val>
          <c:extLst>
            <c:ext xmlns:c16="http://schemas.microsoft.com/office/drawing/2014/chart" uri="{C3380CC4-5D6E-409C-BE32-E72D297353CC}">
              <c16:uniqueId val="{00000004-4C88-4478-AB7F-511759FEFE5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gradFill>
                <a:gsLst>
                  <a:gs pos="26000">
                    <a:srgbClr val="95C675"/>
                  </a:gs>
                  <a:gs pos="26480">
                    <a:srgbClr val="94C674"/>
                  </a:gs>
                  <a:gs pos="17647">
                    <a:srgbClr val="95C675"/>
                  </a:gs>
                  <a:gs pos="29000">
                    <a:schemeClr val="accent6">
                      <a:lumMod val="40000"/>
                      <a:lumOff val="60000"/>
                    </a:schemeClr>
                  </a:gs>
                  <a:gs pos="46000">
                    <a:schemeClr val="accent6">
                      <a:lumMod val="95000"/>
                      <a:lumOff val="5000"/>
                    </a:schemeClr>
                  </a:gs>
                  <a:gs pos="100000">
                    <a:schemeClr val="accent6">
                      <a:lumMod val="60000"/>
                    </a:schemeClr>
                  </a:gs>
                </a:gsLst>
                <a:path path="circle">
                  <a:fillToRect l="50000" t="130000" r="50000" b="-30000"/>
                </a:path>
              </a:gradFill>
              <a:ln w="19050">
                <a:solidFill>
                  <a:schemeClr val="lt1"/>
                </a:solidFill>
              </a:ln>
              <a:effectLst/>
            </c:spPr>
            <c:extLst>
              <c:ext xmlns:c16="http://schemas.microsoft.com/office/drawing/2014/chart" uri="{C3380CC4-5D6E-409C-BE32-E72D297353CC}">
                <c16:uniqueId val="{00000001-D2E4-452B-B267-80C09DBBE73A}"/>
              </c:ext>
            </c:extLst>
          </c:dPt>
          <c:dPt>
            <c:idx val="1"/>
            <c:bubble3D val="0"/>
            <c:spPr>
              <a:solidFill>
                <a:schemeClr val="accent3">
                  <a:lumMod val="20000"/>
                  <a:lumOff val="80000"/>
                </a:schemeClr>
              </a:solidFill>
              <a:ln w="19050">
                <a:solidFill>
                  <a:schemeClr val="lt1"/>
                </a:solidFill>
              </a:ln>
              <a:effectLst/>
            </c:spPr>
            <c:extLst>
              <c:ext xmlns:c16="http://schemas.microsoft.com/office/drawing/2014/chart" uri="{C3380CC4-5D6E-409C-BE32-E72D297353CC}">
                <c16:uniqueId val="{00000003-D2E4-452B-B267-80C09DBBE73A}"/>
              </c:ext>
            </c:extLst>
          </c:dPt>
          <c:val>
            <c:numRef>
              <c:f>'Pivot tables'!$K$12:$K$13</c:f>
              <c:numCache>
                <c:formatCode>0%</c:formatCode>
                <c:ptCount val="2"/>
                <c:pt idx="0">
                  <c:v>0.42499999999999999</c:v>
                </c:pt>
                <c:pt idx="1">
                  <c:v>0.57499999999999996</c:v>
                </c:pt>
              </c:numCache>
            </c:numRef>
          </c:val>
          <c:extLst>
            <c:ext xmlns:c16="http://schemas.microsoft.com/office/drawing/2014/chart" uri="{C3380CC4-5D6E-409C-BE32-E72D297353CC}">
              <c16:uniqueId val="{00000004-D2E4-452B-B267-80C09DBBE73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[Advanced sale analysis.xlsm]Pivot tables!PivotTable9</c:name>
    <c:fmtId val="8"/>
  </c:pivotSource>
  <c:chart>
    <c:title>
      <c:tx>
        <c:rich>
          <a:bodyPr rot="0" spcFirstLastPara="1" vertOverflow="ellipsis" vert="horz" wrap="square" anchor="ctr" anchorCtr="1"/>
          <a:lstStyle/>
          <a:p>
            <a:pPr>
              <a:defRPr sz="1600" b="1" i="0" u="none" strike="noStrike" kern="1200" spc="0" baseline="0">
                <a:solidFill>
                  <a:schemeClr val="accent1">
                    <a:lumMod val="50000"/>
                  </a:schemeClr>
                </a:solidFill>
                <a:latin typeface="+mn-lt"/>
                <a:ea typeface="+mn-ea"/>
                <a:cs typeface="+mn-cs"/>
              </a:defRPr>
            </a:pPr>
            <a:r>
              <a:rPr lang="en-US" sz="1600" b="1">
                <a:solidFill>
                  <a:schemeClr val="accent1">
                    <a:lumMod val="50000"/>
                  </a:schemeClr>
                </a:solidFill>
              </a:rPr>
              <a:t>Revenue,Cost</a:t>
            </a:r>
            <a:r>
              <a:rPr lang="en-US" sz="1600" b="1" baseline="0">
                <a:solidFill>
                  <a:schemeClr val="accent1">
                    <a:lumMod val="50000"/>
                  </a:schemeClr>
                </a:solidFill>
              </a:rPr>
              <a:t> &amp; Profit by Category</a:t>
            </a:r>
            <a:endParaRPr lang="en-US" sz="1600" b="1">
              <a:solidFill>
                <a:schemeClr val="accent1">
                  <a:lumMod val="50000"/>
                </a:schemeClr>
              </a:solidFill>
            </a:endParaRPr>
          </a:p>
        </c:rich>
      </c:tx>
      <c:layout>
        <c:manualLayout>
          <c:xMode val="edge"/>
          <c:yMode val="edge"/>
          <c:x val="3.2057497984189755E-2"/>
          <c:y val="3.1460679724087365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accent1">
                  <a:lumMod val="50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tables'!$G$61</c:f>
              <c:strCache>
                <c:ptCount val="1"/>
                <c:pt idx="0">
                  <c:v>Sales Revenue </c:v>
                </c:pt>
              </c:strCache>
            </c:strRef>
          </c:tx>
          <c:spPr>
            <a:solidFill>
              <a:schemeClr val="accent1"/>
            </a:solidFill>
            <a:ln>
              <a:noFill/>
            </a:ln>
            <a:effectLst/>
            <a:sp3d/>
          </c:spPr>
          <c:invertIfNegative val="0"/>
          <c:cat>
            <c:strRef>
              <c:f>'Pivot tables'!$F$62:$F$67</c:f>
              <c:strCache>
                <c:ptCount val="5"/>
                <c:pt idx="0">
                  <c:v>Apparel</c:v>
                </c:pt>
                <c:pt idx="1">
                  <c:v>Books</c:v>
                </c:pt>
                <c:pt idx="2">
                  <c:v>Electronics</c:v>
                </c:pt>
                <c:pt idx="3">
                  <c:v>Groceries</c:v>
                </c:pt>
                <c:pt idx="4">
                  <c:v>Home Decor</c:v>
                </c:pt>
              </c:strCache>
            </c:strRef>
          </c:cat>
          <c:val>
            <c:numRef>
              <c:f>'Pivot tables'!$G$62:$G$67</c:f>
              <c:numCache>
                <c:formatCode>General</c:formatCode>
                <c:ptCount val="5"/>
                <c:pt idx="0">
                  <c:v>24970</c:v>
                </c:pt>
                <c:pt idx="1">
                  <c:v>16240</c:v>
                </c:pt>
                <c:pt idx="2">
                  <c:v>24468</c:v>
                </c:pt>
                <c:pt idx="3">
                  <c:v>13607</c:v>
                </c:pt>
                <c:pt idx="4">
                  <c:v>9131</c:v>
                </c:pt>
              </c:numCache>
            </c:numRef>
          </c:val>
          <c:extLst>
            <c:ext xmlns:c16="http://schemas.microsoft.com/office/drawing/2014/chart" uri="{C3380CC4-5D6E-409C-BE32-E72D297353CC}">
              <c16:uniqueId val="{00000000-F705-4446-8D25-017F086202B7}"/>
            </c:ext>
          </c:extLst>
        </c:ser>
        <c:ser>
          <c:idx val="1"/>
          <c:order val="1"/>
          <c:tx>
            <c:strRef>
              <c:f>'Pivot tables'!$H$61</c:f>
              <c:strCache>
                <c:ptCount val="1"/>
                <c:pt idx="0">
                  <c:v>Net Profit </c:v>
                </c:pt>
              </c:strCache>
            </c:strRef>
          </c:tx>
          <c:spPr>
            <a:solidFill>
              <a:schemeClr val="accent2"/>
            </a:solidFill>
            <a:ln>
              <a:noFill/>
            </a:ln>
            <a:effectLst/>
            <a:sp3d/>
          </c:spPr>
          <c:invertIfNegative val="0"/>
          <c:cat>
            <c:strRef>
              <c:f>'Pivot tables'!$F$62:$F$67</c:f>
              <c:strCache>
                <c:ptCount val="5"/>
                <c:pt idx="0">
                  <c:v>Apparel</c:v>
                </c:pt>
                <c:pt idx="1">
                  <c:v>Books</c:v>
                </c:pt>
                <c:pt idx="2">
                  <c:v>Electronics</c:v>
                </c:pt>
                <c:pt idx="3">
                  <c:v>Groceries</c:v>
                </c:pt>
                <c:pt idx="4">
                  <c:v>Home Decor</c:v>
                </c:pt>
              </c:strCache>
            </c:strRef>
          </c:cat>
          <c:val>
            <c:numRef>
              <c:f>'Pivot tables'!$H$62:$H$67</c:f>
              <c:numCache>
                <c:formatCode>General</c:formatCode>
                <c:ptCount val="5"/>
                <c:pt idx="0">
                  <c:v>6783</c:v>
                </c:pt>
                <c:pt idx="1">
                  <c:v>7428</c:v>
                </c:pt>
                <c:pt idx="2">
                  <c:v>6804</c:v>
                </c:pt>
                <c:pt idx="3">
                  <c:v>6100</c:v>
                </c:pt>
                <c:pt idx="4">
                  <c:v>2597</c:v>
                </c:pt>
              </c:numCache>
            </c:numRef>
          </c:val>
          <c:extLst>
            <c:ext xmlns:c16="http://schemas.microsoft.com/office/drawing/2014/chart" uri="{C3380CC4-5D6E-409C-BE32-E72D297353CC}">
              <c16:uniqueId val="{00000001-F705-4446-8D25-017F086202B7}"/>
            </c:ext>
          </c:extLst>
        </c:ser>
        <c:ser>
          <c:idx val="2"/>
          <c:order val="2"/>
          <c:tx>
            <c:strRef>
              <c:f>'Pivot tables'!$I$61</c:f>
              <c:strCache>
                <c:ptCount val="1"/>
                <c:pt idx="0">
                  <c:v>Total cost </c:v>
                </c:pt>
              </c:strCache>
            </c:strRef>
          </c:tx>
          <c:spPr>
            <a:solidFill>
              <a:schemeClr val="accent3"/>
            </a:solidFill>
            <a:ln>
              <a:noFill/>
            </a:ln>
            <a:effectLst/>
            <a:sp3d/>
          </c:spPr>
          <c:invertIfNegative val="0"/>
          <c:cat>
            <c:strRef>
              <c:f>'Pivot tables'!$F$62:$F$67</c:f>
              <c:strCache>
                <c:ptCount val="5"/>
                <c:pt idx="0">
                  <c:v>Apparel</c:v>
                </c:pt>
                <c:pt idx="1">
                  <c:v>Books</c:v>
                </c:pt>
                <c:pt idx="2">
                  <c:v>Electronics</c:v>
                </c:pt>
                <c:pt idx="3">
                  <c:v>Groceries</c:v>
                </c:pt>
                <c:pt idx="4">
                  <c:v>Home Decor</c:v>
                </c:pt>
              </c:strCache>
            </c:strRef>
          </c:cat>
          <c:val>
            <c:numRef>
              <c:f>'Pivot tables'!$I$62:$I$67</c:f>
              <c:numCache>
                <c:formatCode>General</c:formatCode>
                <c:ptCount val="5"/>
                <c:pt idx="0">
                  <c:v>18187</c:v>
                </c:pt>
                <c:pt idx="1">
                  <c:v>8812</c:v>
                </c:pt>
                <c:pt idx="2">
                  <c:v>17664</c:v>
                </c:pt>
                <c:pt idx="3">
                  <c:v>7507</c:v>
                </c:pt>
                <c:pt idx="4">
                  <c:v>6534</c:v>
                </c:pt>
              </c:numCache>
            </c:numRef>
          </c:val>
          <c:extLst>
            <c:ext xmlns:c16="http://schemas.microsoft.com/office/drawing/2014/chart" uri="{C3380CC4-5D6E-409C-BE32-E72D297353CC}">
              <c16:uniqueId val="{00000002-F705-4446-8D25-017F086202B7}"/>
            </c:ext>
          </c:extLst>
        </c:ser>
        <c:dLbls>
          <c:showLegendKey val="0"/>
          <c:showVal val="0"/>
          <c:showCatName val="0"/>
          <c:showSerName val="0"/>
          <c:showPercent val="0"/>
          <c:showBubbleSize val="0"/>
        </c:dLbls>
        <c:gapWidth val="150"/>
        <c:shape val="box"/>
        <c:axId val="753367007"/>
        <c:axId val="753373727"/>
        <c:axId val="0"/>
      </c:bar3DChart>
      <c:catAx>
        <c:axId val="753367007"/>
        <c:scaling>
          <c:orientation val="minMax"/>
        </c:scaling>
        <c:delete val="0"/>
        <c:axPos val="b"/>
        <c:numFmt formatCode="General" sourceLinked="1"/>
        <c:majorTickMark val="out"/>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753373727"/>
        <c:crosses val="autoZero"/>
        <c:auto val="1"/>
        <c:lblAlgn val="ctr"/>
        <c:lblOffset val="100"/>
        <c:noMultiLvlLbl val="0"/>
      </c:catAx>
      <c:valAx>
        <c:axId val="7533737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7533670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[Advanced sale analysis.xlsm]Pivot tables!PivotTable10</c:name>
    <c:fmtId val="23"/>
  </c:pivotSource>
  <c:chart>
    <c:title>
      <c:tx>
        <c:rich>
          <a:bodyPr rot="0" spcFirstLastPara="1" vertOverflow="ellipsis" vert="horz" wrap="square" anchor="ctr" anchorCtr="1"/>
          <a:lstStyle/>
          <a:p>
            <a:pPr>
              <a:defRPr sz="1600" b="1" i="0" u="none" strike="noStrike" kern="1200" spc="0" baseline="0">
                <a:solidFill>
                  <a:schemeClr val="accent1">
                    <a:lumMod val="50000"/>
                  </a:schemeClr>
                </a:solidFill>
                <a:latin typeface="+mn-lt"/>
                <a:ea typeface="+mn-ea"/>
                <a:cs typeface="+mn-cs"/>
              </a:defRPr>
            </a:pPr>
            <a:r>
              <a:rPr lang="en-US" sz="1600" b="1">
                <a:solidFill>
                  <a:schemeClr val="accent1">
                    <a:lumMod val="50000"/>
                  </a:schemeClr>
                </a:solidFill>
              </a:rPr>
              <a:t>Monthly</a:t>
            </a:r>
            <a:r>
              <a:rPr lang="en-US" sz="1600" b="1" baseline="0">
                <a:solidFill>
                  <a:schemeClr val="accent1">
                    <a:lumMod val="50000"/>
                  </a:schemeClr>
                </a:solidFill>
              </a:rPr>
              <a:t> Revenue,Cost &amp; Profit Trends</a:t>
            </a:r>
            <a:endParaRPr lang="en-US" sz="1600" b="1">
              <a:solidFill>
                <a:schemeClr val="accent1">
                  <a:lumMod val="50000"/>
                </a:schemeClr>
              </a:solidFill>
            </a:endParaRPr>
          </a:p>
        </c:rich>
      </c:tx>
      <c:layout>
        <c:manualLayout>
          <c:xMode val="edge"/>
          <c:yMode val="edge"/>
          <c:x val="2.0122104965538633E-2"/>
          <c:y val="0"/>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accent1">
                  <a:lumMod val="50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7369392166165844E-2"/>
          <c:y val="0.14960683411606948"/>
          <c:w val="0.63049403077870581"/>
          <c:h val="0.72877215070528589"/>
        </c:manualLayout>
      </c:layout>
      <c:lineChart>
        <c:grouping val="standard"/>
        <c:varyColors val="0"/>
        <c:ser>
          <c:idx val="0"/>
          <c:order val="0"/>
          <c:tx>
            <c:strRef>
              <c:f>'Pivot tables'!$G$73</c:f>
              <c:strCache>
                <c:ptCount val="1"/>
                <c:pt idx="0">
                  <c:v>Sales Revenue </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tables'!$F$74:$F$79</c:f>
              <c:strCache>
                <c:ptCount val="5"/>
                <c:pt idx="0">
                  <c:v>Apr</c:v>
                </c:pt>
                <c:pt idx="1">
                  <c:v>May</c:v>
                </c:pt>
                <c:pt idx="2">
                  <c:v>Jun</c:v>
                </c:pt>
                <c:pt idx="3">
                  <c:v>Jul</c:v>
                </c:pt>
                <c:pt idx="4">
                  <c:v>Aug</c:v>
                </c:pt>
              </c:strCache>
            </c:strRef>
          </c:cat>
          <c:val>
            <c:numRef>
              <c:f>'Pivot tables'!$G$74:$G$79</c:f>
              <c:numCache>
                <c:formatCode>General</c:formatCode>
                <c:ptCount val="5"/>
                <c:pt idx="0">
                  <c:v>3163</c:v>
                </c:pt>
                <c:pt idx="1">
                  <c:v>20781</c:v>
                </c:pt>
                <c:pt idx="2">
                  <c:v>11596</c:v>
                </c:pt>
                <c:pt idx="3">
                  <c:v>8055</c:v>
                </c:pt>
                <c:pt idx="4">
                  <c:v>5379</c:v>
                </c:pt>
              </c:numCache>
            </c:numRef>
          </c:val>
          <c:smooth val="0"/>
          <c:extLst>
            <c:ext xmlns:c16="http://schemas.microsoft.com/office/drawing/2014/chart" uri="{C3380CC4-5D6E-409C-BE32-E72D297353CC}">
              <c16:uniqueId val="{00000000-0AC6-4241-BB76-45BD8BB9825B}"/>
            </c:ext>
          </c:extLst>
        </c:ser>
        <c:ser>
          <c:idx val="1"/>
          <c:order val="1"/>
          <c:tx>
            <c:strRef>
              <c:f>'Pivot tables'!$H$73</c:f>
              <c:strCache>
                <c:ptCount val="1"/>
                <c:pt idx="0">
                  <c:v>Net Profit </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tables'!$F$74:$F$79</c:f>
              <c:strCache>
                <c:ptCount val="5"/>
                <c:pt idx="0">
                  <c:v>Apr</c:v>
                </c:pt>
                <c:pt idx="1">
                  <c:v>May</c:v>
                </c:pt>
                <c:pt idx="2">
                  <c:v>Jun</c:v>
                </c:pt>
                <c:pt idx="3">
                  <c:v>Jul</c:v>
                </c:pt>
                <c:pt idx="4">
                  <c:v>Aug</c:v>
                </c:pt>
              </c:strCache>
            </c:strRef>
          </c:cat>
          <c:val>
            <c:numRef>
              <c:f>'Pivot tables'!$H$74:$H$79</c:f>
              <c:numCache>
                <c:formatCode>General</c:formatCode>
                <c:ptCount val="5"/>
                <c:pt idx="0">
                  <c:v>887</c:v>
                </c:pt>
                <c:pt idx="1">
                  <c:v>6557</c:v>
                </c:pt>
                <c:pt idx="2">
                  <c:v>3999</c:v>
                </c:pt>
                <c:pt idx="3">
                  <c:v>2536</c:v>
                </c:pt>
                <c:pt idx="4">
                  <c:v>1669</c:v>
                </c:pt>
              </c:numCache>
            </c:numRef>
          </c:val>
          <c:smooth val="0"/>
          <c:extLst>
            <c:ext xmlns:c16="http://schemas.microsoft.com/office/drawing/2014/chart" uri="{C3380CC4-5D6E-409C-BE32-E72D297353CC}">
              <c16:uniqueId val="{00000001-0AC6-4241-BB76-45BD8BB9825B}"/>
            </c:ext>
          </c:extLst>
        </c:ser>
        <c:ser>
          <c:idx val="2"/>
          <c:order val="2"/>
          <c:tx>
            <c:strRef>
              <c:f>'Pivot tables'!$I$73</c:f>
              <c:strCache>
                <c:ptCount val="1"/>
                <c:pt idx="0">
                  <c:v>Total cost </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 tables'!$F$74:$F$79</c:f>
              <c:strCache>
                <c:ptCount val="5"/>
                <c:pt idx="0">
                  <c:v>Apr</c:v>
                </c:pt>
                <c:pt idx="1">
                  <c:v>May</c:v>
                </c:pt>
                <c:pt idx="2">
                  <c:v>Jun</c:v>
                </c:pt>
                <c:pt idx="3">
                  <c:v>Jul</c:v>
                </c:pt>
                <c:pt idx="4">
                  <c:v>Aug</c:v>
                </c:pt>
              </c:strCache>
            </c:strRef>
          </c:cat>
          <c:val>
            <c:numRef>
              <c:f>'Pivot tables'!$I$74:$I$79</c:f>
              <c:numCache>
                <c:formatCode>General</c:formatCode>
                <c:ptCount val="5"/>
                <c:pt idx="0">
                  <c:v>2276</c:v>
                </c:pt>
                <c:pt idx="1">
                  <c:v>14224</c:v>
                </c:pt>
                <c:pt idx="2">
                  <c:v>7597</c:v>
                </c:pt>
                <c:pt idx="3">
                  <c:v>5519</c:v>
                </c:pt>
                <c:pt idx="4">
                  <c:v>3710</c:v>
                </c:pt>
              </c:numCache>
            </c:numRef>
          </c:val>
          <c:smooth val="0"/>
          <c:extLst>
            <c:ext xmlns:c16="http://schemas.microsoft.com/office/drawing/2014/chart" uri="{C3380CC4-5D6E-409C-BE32-E72D297353CC}">
              <c16:uniqueId val="{00000002-0AC6-4241-BB76-45BD8BB9825B}"/>
            </c:ext>
          </c:extLst>
        </c:ser>
        <c:dLbls>
          <c:showLegendKey val="0"/>
          <c:showVal val="0"/>
          <c:showCatName val="0"/>
          <c:showSerName val="0"/>
          <c:showPercent val="0"/>
          <c:showBubbleSize val="0"/>
        </c:dLbls>
        <c:marker val="1"/>
        <c:smooth val="0"/>
        <c:axId val="956277215"/>
        <c:axId val="956258975"/>
      </c:lineChart>
      <c:catAx>
        <c:axId val="9562772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6258975"/>
        <c:crosses val="autoZero"/>
        <c:auto val="1"/>
        <c:lblAlgn val="ctr"/>
        <c:lblOffset val="100"/>
        <c:noMultiLvlLbl val="0"/>
      </c:catAx>
      <c:valAx>
        <c:axId val="9562589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6277215"/>
        <c:crosses val="autoZero"/>
        <c:crossBetween val="between"/>
      </c:valAx>
      <c:spPr>
        <a:noFill/>
        <a:ln>
          <a:noFill/>
        </a:ln>
        <a:effectLst/>
      </c:spPr>
    </c:plotArea>
    <c:legend>
      <c:legendPos val="r"/>
      <c:layout>
        <c:manualLayout>
          <c:xMode val="edge"/>
          <c:yMode val="edge"/>
          <c:x val="0.70517127451131945"/>
          <c:y val="5.4122679109555753E-2"/>
          <c:w val="0.19575976815895904"/>
          <c:h val="0.85384854670943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[Advanced sale analysis.xlsm]Pivot tables!PivotTable11</c:name>
    <c:fmtId val="36"/>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solidFill>
                  <a:schemeClr val="accent1">
                    <a:lumMod val="50000"/>
                  </a:schemeClr>
                </a:solidFill>
              </a:rPr>
              <a:t>Daily</a:t>
            </a:r>
            <a:r>
              <a:rPr lang="en-US" baseline="0">
                <a:solidFill>
                  <a:schemeClr val="accent1">
                    <a:lumMod val="50000"/>
                  </a:schemeClr>
                </a:solidFill>
              </a:rPr>
              <a:t> revenue trends</a:t>
            </a:r>
            <a:endParaRPr lang="en-US">
              <a:solidFill>
                <a:schemeClr val="accent1">
                  <a:lumMod val="50000"/>
                </a:schemeClr>
              </a:solidFill>
            </a:endParaRPr>
          </a:p>
        </c:rich>
      </c:tx>
      <c:layout>
        <c:manualLayout>
          <c:xMode val="edge"/>
          <c:yMode val="edge"/>
          <c:x val="0.24115266841644795"/>
          <c:y val="2.4343595085123994E-2"/>
        </c:manualLayout>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diamond"/>
          <c:size val="6"/>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'Pivot tables'!$S$74</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tables'!$R$75:$R$82</c:f>
              <c:strCache>
                <c:ptCount val="7"/>
                <c:pt idx="0">
                  <c:v>Sunday</c:v>
                </c:pt>
                <c:pt idx="1">
                  <c:v>Monday</c:v>
                </c:pt>
                <c:pt idx="2">
                  <c:v>Tuesday</c:v>
                </c:pt>
                <c:pt idx="3">
                  <c:v>Wednesday</c:v>
                </c:pt>
                <c:pt idx="4">
                  <c:v>Thursday</c:v>
                </c:pt>
                <c:pt idx="5">
                  <c:v>Friday</c:v>
                </c:pt>
                <c:pt idx="6">
                  <c:v>Saturday</c:v>
                </c:pt>
              </c:strCache>
            </c:strRef>
          </c:cat>
          <c:val>
            <c:numRef>
              <c:f>'Pivot tables'!$S$75:$S$82</c:f>
              <c:numCache>
                <c:formatCode>General</c:formatCode>
                <c:ptCount val="7"/>
                <c:pt idx="0">
                  <c:v>386</c:v>
                </c:pt>
                <c:pt idx="1">
                  <c:v>11497</c:v>
                </c:pt>
                <c:pt idx="2">
                  <c:v>3254</c:v>
                </c:pt>
                <c:pt idx="3">
                  <c:v>11899</c:v>
                </c:pt>
                <c:pt idx="4">
                  <c:v>2151</c:v>
                </c:pt>
                <c:pt idx="5">
                  <c:v>9799</c:v>
                </c:pt>
                <c:pt idx="6">
                  <c:v>9988</c:v>
                </c:pt>
              </c:numCache>
            </c:numRef>
          </c:val>
          <c:extLst>
            <c:ext xmlns:c16="http://schemas.microsoft.com/office/drawing/2014/chart" uri="{C3380CC4-5D6E-409C-BE32-E72D297353CC}">
              <c16:uniqueId val="{00000000-90E7-4D73-9839-4B594F8628D0}"/>
            </c:ext>
          </c:extLst>
        </c:ser>
        <c:dLbls>
          <c:showLegendKey val="0"/>
          <c:showVal val="1"/>
          <c:showCatName val="0"/>
          <c:showSerName val="0"/>
          <c:showPercent val="0"/>
          <c:showBubbleSize val="0"/>
        </c:dLbls>
        <c:gapWidth val="79"/>
        <c:shape val="box"/>
        <c:axId val="809200271"/>
        <c:axId val="809201711"/>
        <c:axId val="0"/>
      </c:bar3DChart>
      <c:dateAx>
        <c:axId val="809200271"/>
        <c:scaling>
          <c:orientation val="minMax"/>
        </c:scaling>
        <c:delete val="0"/>
        <c:axPos val="b"/>
        <c:majorGridlines>
          <c:spPr>
            <a:ln w="9525" cap="flat" cmpd="sng" algn="ctr">
              <a:solidFill>
                <a:schemeClr val="tx1">
                  <a:lumMod val="15000"/>
                  <a:lumOff val="85000"/>
                </a:schemeClr>
              </a:solidFill>
              <a:round/>
            </a:ln>
            <a:effectLst/>
          </c:spPr>
        </c:majorGridlines>
        <c:numFmt formatCode="ddd" sourceLinked="0"/>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809201711"/>
        <c:crosses val="autoZero"/>
        <c:auto val="0"/>
        <c:lblOffset val="100"/>
        <c:baseTimeUnit val="days"/>
      </c:dateAx>
      <c:valAx>
        <c:axId val="809201711"/>
        <c:scaling>
          <c:orientation val="minMax"/>
        </c:scaling>
        <c:delete val="1"/>
        <c:axPos val="l"/>
        <c:numFmt formatCode="General" sourceLinked="1"/>
        <c:majorTickMark val="none"/>
        <c:minorTickMark val="none"/>
        <c:tickLblPos val="nextTo"/>
        <c:crossAx val="8092002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[Advanced sale analysis.xlsm]Pivot tables!PivotTable12</c:name>
    <c:fmtId val="50"/>
  </c:pivotSource>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Orders by payments</a:t>
            </a:r>
          </a:p>
        </c:rich>
      </c:tx>
      <c:layout>
        <c:manualLayout>
          <c:xMode val="edge"/>
          <c:yMode val="edge"/>
          <c:x val="0.28251412429378531"/>
          <c:y val="3.1284923540796442E-2"/>
        </c:manualLayout>
      </c:layout>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2"/>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4"/>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tables'!$S$89</c:f>
              <c:strCache>
                <c:ptCount val="1"/>
                <c:pt idx="0">
                  <c:v>Total</c:v>
                </c:pt>
              </c:strCache>
            </c:strRef>
          </c:tx>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1-C873-4F02-B5C1-9D3360020A88}"/>
              </c:ext>
            </c:extLst>
          </c:dPt>
          <c:dPt>
            <c:idx val="1"/>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C873-4F02-B5C1-9D3360020A88}"/>
              </c:ext>
            </c:extLst>
          </c:dPt>
          <c:dPt>
            <c:idx val="2"/>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5-C873-4F02-B5C1-9D3360020A88}"/>
              </c:ext>
            </c:extLst>
          </c:dPt>
          <c:dPt>
            <c:idx val="3"/>
            <c:bubble3D val="0"/>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7-C873-4F02-B5C1-9D3360020A8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1-C873-4F02-B5C1-9D3360020A88}"/>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3-C873-4F02-B5C1-9D3360020A88}"/>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5-C873-4F02-B5C1-9D3360020A88}"/>
                </c:ext>
              </c:extLst>
            </c:dLbl>
            <c:dLbl>
              <c:idx val="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7-C873-4F02-B5C1-9D3360020A8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tables'!$R$90:$R$94</c:f>
              <c:strCache>
                <c:ptCount val="4"/>
                <c:pt idx="0">
                  <c:v>Bank Transfer</c:v>
                </c:pt>
                <c:pt idx="1">
                  <c:v>Cash</c:v>
                </c:pt>
                <c:pt idx="2">
                  <c:v>Credit Card</c:v>
                </c:pt>
                <c:pt idx="3">
                  <c:v>Mobile Money</c:v>
                </c:pt>
              </c:strCache>
            </c:strRef>
          </c:cat>
          <c:val>
            <c:numRef>
              <c:f>'Pivot tables'!$S$90:$S$94</c:f>
              <c:numCache>
                <c:formatCode>General</c:formatCode>
                <c:ptCount val="4"/>
                <c:pt idx="0">
                  <c:v>8</c:v>
                </c:pt>
                <c:pt idx="1">
                  <c:v>3</c:v>
                </c:pt>
                <c:pt idx="2">
                  <c:v>4</c:v>
                </c:pt>
                <c:pt idx="3">
                  <c:v>8</c:v>
                </c:pt>
              </c:numCache>
            </c:numRef>
          </c:val>
          <c:extLst>
            <c:ext xmlns:c16="http://schemas.microsoft.com/office/drawing/2014/chart" uri="{C3380CC4-5D6E-409C-BE32-E72D297353CC}">
              <c16:uniqueId val="{00000008-C873-4F02-B5C1-9D3360020A88}"/>
            </c:ext>
          </c:extLst>
        </c:ser>
        <c:dLbls>
          <c:dLblPos val="outEnd"/>
          <c:showLegendKey val="0"/>
          <c:showVal val="0"/>
          <c:showCatName val="1"/>
          <c:showSerName val="0"/>
          <c:showPercent val="0"/>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AC1-48B7-B10C-F79100B85C7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AC1-48B7-B10C-F79100B85C7E}"/>
              </c:ext>
            </c:extLst>
          </c:dPt>
          <c:val>
            <c:numRef>
              <c:f>'Pivot tables'!$F$12:$F$13</c:f>
              <c:numCache>
                <c:formatCode>0%</c:formatCode>
                <c:ptCount val="2"/>
                <c:pt idx="0">
                  <c:v>0.57499999999999996</c:v>
                </c:pt>
                <c:pt idx="1">
                  <c:v>0.42499999999999999</c:v>
                </c:pt>
              </c:numCache>
            </c:numRef>
          </c:val>
          <c:extLst>
            <c:ext xmlns:c16="http://schemas.microsoft.com/office/drawing/2014/chart" uri="{C3380CC4-5D6E-409C-BE32-E72D297353CC}">
              <c16:uniqueId val="{00000000-9BD9-4A35-AB1D-3AB6E0352F88}"/>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003-4B1F-ABD6-361AAEA9268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003-4B1F-ABD6-361AAEA92687}"/>
              </c:ext>
            </c:extLst>
          </c:dPt>
          <c:val>
            <c:numRef>
              <c:f>'Pivot tables'!$K$12:$K$13</c:f>
              <c:numCache>
                <c:formatCode>0%</c:formatCode>
                <c:ptCount val="2"/>
                <c:pt idx="0">
                  <c:v>0.42499999999999999</c:v>
                </c:pt>
                <c:pt idx="1">
                  <c:v>0.57499999999999996</c:v>
                </c:pt>
              </c:numCache>
            </c:numRef>
          </c:val>
          <c:extLst>
            <c:ext xmlns:c16="http://schemas.microsoft.com/office/drawing/2014/chart" uri="{C3380CC4-5D6E-409C-BE32-E72D297353CC}">
              <c16:uniqueId val="{00000000-9F6C-4083-90C3-9B5B603745FE}"/>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[Advanced sale analysis.xlsm]Pivot tables!PivotTable11</c:name>
    <c:fmtId val="29"/>
  </c:pivotSource>
  <c:chart>
    <c:title>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0555555555555555E-2"/>
          <c:y val="0.18396738921321421"/>
          <c:w val="0.8472222222222221"/>
          <c:h val="0.49067009464940803"/>
        </c:manualLayout>
      </c:layout>
      <c:bar3DChart>
        <c:barDir val="col"/>
        <c:grouping val="stacked"/>
        <c:varyColors val="0"/>
        <c:ser>
          <c:idx val="0"/>
          <c:order val="0"/>
          <c:tx>
            <c:strRef>
              <c:f>'Pivot tables'!$S$74</c:f>
              <c:strCache>
                <c:ptCount val="1"/>
                <c:pt idx="0">
                  <c:v>Total</c:v>
                </c:pt>
              </c:strCache>
            </c:strRef>
          </c:tx>
          <c:spPr>
            <a:solidFill>
              <a:schemeClr val="accent1"/>
            </a:solidFill>
            <a:ln>
              <a:noFill/>
            </a:ln>
            <a:effectLst/>
            <a:sp3d/>
          </c:spPr>
          <c:invertIfNegative val="0"/>
          <c:dPt>
            <c:idx val="2"/>
            <c:invertIfNegative val="0"/>
            <c:bubble3D val="0"/>
            <c:extLst>
              <c:ext xmlns:c16="http://schemas.microsoft.com/office/drawing/2014/chart" uri="{C3380CC4-5D6E-409C-BE32-E72D297353CC}">
                <c16:uniqueId val="{00000000-BF01-4B7C-B898-0DCDA634CF1C}"/>
              </c:ext>
            </c:extLst>
          </c:dPt>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tables'!$R$75:$R$82</c:f>
              <c:strCache>
                <c:ptCount val="7"/>
                <c:pt idx="0">
                  <c:v>Sunday</c:v>
                </c:pt>
                <c:pt idx="1">
                  <c:v>Monday</c:v>
                </c:pt>
                <c:pt idx="2">
                  <c:v>Tuesday</c:v>
                </c:pt>
                <c:pt idx="3">
                  <c:v>Wednesday</c:v>
                </c:pt>
                <c:pt idx="4">
                  <c:v>Thursday</c:v>
                </c:pt>
                <c:pt idx="5">
                  <c:v>Friday</c:v>
                </c:pt>
                <c:pt idx="6">
                  <c:v>Saturday</c:v>
                </c:pt>
              </c:strCache>
            </c:strRef>
          </c:cat>
          <c:val>
            <c:numRef>
              <c:f>'Pivot tables'!$S$75:$S$82</c:f>
              <c:numCache>
                <c:formatCode>General</c:formatCode>
                <c:ptCount val="7"/>
                <c:pt idx="0">
                  <c:v>386</c:v>
                </c:pt>
                <c:pt idx="1">
                  <c:v>11497</c:v>
                </c:pt>
                <c:pt idx="2">
                  <c:v>3254</c:v>
                </c:pt>
                <c:pt idx="3">
                  <c:v>11899</c:v>
                </c:pt>
                <c:pt idx="4">
                  <c:v>2151</c:v>
                </c:pt>
                <c:pt idx="5">
                  <c:v>9799</c:v>
                </c:pt>
                <c:pt idx="6">
                  <c:v>9988</c:v>
                </c:pt>
              </c:numCache>
            </c:numRef>
          </c:val>
          <c:extLst>
            <c:ext xmlns:c16="http://schemas.microsoft.com/office/drawing/2014/chart" uri="{C3380CC4-5D6E-409C-BE32-E72D297353CC}">
              <c16:uniqueId val="{00000000-7EF4-4B08-9B16-0D31E3BE3AA6}"/>
            </c:ext>
          </c:extLst>
        </c:ser>
        <c:dLbls>
          <c:showLegendKey val="0"/>
          <c:showVal val="1"/>
          <c:showCatName val="0"/>
          <c:showSerName val="0"/>
          <c:showPercent val="0"/>
          <c:showBubbleSize val="0"/>
        </c:dLbls>
        <c:gapWidth val="79"/>
        <c:shape val="box"/>
        <c:axId val="809200271"/>
        <c:axId val="809201711"/>
        <c:axId val="0"/>
      </c:bar3DChart>
      <c:catAx>
        <c:axId val="80920027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6350" cap="flat" cmpd="sng" algn="ctr">
            <a:solidFill>
              <a:schemeClr val="accent1"/>
            </a:solidFill>
            <a:prstDash val="solid"/>
            <a:miter lim="800000"/>
          </a:ln>
          <a:effectLst/>
        </c:spPr>
        <c:txPr>
          <a:bodyPr rot="-60000000" spcFirstLastPara="1" vertOverflow="ellipsis" vert="horz" wrap="square" anchor="ctr" anchorCtr="1"/>
          <a:lstStyle/>
          <a:p>
            <a:pPr>
              <a:defRPr sz="800" b="0" i="0" u="none" strike="noStrike" kern="1200" cap="all" spc="120" normalizeH="0" baseline="0">
                <a:solidFill>
                  <a:schemeClr val="tx1"/>
                </a:solidFill>
                <a:latin typeface="+mn-lt"/>
                <a:ea typeface="+mn-ea"/>
                <a:cs typeface="+mn-cs"/>
              </a:defRPr>
            </a:pPr>
            <a:endParaRPr lang="en-US"/>
          </a:p>
        </c:txPr>
        <c:crossAx val="809201711"/>
        <c:crosses val="autoZero"/>
        <c:auto val="1"/>
        <c:lblAlgn val="ctr"/>
        <c:lblOffset val="100"/>
        <c:noMultiLvlLbl val="0"/>
      </c:catAx>
      <c:valAx>
        <c:axId val="809201711"/>
        <c:scaling>
          <c:orientation val="minMax"/>
        </c:scaling>
        <c:delete val="1"/>
        <c:axPos val="l"/>
        <c:numFmt formatCode="General" sourceLinked="1"/>
        <c:majorTickMark val="none"/>
        <c:minorTickMark val="none"/>
        <c:tickLblPos val="nextTo"/>
        <c:crossAx val="8092002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[Advanced sale analysis.xlsm]Pivot tables!PivotTable12</c:name>
    <c:fmtId val="43"/>
  </c:pivotSource>
  <c:chart>
    <c:title>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tables'!$S$89</c:f>
              <c:strCache>
                <c:ptCount val="1"/>
                <c:pt idx="0">
                  <c:v>Total</c:v>
                </c:pt>
              </c:strCache>
            </c:strRef>
          </c:tx>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2-5566-4C0A-AD8E-40D375B31BD9}"/>
              </c:ext>
            </c:extLst>
          </c:dPt>
          <c:dPt>
            <c:idx val="1"/>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5566-4C0A-AD8E-40D375B31BD9}"/>
              </c:ext>
            </c:extLst>
          </c:dPt>
          <c:dPt>
            <c:idx val="2"/>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4-5566-4C0A-AD8E-40D375B31BD9}"/>
              </c:ext>
            </c:extLst>
          </c:dPt>
          <c:dPt>
            <c:idx val="3"/>
            <c:bubble3D val="0"/>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5-5566-4C0A-AD8E-40D375B31BD9}"/>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2-5566-4C0A-AD8E-40D375B31BD9}"/>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3-5566-4C0A-AD8E-40D375B31BD9}"/>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4-5566-4C0A-AD8E-40D375B31BD9}"/>
                </c:ext>
              </c:extLst>
            </c:dLbl>
            <c:dLbl>
              <c:idx val="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5-5566-4C0A-AD8E-40D375B31BD9}"/>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tables'!$R$90:$R$94</c:f>
              <c:strCache>
                <c:ptCount val="4"/>
                <c:pt idx="0">
                  <c:v>Bank Transfer</c:v>
                </c:pt>
                <c:pt idx="1">
                  <c:v>Cash</c:v>
                </c:pt>
                <c:pt idx="2">
                  <c:v>Credit Card</c:v>
                </c:pt>
                <c:pt idx="3">
                  <c:v>Mobile Money</c:v>
                </c:pt>
              </c:strCache>
            </c:strRef>
          </c:cat>
          <c:val>
            <c:numRef>
              <c:f>'Pivot tables'!$S$90:$S$94</c:f>
              <c:numCache>
                <c:formatCode>General</c:formatCode>
                <c:ptCount val="4"/>
                <c:pt idx="0">
                  <c:v>8</c:v>
                </c:pt>
                <c:pt idx="1">
                  <c:v>3</c:v>
                </c:pt>
                <c:pt idx="2">
                  <c:v>4</c:v>
                </c:pt>
                <c:pt idx="3">
                  <c:v>8</c:v>
                </c:pt>
              </c:numCache>
            </c:numRef>
          </c:val>
          <c:extLst>
            <c:ext xmlns:c16="http://schemas.microsoft.com/office/drawing/2014/chart" uri="{C3380CC4-5D6E-409C-BE32-E72D297353CC}">
              <c16:uniqueId val="{00000000-5566-4C0A-AD8E-40D375B31BD9}"/>
            </c:ext>
          </c:extLst>
        </c:ser>
        <c:dLbls>
          <c:dLblPos val="outEnd"/>
          <c:showLegendKey val="0"/>
          <c:showVal val="0"/>
          <c:showCatName val="1"/>
          <c:showSerName val="0"/>
          <c:showPercent val="0"/>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
    <cx:plotArea>
      <cx:plotAreaRegion/>
    </cx:plotArea>
    <cx:legend pos="r" align="min" overlay="0"/>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
    <cx:title pos="t" align="ctr" overlay="0">
      <cx:tx>
        <cx:txData>
          <cx:v>Revenue by Country </cx:v>
        </cx:txData>
      </cx:tx>
      <cx:txPr>
        <a:bodyPr spcFirstLastPara="1" vertOverflow="ellipsis" horzOverflow="overflow" wrap="square" lIns="0" tIns="0" rIns="0" bIns="0" anchor="ctr" anchorCtr="1"/>
        <a:lstStyle/>
        <a:p>
          <a:pPr algn="ctr" rtl="0">
            <a:defRPr/>
          </a:pPr>
          <a:r>
            <a:rPr lang="en-US" sz="1600" b="1" i="0" u="none" strike="noStrike" baseline="0">
              <a:solidFill>
                <a:schemeClr val="accent1">
                  <a:lumMod val="50000"/>
                </a:schemeClr>
              </a:solidFill>
              <a:latin typeface="Calibri" panose="020F0502020204030204"/>
            </a:rPr>
            <a:t>Revenue by Country </a:t>
          </a:r>
        </a:p>
      </cx:txPr>
    </cx:title>
    <cx:plotArea>
      <cx:plotAreaRegion/>
    </cx:plotArea>
    <cx:legend pos="r" align="min" overlay="0"/>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plotSurface>
          <cx:spPr>
            <a:noFill/>
            <a:ln>
              <a:noFill/>
            </a:ln>
          </cx:spPr>
        </cx:plotSurface>
        <cx:series layoutId="regionMap" uniqueId="{7E421213-2EF6-4C06-82DC-A46D73EEC3B9}">
          <cx:tx>
            <cx:txData>
              <cx:f>_xlchart.v5.2</cx:f>
              <cx:v>Revenue</cx:v>
            </cx:txData>
          </cx:tx>
          <cx:dataLabels>
            <cx:visibility seriesName="0" categoryName="1" value="1"/>
            <cx:separator>, </cx:separator>
          </cx:dataLabels>
          <cx:dataId val="0"/>
          <cx:layoutPr>
            <cx:geography cultureLanguage="en-US" cultureRegion="US" attribution="Powered by Bing">
              <cx:geoCache provider="{E9337A44-BEBE-4D9F-B70C-5C5E7DAFC167}">
                <cx:binary>tHzZkttGtu2vOPR8YeeITHR0n4gDgGQNLEklqzS9IMqlEuZ5xtffBbnbIlE4xLVOXMmWbEHkwt65
5yH/+TT84yl5fqx+GdIkq//xNPzrVdA0xT9++61+Cp7Tx/rXNHyq8jr/1vz6lKe/5d++hU/Pv32t
Hvsw839jhIrfnoLHqnkeXv3XP/Ft/nN+zJ8emzDP7tvnanz3XLdJU194tvrol6e8zZr54z6+6V+v
yKtfnrMmbMb3Y/H8r1dnT1/98tt//fO3/xF79fv/fK3VR0vo/27rpnpMwsetVzh/gxck/5KAK037
Fa9vMPmrYpoIzan1549XvyR55v/7OeXiV2ERqjgXZP5B/4P9+jHF5/+fXuk7cY9fv1bPdf3Lv38/
++gZE8+ehHXu/Ml/J5/f978f1nj8gukg+f/fMRyqx+zrL+/z5jH5DzN+Rhb+5xf868Dcx+Zx913Y
1iR49el/BGnx8JLM/inO11//9Yqy79z9U3zmb/j3x/6Hs/7PR54f6wYfltavlFjUpFyZluTzl/XP
359Q9qvFKBMW15YptBCvfsnyqgkgf/iMYPioMKmlJLGUevVLnbffnwn+qxJE4M+1RSnlTP+l2W/z
ZPTz7C9O/fv/f8na9G0eZk39r1f61S/Fn39rfk+tCFHA1pwIDmnXHC9RPD2+g/HAX6b/x09z1VhB
z47qTZbZWWCHg9N/ygs3i3cnbFlBsjaQ5DnS5HsiVrJjx1hTOyQ7P7wxE3tycvq6Km8NIe3LeOYG
3vz8hLKBTj5JOPAa9cYu9XWXuN4Q/QSIFJwpy2I4EQt28BSkECKSRjnSIwyxGyVfWPpU0egQ5HwD
aObO8pykpZmUEoduygU1qarCYex8dsxqfV2GhaN14MSFe5lnKyiKm0IoZeKnIhC7U3KSjnCZp7k4
+kPXv29Gr3ASEio3Tmp+dRlqFqwFQYBSFuWmJBDlBZQaqijzk0ocy55pR6lkcgcReHeXUVaEQAnK
pKacEmGaC/HuclZQKrk4Zn0ZuryT71u/D3ZToYu7savFximxNQZKbinKuGBCsAVVnfaNUjMtjqYg
LXOMVKUPeZ/TyB7CwQ/BTa4TO5RVF9q678hNHPvVY1ulQ+zWuVXLnd9Lr7cNMVWJ06lCPbZRX/h7
KhsjsKcgit7nQzM5ISfRt6Cs+tANM9Z99kPF2rfd2FtXURHHchcPeLhBHoVfe3FoJqESkqiogFU7
l4+27onwp1YceUiCXUPL1yIOfTcwtLgik3IGz3iTivZL4TXTTVIbtV1Wmh8vnymdlWohOpapYU/h
eE0Tp3v+FmbhlWbTgcmMG9RlA7GF1dxFegzteoz2Bil3smjszCLXQTVtqfwaEyxNoSLMskyGX87h
Ra6I1/BJHkVc5A73i/E+o+/qqp52ommSYxgJl2hSupYZXcdGxd9INZg3G0x4eRSaEG0xeAJmQdgW
b9FoFqVN2Mojo3H5yWwz74oo/bnrovgqZKzfjQmJ79pxag9G2RQ76oX0qh4S4/ryi7zQY/g0uDBF
OIReKcnOuVFwq+a9zo1bMx7Nw2ip4fdJ9t6GYXp55oCRRME0mQTKTPg5DBe05jVrjdvKd5U33Qyq
+GrFxmRzkzhBFBR2T3UEcQvv/N//PoWSEjhJmBFL8QWnh5zGfeVPxq2mNxVN7N78chnghZGaafsB
IBZOZJz8isSsN24Zu0/Hm65yWuuayA1TOJueM62RXHKupdSCmxSG95yDeaJoa9WWddt0nDo0lL8L
o9qHFYvcKPLiK18nwe5vE3YGuZCNWldVWsfKulVvkvIzZQ86fqj5w2WQFyZ3QddCMvo48LsuN61b
n3zps0dJr/vk/jLEygEheGOMEEnBPLU4IMLNOjZEGBwNY3IiXzsWa53Bv+94t7+MtKJNZ0iLQ+rr
KKNsCoJjS719LvWhDYePlyFW5GCORE34ea0ZYQsbXuqODWkZBce+aINDN5XXOvbrXeabt7FXjHd1
EJINv7FGFZy9NmE24RbVgqouGdumLBpA+tWhHPvPlaneXqZqC2Ihal3lj2VeAqIaq8DmqvLtQm6F
lLOmL1RIKbw+bJAlEX8vQOjktVXhtcERiur53Y02DiPceQMxyKxbXf7eaL5h+NZET0mF9ADpJtPm
wvi0ZCxZwgHpszvis1nqjP4+rP2fOaIfOEsRp4UVqU72wdGMq4PoaWcHYzpsgLxINiSfI0vYHuQ8
mpgLx00SrwplBxD6xsx2ubDbMXnTReNBp7ZRbgVjq6d1grYQ9DSO1RTmY3BM/fTA2vSGVuRrGox2
bnHXi6hd1YUje7Vh9L573hdScoK7iAHpaHZG7AG3Ct6RsjnUVuv65U0R2QFjn7pydGNf2pRWdti2
ThrfBsmzH1ylteeExpe+ukPJp++EPfnNnd93dp/vIjPep1Z8qLk8DHnjZtq3qXHlV+NPWLrTE5pP
8CRpaogqdZqQ4Fj0wZ4ipgAL3cHgtkwfLyvsmhk6RVoIdi8bs5UjZCFo7ytSvC6n4KtfffTDgNlG
WzuX0dismi8ORWliWdokTM8J9SlhndUavZp4cOxkaE/6ChU1q/5Cp8qexvYz7/R7HwnpUH4yIjeV
tpfcR0VmB9Xo5pNy2+wm6u7NaHS48myt9r5MNnRjxY0pdfKCC857URuQSluw/Hli7QkCzNftQAJH
TOOWW16zlZogEFBIvZBTLhQjJINJi5YGxyRPKreVwrRbIdLryyxfs1ynKAuOj50ZeI0coAbhY91W
d73xpRnFTcrSDc6tksMYhEmi3mku4/EoqWWM5Dg4xuR9UORux6YNhLWz0X8hoGZyLjwhiaa+6kBK
YyR2bFW2ru5/Jo5ROAtGuLAEYXxxKm3ejFMVTsHRo/f+yK9yUjoGLzbS7lVS5ByqIylGcLYgJQ+L
jBeNBxMM0Te6D8X0pS82cpNVDJOjcMqIyag1Pz8xIszMiRlGZnCMsjtv4k5cHyJZbjjGl2kYnIk+
QVnwi/MJFJZBeBxYRuy0EcytTT+4njy/2IURuzN58akIe6f25WdZN+nO59Ww8RZrVuz0JRZCPkif
e4KB1GmoDbtMhOWOQ8jtcBykrQ1/R/J+q0iziqkIMnBULlCFXkRTXjiSMm5xhNfp2NldPth6Eo5g
b8Z3P6HBJ0Ds/BzlYLZVp2aT1LW2wR8l6kJwUtPYb3Bx1VScAC1C+GjOWrpBB8fc+r3pCnvQrSP5
jS6K3WWKViVTCU6+56pIDc8pgm+zeI9CyjEzHvxI7arxwQi3AoBVajRFikUUDoguZKJlJe8rIwqP
Efum/MmOo9eWTlzRBBtOja5aPo0isZyrAKgln5MztJmhqjoMjx037XJsXJ0eyv4u+yMOUP7IrgaH
RPZkuSTb11ZoGxvHtsJNjaqaRB8EUTFqIefwcZ9EoRpmQq2Hhj8EyL+2TMla3n+GsRANVpEmGyQw
TGEcEAWrG3MMd8W+GZOrsawPRvLV0GxDTFb4qqmELaYosaDqsDAtrWI9AlU/PGqvv49K6VJiBvbf
FkVUEyDZzLSERCnrnHmeahujztLw6LVyj9TY4PGu8soNEVml5ARlYSta04iagWfhMfASu1WlbaFK
d5mQNQhUoahJTPwL33VOSF52wUCsJjxO+q7Nqr3fmRsIKwqFRBXVdRN1YvRKFjJgdUHiN1kdHivy
IWR3/ZC/C9gdJ8lGYXFNnmEaGLfQ96PQ4HNKQu7VQVJKyLP5LNJ3Rv/QJFth3kpSgmbLD4yFzuQ1
uh9RIsKjCKb2xo956bS5KA4o6d+khfoYWXV8T3R530fxVvq1Rd+Cj81ESqPtgF3rt1b3IZKfG+vb
ZWGg83cs4uwz+hbSMOmQDkNthkfjtqbmQV6Zoz11tudHNn9Ox9JW9CDa3kbqpdIt5q4JyilzZwac
BB4N430b9Dw8xm1ij9mulB/DlNhW/HSZylUchM/KEhwtNLWI1UXR6pgEEkHUJ3N47LudKN8T8u4n
QNDokZQjwtBqwcl8EGYkZqfI1ZWID6FD1W2yJRKrlJyALDhmZtQI+KTgEEer38k6fGdWbLTrKuZO
OAjt/AxNFmIX+F5G1QJOxcJISwbDqoLErv3CNZubpMzckG2JwkqQhA6BxS3JvhedFuZ1EKJsKwW/
UdHARkTNot4xw9YVQ2Wn7e1lstYc8RnawnLQ0fPKNgLaVLnqY2pUdpXc08lGgymob9uI28Xw0Ocw
v2rnx749jmKDs6t2BV00wpFAML4sTWVDEXtUwUYOPuoFDM0Tpx17bVekE25FLc9OSj651Rj3h9wr
6g1hXTUtJ/CzWTjRPKtktKEzuw1rtNtQ2Z7xsFmG/R7PLI2LIObcrlZMMLk41CkNtEHaajbQjW0Y
b8ouhJTeRemnEO7Nqj6qB5pfIypy0U/bSGpmnX6BTQkGQtBHZJZciG5LTBTFgjY8fhjz2g7C3E66
wMnjWzXwPVc/kadpcQI3K+4JQ/Mo8tOkAhwZEluq+6R6nqIPl8V27dBOMRaBqi+MQbEBGEV3k+eP
YXs/yg2uranhKcTCUmojCMqymyFcwe4ytiuNKz0+13RD/FfjREEVTseC0jOx4Jfn0Y7rEfJfB62D
kNjO/Xd+QdyoNb62QXEk2eQ5WXfdxPHry1xch2aQS2bNUdASuugTTvPZpaeFz6/NKQ1tq28HN6SF
PiiSdLbvldUB9T165FXdH8w09Tf4vOp3kdegE6jRFFR6wejISMKSUAL62X1ujvk+bkt36vjXNKzu
OA6AG9P1XDbkBdklxqHrr8OMbLSYVgXq5CUWNT3SVJUfiiE8lvTOqiqb1PebzbJVPRTCVFrNmc+y
UK1lHXdJkyOAqmjsZJ5lXkvTz3ZtMsnruGiFXY3jLZGFeLp8zquiLBAVClT+EbEv/LHZizTvEgA3
RUJuaCcOEaWTozOzc5UvtRuWw7hRQ1s/VomGO1Gw6uR7WfPEDLTF2EVJW8KsS+OuLR/i7orxXd40
e2q4FuqRrf7gxWIX0mSHqtKu+3yZ6JmoF1ZPChRN1RzeY9bozAz1jfZas5uzlMi7U41w0Z7aUN1V
oTmBWAiNjkLTrHqkKCT/MBWlM5E7bpYb2daq1PwAWZa9qiAgTAUAMdLiE6LTKP59UK2d1uF9Fz4l
yYasrIVVEE4ttSm5pmzpqDxPVKNVgKb0ZhpHO0luUG0O0g2vuyqSJoIpgqEMgZ7e+el0dNKlZ0Ik
Bz3aGONylPySyMyl4bberZKkGAYu0PlC3ZCdY9EkqsZkAFY0aCcMmdPk3wo27mS/ZcpWBUIhJWY4
MJj0haJZfVI0RQ1Tnie1PXhfg3HP2r2Wt1PiOdeWLhw028Ims4XpeIiwzKzb9+PXy4K/9RLz8xPF
yxoFZ0KheFH0GFSh04Q3U/jHZYxVoUSVaC4CYACPLjBSXQQEIxzh0UJ4JvXVEFEnKN/6wV4Ve2/a
QFun6AfaQlh8L55kWSFPlwHGJCo3raldBPeXSVq1FyckLUOKTCRxmODsGlY6pvfFL35Kk08QFhZJ
cYw35TWYlrVOY77zU28XBNM+6QbH+lBN/oZ1+n4ILyzgCd7CPLWDiqrB61BjizyHDW/iuLSj+k0e
Xs+toDa8KYY8tiV5F8n0IHnrBnlj+5DIeGvkZ4O3S6MSm7SPwhSUB0nkROre82L78umtiohGg14I
DFihLnUu9NNkWIFKRljJsP1Wt2q6nkz5KRt4vhEzrRqTE6CF5Jd9KYfEBFOH+JGmsYPZdztIU9vr
6g2StpAWUk+9SmBGDkjZJK9Klt+gdYMxBzfLHy/zbvV0TkhaSL7OsrbgTQ+DMfm9HZrPcVhtyf7W
+SxkfxRpn1ctMCb1kAZ8l9V/0DjdXSZkC2Qh8JgRVjwgEDONQ4m9b5g42Azi1k9FWqgeI67QenH+
JBJ1KgYIWkqTQ59NtpF+G8lwbMINQVsn5gfQ4vi5nwWW8MExVZq3KX/Wo94Zld4QslU/rBF7Y3RW
SPY9ijtxFkXTq3xkCL4HXypMcXFlY/I7tyMqd1US0lvt02jDMK1T9gNzoat5UmJ8VAKz7R4JHXeQ
uGIoNkBWPRSmHDHibCLEWBqEgvgBMvsJWUX+LU64bXZXInzuiFOZ+yEj139f8iSDw8fou2laS6nI
mqiNrMFCrT/IyKHMDeEWXtQf6jhPNqC+N2GWZh0NRCExAI/i8nIarm7jqhWYicRI0nRVW9TWcFpx
squD/JAXB6vZz0lkH9e7uBtdNd1L1f7etOKmJo0TGyS2p2Y8XKZ/TSukwDQ5prIwSi4X6s10N1l5
jHcKw8FFKEezb1lj2EO7u4yzZqokZrwlptbnecaFUvTRWDSDTqJj4r8b/W9ogl3+/jWpOf3+hSmM
Ag+VJyONjnmGyR7T5jS2Y/9jMbZOBQeZxe5lvNUMHLPdGM+klKBTsAAMYinKqZkJsvpyX5Wx2E+x
ye1oyNWVX7DYrhPLd0oztuzCH9JPo4UZ3csvsaaP83wbRsNQdjT10myquMmlCaKp/4H5xEErzDA/
XMZYOzhTS2rNmyQwM/PzEzsTZ1PbTCyPjlmSPtTI9m2MhxU/Ycxgkk3OUEcgmC0+BynDchzzMYuO
ZZ0JpyVB5xBMA7ldUTzVRQdnbZnDT9gZtGRNjdAD2zDLhhvqwtVI8jE6juTOrx86mThx/pl6qZOm
d6OVb5A4n8VS+dU8uc2QzQiy3NoIEws9iqCNjjpSHwpus/ZzxK6G7CocvLe0eIv8c0M6VhFNwZjg
GCFFqnbO1JyTMDESMzp29Q4xT64z5C1j4+TCR8lU2X45fCql3l+WF/pSEwXh2HzAxgF6mWhqncPW
skiLYPDRqHhSe5G4ZXpLE6f9w3tGhWagjjUcy/EgegebCF18M5m1E2C8xd8sx7+UXLwIcjoL09vg
97I81WOYMCn8Mjha47ElLs02BGilNAwArMeYGsTOI87nlI4BKTk2IDAE1CPlaEJ3ujIq7605lpik
fuiH5zErnL4qHW54r8fW3JCoVUajM0mphfYhX64klIUyx2CqgyN8je3Hld2jI9/Ryml2jfiMvuIG
3suIAytgiCNgvynK0XJBbqKKrMLWV3AsVe2E3Ze6GJyuf0rMfZBGG25pDUti5UjN3XC45kUxIymM
NMh9jIHwrtix9PfpvaEmjELbqfjb9UOBtismQzGWhgGo5QiU1QYqiHMEAIb4FkcIopIbGocbovJS
FQX67hhLYozB1CztW0obI5xSlIKaEO2R9KEcIsd6HM1HI3tmH61+IyNekQzASZTO4NXnvvK5YFYp
G2Q9omeR9wm6IobLvY/C27P4WucWAqqvGyrP8H3ntm0m7wfe/PzERxiYSAmzGmk+NZN94VGnK+R1
EqiDpt0Hjrlhf/g2NV+M6yRs7K2Kxkq98hx9IZdVoIdejyibGIFxpfRg55O391RxU4c3UezdWa3c
1YW+8vpmz0juFp10kANsaMdKQIDXmBtE2FXCFu+L5TLi6VzOlRXTGq5ZwxxBvozRhzEJD3VSO5x/
Hlvf7viW73wZBEApLQvT2qiXIq5cBCJeSqhv5QnMnBnb2upstHDQ594S4ZWiBMboMew4LySgvriU
YZRrQzkmmHafxq/kEBC3CEYnFoETCGqPqf0gr83D1F1lhp3XG83OFXMAM4viu8IMNwR6FvgTAZsN
RDn6IapW6okOtZ1E76vq2YreRtHThizPlmUhy2dQi5hKq1ZoowdU2T9G43MuX4dpbpv+OzUdhHnj
6X2ef9zAXNGfU8xllUVMihZopkBf49quXwfyKsxvI+8w/NFU7wIpbPwjLFTQDhvAa8SihYSqC4qe
SLIXfPW9CuweoDpBchTdMykf4+eacMePW0c374X296mxley/TDkwnYjVXxwlNiSRDJwfppfTqh0H
5MdDtZsLu562sJA7OSzbMIMrLfJzpEXsquN6Yv5cR0un1sEWo1F/zCq2Q8rFLezMOrmROCO5DYrg
LWPpIbDeeePwtwd88A7znBI2UaCn383GiegOtTdFZKa2MwzqVEZf2J7CgIjJo3zDy6yqKHISgulp
GGOs25xzdvTqKUjpGGKVNncEb66S4o2fopV7VQoR20J/oALbtcpzlUh3c5eQJfExiKZdxbyNhGzF
5YHuH++y4L3Juoi3OfpyGUqGRWbZnvUYq8o2TWVPbWpHQehsVrfXbOEp6CLktbCWNafzsME0frAK
7faZ2uv++bLarJJmoVUuOMbokLWcs7kuTIklEgvqOtGrSh94a7lNY7paVM+RdifBnaglV5dBV6JZ
pEZo72DzC6HmsuObZ11rkoCi9pJgTaIrhOGknLcbXmxNN09RFs6E5Yavyx7FF2YkhyZgV215z3sU
HrbmAFaBKAw3NpPRPSfz8xO1SAfZtV5rQDxQSNthnK845FJ9E1DAPa19vRHlrXIPVQcx5wIm6j3n
cM0kdV/mAltUIyZkpvsxb93L57NK0Lx5iPBYYuNjIXpxW2OS0oANT0vL4fKOknxn+Deb1cW1OIPN
3bD/AC04145GNg0zEA3kUaXBrgyYEw3dNboELq070w6nYU+s6Allh8//OyIX4jFw6VfN7IfN6Sqa
9mXytsgjm/rjhhiuHhfyKpSk0AcWcoGjC+wKehKbM4inHCzr8HTaXaZkJUTG9gY2EefkyURScy4Q
PKn6BKsi2HxgmYsmqYdI2aSfkibcF2g3q2HD1c7HvwwrsC1CcW74RS2TcZ6UMf4YmwNRsxtNjMRe
NX+/k4Ld/xOIhWCMBu8irHGGx7F5F3WDW/uJzcatVfRVOT9BWRwNlxlhRo5NgP5bDhKUusc6x1Q8
Xj6e+VsusWsRmBQIdnHjAGgZWGXHSbkrh9t4eD1ErVNEG6KwRdFCFFIrQ0MYY+XHtqjvdDTe5MHz
UH5kUfXuMlGrQLhHBVVWzAyR5eh8GxsdbQi0pySjK8oPdOR3NXEHv9oIBFaF7QRo4aAwxlVJf043
a1ogNqdzBmjJL15Wyg2vtHpO2E/FGJQ1b4rOinxixqu0oFYW45xwL4Az8psYXcL3TYS2msiDb5fZ
t6qyJ1gz1SdYFIOjwxRhLkSJenrTZx45pKN+0yj6XNUqPGTp+IdJpnxDc1dPDbfeaNgj1FqXlWta
s1QELYYQFGnynfKxK5Jn3u+ZkFj9D6LhZ0yfhXKEMrH7L5Yzf/VERlFKwCUKtVaZx3D2WOHbkPk1
CUHlWiNXxfVA+I9zXk6VV6iiSP4c9YMON/x+24pvgSwUK4x12ul5yiamN42ssAN7Z+Zb94OsuYp5
cQKVPpRwEBidU+IVJWbzLdQ6asXL32lXlrY0onwjAV3p3QgM9f6AWQhf5LeiGbMBXtey8qssKjlm
7ZIvSRWl+ySxIkwV09H1q6ndDVZr7jwWE7fzjMDNTNPcdVOc2n1i8isahBaC38m/wdUxm6srcxyz
tJunrzkL84mODD4z/xwCqpiTmz2mBprd4OOiCi6vtLhpvVtuxQ6yvWazxrV+2hja4kJprIgtOERL
L7GsEB2teodFaz3us4fL+r9ma1Cp+wtgQRuXuMgmnFBlQsBzixFDvatEtsP1TinKO8EbMYUbmr8a
as3xqaYw2nOl95yb/YiWnT8iGpZFYe2K1sjdtCe5bWR9vItZFdtl62dOppHUFU1efK5kvlVlXmUr
LAEiPvHdKpy/QxL1Zht4DN6JfsHupBVVdhD/cZmza5YV1XqsZ2LIWGm50KHMx00gzIvRBFQuYTcl
r10DmX/2BRMLfr3RHv9efXwhoydoC65SKzdJxmF7Qkb2ynPIOCJSHu/RBNp1TbE3qi8pHxGUtTvN
6uvLpK6aC4m7XFCNxd0GekGqRcMiyARsUtYdKu0MP2O+cVZ/ff+COK8boRsGvn/wUpey3J7CreB4
Npsv+HcCsdADY5iMUfXwEKLs9zEL94ze1mN7FZH3Of8gB3szeF3VvBPE+fmJVWlkHxl8AlGReEoG
Q9tWELu48cmtx+A5ovvLR7Qq8SdoC9+UEoPpfoI0Rhhensrqzew0Wr/6icIMfLowcTMELsIhy5Oi
uiPR9+2F+LGM/oiim5/ZCIHXQFHYxM2NuDRvecsOHEPcViNM1hS4aMG9z7Rb1u+HrVsnVlUKmRIG
wucyMAKH8wNqMUaRBASFriRqb5s8d6L0/WRiYLcx7UQJW/Me1ykEKFGE7WFM9VZxeO3IUMhD95bD
8AuyODJqliLMe2Tzkn1LMOmEJkoL6MtysWKl8O04KkQt6KstrTHnaUiyHCBVh5Yar+2iPSQRd1G0
cPMgt/tsw1asKBoAkathGgUeYBkkYWxkVB5FVxojcE7kRW8EgUdluEZwtD5IGd605KZRW23bWX0X
6o1JV2zlY6Ce4aq6hYWqDLMqW7OMjpWF2p1pGu/rML5rjNJzM6KSv58qwFhhpB0Dobg/RC4KI7mI
h0QM8fe5jAQtyoLe9fr+8sGtmI8zDHYunTLKsATgRdGxQYNyFN5NrEY7GO769kMVavcy2KqUzH0K
3JaGZsiyS+n1iOG430VHMX3v46eNXUoR7JlHkn1O+kej9HPk9+bzZdwVFcA87Q/cxbE1QieTNoro
aDSO8O+Ifqy3LhRZgwBZJkwJChcvMpEcORaxkj46Wr2+873mFhXzbtgYhZ7fcyl+uCAUCwdoqmBj
bkFHbXYtsXyAKIYpnedcbW2Qr8k3lguw8GrN8+NLuzvQWmJBUkXHOUrEFQ3h3sQEZua9u3wea0J3
CrPwkjXPPCRumH4IE1xfk+yZvmZXYZW6Ivp0GWlN4k6RFt4RZbeSVyMIUuPe6KrMTgj5NMgSzT5q
Z3qX8L+/0ihwe9sPFs5vdOKPM4EuAiEiOnLrUao7M9x1ZWBj0eZ/R9hsH09gLDU2NaLF6OjTa9Hj
5iQjP87FnvhDXFZ2UlQb9nZVvn+QtWyVRB2XjfI45HtCl1Z5tVPPdzy26bfLdK25S/APjUQsLqEc
txzEm2JpxZnhYTImw4SWSj8zzq5JX72O8uap7PYdea6eZYCS4JSTrYtdVsUFkw2YQcV1aBg6OOdq
5XWVV3MDk2oaQ351kbkmzbCGHyV2obCsNuEOp6fLBG9BLupBuGjLm/oUkD2lb5IWsUiGyxkj3ORR
19ciKXaBn/+EzZ/nN/5D5cKM4L7OrOhYHB9jM3KKwPT3VcpzO++pYVdBcpX2XbwBuSo+iObmRB13
2Sz7isWEC2OreYiYJbsWbfYI5cna3GgkrIJgB3tejsLFcsu70QajLrCogjaMaB8xsxm0D5tty9XT
Qto57z/hwiRzod1JEUS4FBcZX9gzJx6xXEb+8ApknRhrZFfM24gA1rXhBG+h5rGRB1lWAq8Io3u/
7O2puNHTHQ33Hat3xGN2yq/j5HOxlV+v8vIH8HKtzjJKgoscOArW9DoT2FE09Q7N/7eXhX8dBaOF
s8uEvi3YqZvUq8PBxOwN6uEqv6mSCldPHS6DrHlNXNVI5k0luM7l4jyu71NhkwIkkvQYV8ltJ7zH
yxBrdMwDdSi24toT3KB9bjdMFvSougAixoz8mD0K6wG38v0EBi5Qwk4B3vhFszqTad7KMETE29wY
2PRLx8qOUH2/jLIWAWDe+C8Uek6J9jvcVWP6sPPVfcan3dDgZrn0Rhpyw6F8XxVcBjOnSAtbaw6J
h9vGGzjKwK+ujUSm9oBBsqumDYZdFRaV6/NG3RMDNyqWIjXfRiy5r/v+s+pVYBv+NBxy6od2IXTu
BmNY2mRqJ3sICK5VrvRHbfpYs8+xWV9z37ouoxD7fWESHP4vaVe2G7eubL9IgObhVVJ32+32lNhJ
dl4IZyfRSM0T9fV30ffuRE0TTdh34+C8GEh1iUXWtGqVtwzjaQB0H9SdSISmpFexrEjNAfEth8mj
3y9iRkhjgYoG9efTmueRVw47RO6Zp3JWr+ihN18Q47XIXzHiDOzf+VlZZEU+lgDm7JR7wJ2PgcUi
36Z8DsTdMTN/NsvPps1Rz0B5dY+pm38x8jaa3Aer+jHmabzO9XU/34EXmfqPANXvdfM50czIqXZD
eaeB5yyEUe8vW5isXGvxIBYkxWiVI6Y4/9k0B8OEniIad5ubfKaP2QR071pfO2ke62w9sTy9HSgw
4lWbBuGUgka5Hg9t34e1l8WmZx1ZZu5Iy3TFays9ts0PE25xYbl50zuAbLvjEi15E2bH3iZXl9VX
CeF/3wZuSx5YpQXMdl9mkfalXX5VvqJ6In3wMJkMtDanKxIHJtuWtbCXDrHh8ikP8kjXFc+d9JHY
CBB0SPu2Z1oGAXMZg/oU5mWan4vky+UvJcsSzI0U/is2X6rOJ6w2yJFsL/51NR3n5QhOh/IuHxQG
KfPpWzlCjtAZfgBjwkNkOneeFi9AX4MQtNMC9A1+wgIvayUrXAMPDGIAwI5wAcTTGVcfaw9aWBlC
Ictco9nD/OxCAXj61Pdx3hk3SPInTZUw8MfgzWOxESucWU00o15nFEy6dOeDxtJGQBs26xIZqRf2
VhC5ixGORqvC1ktPcSNXOMVszvyy4EUMi9zrQD5BMQMDcU6w6xBRX/62UlmYsOZDPJz+UXBerMek
CXNwkpN3LIeChIWBqfxyuupJhoKviv6Xf7I3n3QjTvBguedkk93BQIPkBX0lEA0811Th9aURIAYh
QG0IbCd2PQiPfNBR26kXzCaYZHEjo0mPqx8Z6wvBxDUFi0syHBqqfQFpbtXlzx/5nn9ki36sWls6
LTNkz+UDYf3VYPcRkEBh4/8Kso9UuzaKmsLhpZPW1Y2HmQ8NWRDSkrI+jIDNPlbFSj+Ay8WODnAp
8YkndFoFF2Qbad3VMwpRN43TRmYDxmF9UfRSpMa4kSF4k3UEuyCdDTz0+hgOgx8x+uJ2eTyDlh7t
vssnJTXFjTD+981bievAahBp5yfqNV8NLdsRx/upB258WYz88cL0MzhVwDKg+8Jtdsc2GdIOI2mN
1YXMKe8b4tw09DjV9bVWrHdNdWyCiP5QiOVn/+am+ZzwjVOIAs5wrt4y6pVHV4htSR/XuRfR5hkc
W8P0tDRlaE11aKEFeFhbFeZO6krRJUCBGXklxsnOBWsIYPIVWzawVYF6kZcty/VM9P5wWT+VFEE9
YmDOuTO5FPDVRprXsJgUeL4uS5HaCJAgnCYVuwvETiJQn2O5dHA8Hjhrx13AyaZXRS+en/+bg9rI
EOzQbjHdQBckKVaemrw270RrqcPJsTRaMJP0/1RJMMcBdTbX7aGSRY7+/GLERaEaeZVrBCItdJpR
3XX5Nd/crGJcnNRiEKFjnYn12wFR2fCUV/QDJsAL8cDToaft+YKhMdf2snmGLymHFVCFa5bau/cf
/1aCYGRmkluFafbIFrx/6x6IB3LftsroRmbKQIwCRQWMDLiXBXelZYtWajPcfdcfMYm8JLGfFzFa
u7GNbIxFS3lr0CtN7/ZV8olWdxXpFDYhe3cx4obmEGhIQZTDf+HmwFixTtjyggOzYeBgsAf/2Gjv
RteJq8yNV6d4/sB33cgTTb4MhmCgkKdR/xqz65E1NrdazRR5g2yUBqN7lo0pZXAOoed1rleblFlJ
FyQO49TEnXcbzCxs2iOKamACnECkmPohRf5mVbG2gJ78aVTtHuCaiJd7+wsEG81yvZkqhl/gV1/G
ztmvNIj8XMXJK7WgjZ6CndZFVizeACmus8+80NcVflmlheD7rWbtADPg37G7w/Q/fOSsVQoblOsA
TBpoMxwUOQQbnMxJc4oBKa5PrB9p4vpR2hhr/BHD+ytEMLwcrAwV4YO5KAhlrXn0nX8HUinMTv61
/goRXtjC6StrXnmMmzVXJPHjZjGulIhzqZRXlBjoGcGHwFO0zZ31pzavfR2xX+22YP0YQaHXTyC3
XDWN7i9/NenzgKF6vrgD8HVfuEaNUTcsySEqNdyd901jRbjUV86c7OwPfTsArmDMfD2fSOlbprWD
stbKe9R6VCXfOey8p4qit8w/cVTXf0KES2nZgwPnhcgvMDM3NNYZ2+Zm5u0tm1bgBrNUiFzp93P4
mkKUb/iEwPlRZZ7fYR2YDtN2NQMFyCGPMEGT7jWj6OIqsNEyyWaqqMzIBpctTEr/kSq4FTulzTp0
aD+tfXc0+zVyDf3ADFBb1dVunYJrj02x+WJPwX7Jgp+YDrnznOTk5g9rkR8t7ZGjlTijzGVjktot
ZmDRbwD+1BDr14ACtOYa+Ai7UX0rvENnJ5GPjun/T4qgvFP2PXPaAB5NR66HTmnw7DJVlVxqR8AZ
vO6mxBisIGROKp0i0i1OtenHYH8kOqjXAhatk8Jg5d/sP0FYWnZuQKTGkBDTtPy1Vl5M9lH3hhBL
Bj/yOv7RB7CUczFIIvW8n6BPEyyxmQRXrl3EpZJimJv7G5+4ESN4K7vPNQ58ATsCMfdoyD5gbD7I
s2gcbvnAIGY+PuC+QCsJvgewFWCUVXBflBS5rhW476l+t3wyKHT6gLltJQjOq5nntF11PFvp/Dld
f7HpdsxUtWuZEWB6hC/MwzgO2r3np2PWTeGD7BrBaJVfpbV9hTnr3EkVNiA7HGAzMf2MwJ2TO5xL
0TSvT8YiL05Zz0LwUO8KIADQzTC0KtLaNcxzxeHIHkeHb7Hks7ieY3O1N37MwrSvtZKhwPzPmIXV
yMjPZM28yG8nP2oCrBYwifGRFxm4Luwj4eM44Co/F0qWMvCnmRYn2/7WVHs404P2xUmjrGsOlx8i
6ffcSBIsw5mrbqmSrjiRad7zGdSU7Dt/An0F3rygnZMr3VJZo1wm0i9MomFAXyTBmdrZrK11Lk5j
C8w0GrP1oRms8noNCuykKhZ9h+R9lxW5q6iiS2sdoK35I1l4EVlNlqYCveiJdQwjvkYCRDG7HUcD
qwUjoMPS0MQmpy7/AWS3wt/JrgeCE17DBDEUBtfPj7QqMRpr1k6BLQfF16Vi7NpmxbeMuYniMZYq
ibm7AEQrWEkMLOS5JNamfl1miFStudnVBCF3Gk1FvXd+9JZ7MzVf6BzEvf/zsiHJ7slGqkghYTLi
T9RG6Fobt+lwUzUakMafl+QIoKbiU8r82laU4AfobIIMk3cRKCAjPSBtbXfbZwmags+XdXpddiq6
gq0kwRVo0EkvODqrq8MqK3dtBoDRQn8B4FYQVKi8aV/oZWgz9CHJ/G2kh3w51vPLWk93s+qq8qv4
5scARwPaA/CrAPZwfq6jl1AvrVG6dbsmxn6rhTb7y/rKbBSbRv5IED5shtYYyGQgAZyj8Vh4O3xY
ZWIgt0/MAaJNiFjzzRCTTjzElNmCGDp1DiUm0msdw0SIOQmJ53UKa2sxw2Ecb7RSNbItNdKNaOES
+p2R1WRFptCVewPvd7KEAe1AHj9Es6uk5uEH8vbA/ioq+Crfow5CecTVafAM/GrkJtl+6AvsLjT1
Q28f5gWEloF+P+Sawt9LTQXDluicWjqw3YIvNkjumYnDoV3Ji09+J4niYkhv4ObfF56YJsNWmqID
Ig77b5quu/eqg5PWO7BDKxSRC+KrLIH2ROddcIQ5K4KlZKi422a9W8oVC+uMw1rtNeDxL9u+1DQQ
gYExirPFiXgPx84RWXL03UD1iDdysX17l/X+rrWcuFONgEhv2kaaYIip1RdoUOIDasEt8YH8AJe+
+/2yRqIMA5Nm0IVbQRCAkoprvIlcvMVmFbaUww+U4LfLNPdxzKop9Mffl+Xww96a+ascfDIb2zIw
5yFODxsW4G5Yu4c0g5LgJmeBH1kYOI/bAqwo9Th3hy7ARvPabGPN6AaFhYim/r/SHQDxkf0bYAk4
17JgtCBJ66FBeAp+WKohXzFU4f864OHIX0CNzVHw5/86Kt4FwTQ0arglQ3dzuM4cPBX9tKfNk9kf
6o+c2VaeYO/BAj4AT4M8z0pCWyuiGkg0t/l6+cREWxe14t90Yxl10xuVZuBWmaB5q8fgdu2De3cY
jlPQXOXFw2VpshMC8YgP4kzkBY4Y+SCsCliO/506e9WjmiZLZC3K0tkbt/KqFJCjPtZVwUOKjABN
DcA2oMBI25x6b+tXmB7DVF7nz4fVrWJWljFKYjGSu/1l9cQnSpTL/775mE2TWprl4shcehdMh4H2
+6B5GBtVbVD6GTf6CdfZKQvMN7XQb15C9nm+uqyF7LEA/fyfryd4DC2Yq2HiX8/syzDXXvRE3/nF
e5s7r9+K0/+5MHIsjRCu09w4ebtgXvQEQzvMZh+61A5n1Vim1Lw3UsRLFDipp69JcXKMLy5pogHs
kHOp72pspVCFiFJZAYc1A98MhILgCTW9xzOL3d4nkNY5oeWgxWcVmR6bXZIfDFo7IWuwHPH9h8XZ
r/Dgor2O4fZzk0sqBCzgtUdOav8Cti4qJ6Aw3ovv5WdlI9HSkWsjAxUL3gTq0savitNiG3eTo98l
g3O3sODTZV1kHxC7HlBMxZI5DvM912WidGJm0RYczl90L559qpIYbHhx8d55jv9V6K8k4dWbJz2w
NbMpYOLhdQqG9FzxEsjuEJp9aMeCqYbb97kqyWwtI3jtCxAO0J2/HHTmxYFqDYjsudkKEa6QW2I9
jj7WKIL1O1Ls6uSI4OvdFb3XbwWXCsZOE/yDIprCmmxrLXSk6CCN0tu7nFZRquQ4k6kCLBtiE3Ri
35LhAiBIUOFBSgz8kr3cBiQK7MdChSB6hbSI8clWjHBFddbbGFbPypPeYd9vOa1z1K3GPwar9T5c
iUtijVIQZ7p9ulvI6KPQ5zWg7dTGUB/IkdaswU5gVh1ye9Z2Q+cGYZKhCzpZ6xQ5y2TvGLPWp8vX
QmZLmx8trrHsjKbBkBy+zTydjPYA2K7hKvyyLLZB/Z3zECN400VOlmHCAqKpA7QKa+HH8Rkzhfdm
P4XB5KHM9Wu2ut0HVALtMyYn0Wh4M7XY6kldjyC4P9FgyOMJmdGN1VUFljrljuKBlPlKQKv+iBKO
vENqsuQ5Etl+5+1UA8HSo8EUC2C6oCJ9s5JjLefR6Ph3K/Uk7IEhSZs1UpJKSi/HRgp/NzdhRWex
ZC1tSOnBmOMXzRFsgFEwvqzu+PkD5wIzAB83nAr82LmkHnwVDdOAnBoyjDc9riCDLx8vi5AqA3yR
DW+FkVJxjaiL/TbgMkQI6OTPDKNN3lqFboAtRoqUR5aKYE7rjxzBmdjYrKiZK2IxOlo7p8mATWyj
VmNRjzJDCnQxSnzRkio+oDT0BCgc6E/sDYJPFjwLyxLwf84InpjTgO3hfu6MQ9JEyzRfuRUYlci/
ZoKKcT+qTFFq58hLwAaJJO/NkEJTm/lizQgESqDSW/I7qFUstFJj30jgf9+YIerhdpf2SO4WAord
IzGWEHOkl61D+hBhdAnzN8C7gVv3XEaK7UCzmyOF86sDkP5EA534Luj3mIhY3st0yx0bH5P6T5Zw
VD3moFimQVbR+PsVk+6LfU+Sg2d3e1O58F16PIGBIhdIbzm7vqCYCzaChCGE8hNdD3VaPdS1aqPp
K1pUdG/4p5HzWIjWHFcQgtHabh46dEQS5zHw+xDoGzCx7hf/RTN3Q/3F/pzbkV5+JaB/ZKHTW9gP
BiKGuAHPXGFW+8tnKQvnUDHFZTABeUJ5/1zlURtWtpToXEx6tavooznVMQvAlEof5yWILguTGSfq
lSD5Qt8asaOgek1Q/c6wKftUXtc6Ddvglhp5eFmG7EnhF9vDsDFWMYjZKzOChiw1Q7Ni0I55TkOL
lrum08MC3M9Qq4wtzDwDFvBeagtuqS4IjA0AFV+5jM+/5OAWg9HqKN/oc/UZG92jeSmuL+smPayN
COHiFaPtjhrB0K7uR65nfzac29wCjKsdo8WzFIelEibcPOp7rqE5KLBZ5R4M3qcOi+q6bJ/Yy2my
VS0C2ZOy/XjCs6WNmHvOCYQVDbt3yhUIBjssZ7rzyF1fVrvSVIaZUmO0nAB9OzSFAWs4Py8KVqTU
bNBboj3qHGHFMNwV9RrQu5GemtrXygWaOyx9WlWhPhoBdgwZ/RDXrDZ/2BTEBmGWtoBFIwwd/6Wd
1z9QVmQ5tm8xkOSt5RrVpJt/JYCPZ6HXE/0pXbyMhO5YkIexNHwsmOqnLrvVinJRhIpy3YAQBpka
+PvELWSGvxTF2PA3pkR9yAiT4Wo2VJU8qRCMVmG4Cv9hCc35ByTJmoCbBk+HBgpTcz3UQMDp9stl
k5c9ySgjgxgQ/TGOujsXQrWyQsaBQVlzJtkNJrjYrl4cV/EKyuIdvPeceg5rHN5AJnN/HTvfQJKG
we1xjgndrc5xMBTXV6oLpjTBvIC9kHAA57qkS1/1nofnb8U6ymh8uvylpMcBogrOPo1dF2JDL/eD
AuVv/OtO8Iz99l7ahUOq8PxSDTYyhAdct7Ua5EDImPuZOtekBpl1m/l9fFmTN8TEr08pTtsHyxso
3sTS4DpoZHVWnjOve1aG3/xbhhnByFyvuiwsi0/OlY7+kz4enOfLkmVvHhbqgaEICQ/G0IQTWhhL
mVu6cFAZZTsgF3rQAVfrtTat9Y0265hPqoLdZZmyc9vK5H/fRGwGgPWgIbNhe9W8X/XmlqJ03XeL
4qPKVfNBYoWyOHdVgpis77t59sBnbFsx8fO4xb4VU68eglEPaacAob+ZmeFH6GHcF+4Qxm6K+18q
fZ7sJplg60FoTHepFbfHrtq52nF0D8O3q+Dp/V8RlWTL4MQfnKfrXD0PoIgE7KTlqa0fStdESdTZ
gedOcVayjwiONex2xCA94iVBSpNZmAGeNJyVw2K+NBogbmw+nHR6amoVgpX/Y2KgyJeEYCoK27nR
LDlXqV4zpJKrBahHPsWoKWClVQjqvMvfTarRRogQ/2muS1BtMREu1UuUT+CtyPartUSE+LE1Pl4W
JtcI4Hqs5OIXW7BBvsIGTBywwUkH3eH8uGRdqGRoUQnhGm/uU14HxYxZFVArYON8vpJDNjkxtnIp
7pNKjJCFY4K0HloN13YYMfB8KLTb91Lb8SvkA17239cSApSJrqxPOl5ScsARMTkIXvtD5ingJ/xJ
e2tlf6SIhSuWOEtitfhcWOMbTWMfdqsiyZd+KQRYKFqhi4DX5/xAnJk4NfH4pcnd0AtAJVZg4ZQq
7pdK4ctssB8Jc0Iiftmo2iGw0OU+OfrvqrtNsjFCAqdILlRChCNpsnIkfun/H5rNuaWsVbdDZMEI
YBb/aSJOGRRNNrcpf6l949i+lAT7gXaJwnqlMjA+ZqEOgba2iADNiQ23DSDjiaZfrfF3ZR1mLK6x
FSevkiK8YAbzszSdQaeJ1UYVYFoGwumHaVK8KnIpAF4Ato4Snzhy2k3IYM08L0+9A7h1eiyGYG+V
h0C1TpIf7pubgtb8f3IEO078jHptU5SntcYuwSDSG2zawASI7+VhZv0AKUmkDLhUugkxdj2i0z0U
FLXw73nwPN55SVjYqrnkN5uaXl8aVJUNlKgR94jWMFAb7hLfAhs5H1Yfa7csM9T663KIrAH5ih72
9q9mfWrXLmyt9w5FceEB+mIgkkOBHB3N8+fBXitk6cECOEJzQBMGECYv+3LZ70gLfqi5cbYDtC5Q
SzqX4Ra60Qc5un6NTdLI1MuDnbE7D5u/aPnJYvejk4RVmSMhqxQXTZLYgo0MDhZlJU4FIHijudat
ckzw+K31PxpI+EC/Wx4HPUJ7+/dlJSWmYmI+GbUyiPJAPHCu45oaKVuWtjzls3OF0p89tvuyABfv
4SNyoAmAntgV6grfsl3B4tYaXXnybe15sfuXafauK5Yca6Sj739vodNfWVznjS9P9LqlRTWUJ284
OtkOWqWT4o2SBEBnIoQDMtvCYbUHdaYWDpBmA7Z+WPlDVxaP4P67ClrVIIXE4QKuBHSyzfuOwKqc
64StFG1f27BFPf26emPoq9qaknfqTICgUemD6GkZEDeuGgLGXWuyQ0Kv/YekTvdu1x/s9wIdcYMh
EKVl0ISiXyDOZzbd4BilyQOVxP2lmc6DbtlPHzA64D1A+oT+OXzj+UdbgtXTFgadhjGqfjbDDaYJ
kkZxV6Ung90UxuuGGOCHBCG9jhUVOh74aqFXk+/sQcJ4WQ2VBP73jT2vegKei6zE3Uld7J15HMh7
x+pfz2Kjg3A7UZu3KFshwTUfMUIAGp6faKZ+4FqiK8QZitCCghmfq+HknlEnJfwF9W6aH2NwTXbv
/05bAYIW7twwu6ggAJxoxMLOV0VtU3ZF0NcCsTs6XKBLFe6g3umTjTYxFNDBV287SbSy4Ko0vdBj
WWjPjwbTPztmenVZLdkTvRUr3MyFDeVcNVV5Ssmt3v/SbNS/u3BNVG0mmb9D3vhXP8GnLihB5a4J
/fLSz06kMrVoGMAUMznZQ+ncA6F5z7LgezXbLprphCqyf5nT24oXwuTEmEbbBH/+qSP3a/k0zSBN
C0fW7JhTRz1RSJN/VT5Njz0LaKwJ1zab+rRsLEizixALH0PTjrXyWDmqVd9SORiMhATAW5HQnFs9
MmUjtQOcHjAW63h06mPFR84Ups9NW4gyOQwUMznWa6FGODrNs/MuWeHGIYLMj9BE2apWiRCOB5sH
ey/hkYKN+ewQXDhfQXdw71cqvyD/YH9UEQHwhRdoie7DtRYVh77QOVrbffChxwgkPoh4kC2jHH1+
LHoDEGHbTeDs9599TMfiOZobFZ2Y7OEGugpDnvB0OH4huDIYNpdqAz6ZpWlVTFs0Q7TcUc1dy2IR
eDc+X44bilLduSpsqMzaaCClN9wYh0/0h9Y4dhRzlYbCzGQKIVtCDwfTNUCGCzZANaz+ooNRnoKm
7uLAK/UI9W+meGdllgZALuJ70F3gRRCupraazpQRhncowyixRf5ZzSwuA13V9ZZZGrIXXEv0OtAo
EOQ00+DXTmnBooH3ORQYUrKizFPkmVJlUBp+7UbwMPv8dEqjxnIn08TNRBgyfcFqGv+9ixy598aA
1X8iRMpHZpVuOpg4FWocmy6/wuCfmxww5xYFhaqWKbMAsCUiqIK9IekT1bGyol2xHeLUt8keiRcv
O192d1IJqJPi7MEu6Yhz3qWJbWlZiljE0opQa1hYfQBcx5cG/pEgFBhoMy2O9Zoe9y99QY/V+Fsv
nxOvVDhuqUPdChLuf5p4mWlXUAVgR5IcWR5bj84z6sxs2tss7lRrW2S2tpUnGHQ+WsHc8TCOfzqO
4+geqafIfGSXBgsIMW+AUj1uqBBT+8XIxsJFcmUS66B1blj0KUgMv5P6vVMh3KxtTI4D7Y/7CQLa
85vT0rrzRgNPtKV/qduHAFWFzEIPjHofCExtQCuQXaFfiErNuaA0GAhoO5bXfLHPrGsYQ6F0azKz
3goRLg5egaLJBzxqieuganDslVT+stO3+ZJw/IeMx+N/36QJuT2SaZwgYaZ9OKAn2Tu/dEeRi6iE
CH7TSgzNNSm+lZ3ROBh/8wsazHN8+Q1QSRFC3tmekgL8suWpqZI6LicfFD5+20fgu1ehS/h3FyOn
15kjDOCiZSLGZxjPqdLRx/s8fXN/l5+rtQivtDzsu6+qZpPMT2PaFGRUgD8hJxXOp9RJgC2DOQVD
6wo+m6qbf/ZJ44dpqmuPrKpeJnc0FaYtva2waVBmALeOdQTnNgHCPuzPKAsKV4qdMGDH7DDbblVT
7Kr2d8okYVzbhP3ZKFSI6XyGPdFtXZX0ZDgnzr/dpI+B44Rad/9+0wC0C6V6jKCDTZ/fs42VL3PX
TEFS0dMIJtHoR6dadSAzve2/L3yxppo0v6PQQ/duxvoE2HUyKXAWMpPbihDuEOa0QBXuUIhIvy7z
TfFSzzfA6Eaj9QutgUg5KSF7ehyPAyaxTxz0b4K/M9ASqiy/pbizLFxdcM5/ANuHaJCXSoGMQSQi
OAWz73os3INGRUvCsWh3lfst+6fr9r5XR7QwFAGi1LEC+MMhOED648U7NwK6IvJsaA15pH/oafpY
o0WQ6MNNnrtauJQ/kur3nO0NsiqOTmblW8HCp+wmAj65HoL7tDtoKwtZNu0JfSznD4SN2DbMi9s2
klRxpdKQOU7FApi5Nh7Ar03Gw0dankDh/BUhWDrVQSLaY57q9PqxsGlwPE7J7/ff1q0MwdTd1sqT
RYdhGP3jnO/K7Fa5R0l2YbciBF/hlikJOjA28i+FOQl8Kbs+fkQLjo5BpdzCgZybm+XkqY+ZRnoy
rWTdIw3DzmnL++0wI9ldliR7GpAnolwAT4HWpxAl5EnVGNUESf4yzJjJMCYkcliMDPj8okeelgy3
I3Hbq7UdjO/rZKoa+9KP+Ve+CAfC8kI3dzw8Fa7+HedFiuePnZfvoYeoo3/z5u4OiVbyPiaukN9E
fh119RrZqtEA6T3dCBHuqebPcMGeT09ZMh+SZInn6THzzYdm/kA8BGzWH22EEL8kge4y6uAlAvU2
JtBQefF6RcgtCxzcAKMbgKoAYyzi6svCsY3WIRSE63rYgQXB78JK18KdIurica4YCsFH8HYoOO/f
lsSqNfB6zXrVRTNDuw3Tz/7TlN4qPZJMo60kwYk7g9tX/mTDA5pJnFbPpP1tlxPG5knYTKosjJ/1
G7UccO44AJ6DzEu4vTMQ31g4DmHF7xrLRzBqcWPFD/4YMbDwfndVvCdvFsbzvMXbyBOUm2g2ZUYO
k7DW8eRN7hK2XR35lRu6Q7pjGB8Aong5zMGvoi/26Wweh9H5FphL1Bau4uWSfmhUODhPiA7uUEF3
HXwvo5mn1WnUj3Nq7ceeRF51MzifyWxfX367JLKQffB5JZTU3oIuM2dhPiZXs5PWBO59y3Q3tBIw
d2GvTgUoK4ii7LUuFQ/mG1J6fG0sccR8GcIAYP4d4QI61BsyK+mw70KbIvKldvbY6LEEYWves6bd
BVb2YOS3pTaFevl9mVFRNr4a9bgb0t9WNe4vfwLJs4Mfwwu9nETozUZ0dw600ZkabEsJhn21d/o0
dLVDpuTmlsvh1SS4CLhwIf6pHAcUgia2siwkb/eYuulDG2QbO8xjzVcYc1OtT5NEkKhdYxUsEiRU
5MT4TtP6GW8DVu6xEZPqa0GqeFwcU/H+SJzPmRTh0TY9O/OsHFIsTD5X3T7N9pVbKqxUKsRFZREY
KUw9ik2cufH61O5mbC7pqoNnPtBGuybZ+9MuFBX/CuFXZZOkNLRCeu9jdSDBbGj+RKxfKQhPFG5B
agS4ZwAIYCgJU93nQgqNro3hQZPJxI5offdrxRaJrlD0SV6zA+H5RE/hrxjhCcmYw8yVYElvUqQR
lg4X7n1ma4fGYdE82J+xLi40k0ejemb6ddC7UdAvMWn72DbvBiTT3S5YTl7+wljo+VeddYW7fNKK
/rqec2Dj7x0w5rLd2Gg7gkXhqshN9iYBSIoRPuziBvZSiKcmc27r1MA2nLIOO+2mvS7+mX41H0CR
4db/kSKWLGltJtNgQwpCUMR2UVEgxxrs6PLjItUFVV6gOzEKo4tl3oUa6DJzKZUVETR41jVKHsjw
1faePiDI04GiRo0Y8AtueBvrNRZPG4cRLUAHcOqH0k9+dkNmxiuh2sFJGCrYDdzIZZmyawkX9Uem
cGPWVJvLfoRycBmRS18W45iNCl8huzCYpscIFeqWWCckXBhnWGYU4rP8hOZPONDb3vtRe4dkf1kT
W/ZYYl4JHgB1OBRKBVWMvGzMhEJMu7MP00m7AtdCFZPr5qGO5kOVh0nohUZYR2VI96CY2v3z/LWL
rOPztHOukocu6s1wvvYOVYTbExXXRfylCqsoP5TX0y/Fb30bGlnbnypUPieGLciZB/7yrEIs1P9I
rcNlATKQ2JkE4QJqy9SXJsHHsNzigH7c3l2GcNKfSrMFxZYFHMuxcx7tKfY8kG+pKCvfUHvx6GCj
oLgIgcxFUtkjJ2h/9L55WYg9Q/13wC+LZ/9+eiHfhpflDlv+0keU/C5rLrcC/3XqHb9BrF4ndodN
uCXYir02wTx6WTVx6hmO4tq84Vd9VRDofGw1Ba0/qOfO76pLqhYOGxtdwHji5N/JnO08N79qxrAI
7T4LQbYdoiFYsXhYyk/2fIUepFtMe0x4JmkaM2XTQ/ZKIR3/84OESxbQhfRJgolmL63CDnMPixEt
phfZBLWnReHM5epz6grcNOzIdYWnyklTqqcj+OisnkUNKeLVTMOCfAOldjHeWrfVjwXroq1pb075
frk1PulsnxgP2PZRTiqIllTzzW8R7n2bMy2pXc5/7cbe+i8294asvqqx/rVQda9lsy6YesQOXXR8
wdoucoOUFvqzzowpe6I/VrmPmZ0BO1NutfZIQCFMsF2LDLEXPDXZbmmumA3Kw3lSVGKloff2R4i2
12ToBhgYKUcGP99MeLWitb9NwqwOk6fhN+hbje95yDDw8NQ/qWb/ZA5jK1ywsxT4F2zMwvA/S2i8
uN/Rsor6TvF88ddJjH1QicHMLVqeYOMTzCvIOtYuKzTsrksEvqZ57KvjTH/o1mmaXgDt+ICHwhwK
sKYer46IVT9nbaqgwmJwjlxsM3QmgfrMsFgX8+2XXydZBdVCXmiAOcxGm01MipO8IRogePmpKqao
Sj+1hhfxbh7JmiiYMMSBVxpJ4ieFWEkubgE7hSAGbRAUNoXEhVpF7tEU465LE+zbtcSSiT3pfs5d
iA1/eXAbrM9GtR5zRaj8hoP/9ZlEJAPgM+I0dEPOn0kDa8uscjY52fa/ubmgkVjvQNYXzvVNlSZx
l9rAcrFwSLDae11DN+uvkGMpKhGy+ANW9OdHCNa0kCrLe84UqHtfgbiLZtAUYOTzOvcUZiQzW5gQ
YGpAiho443NtrYU6/mgmBbSN/WG/vgxlmExR9i+22TJFfiDzc5xFGwBI/J8r9n2MxaXaumKDIsmc
X3XTzVGqYc/LZbvhP1i8hx58KEZbUMQA9Ptcob6YVwqfArNxdubymLY766VOT6MfjqpmsOwV34oS
3hUA4NCnbSBqjuovxqn83AA1Gl5WRzbnZm2FWOf62HW6FqCCxj034+/jHDY0nKJ8Dc08wlRs+nhZ
nPTrga8bmzWwXh1N7nNpHij6cz+BNOLp18zm7edweUywNsxbp5D0CjOXvcxeAJAImva46mI25PlZ
zjFCeDRnK4uqltwGZfmbdETl/GVHhU0NAQb3uO8XYx+Q6iZBwZcPDFZ35RhTTOnNOhzGFqvRbkp2
StoqzNw7M/iSO2E370vdveqnKF2fEkOFWZJdA3B6o6+LX8T3qJx/46We9Q7sV+A8s5ri2veGfJcl
vaG4bLKLzVdTABSBt9sWUWtVvVqsWWyw6U/kkJbarsoA10/7OFiycKiOfTs95l6jcPSyA8WwjwnG
B8QV+L9z3UCFg+EPNEFOKchUwfbgNUWsdLWyD7gVwv++TTqN2jZmYOhPa/fYrF/sdFVcujdbN7kP
2EoQjoisKNg4NT5eGtzX7hgTDOpjN+tRB6lEhSWfNOFpNR21Y0rv8+JWQ8RaOGHe/g9pX7YbOa5s
+0UCNA+vGlM5OSfbZb8ILruseZ719WfJ+57uTKZOErUvutEFdAEZCjIYJIMr1opB3t/0aHETddzy
rT4JAeNU9lFv+eAqFQWnhiQ5V60aEMmHtH75pSC//mpi04jHikHz9Dzl4LPOLX9QdS95h4hbE9NS
3/I8Kxwab7F1YFXdTgFIIqQ417BJggkAeKVQhyiQlXD242y0ONEAy+PVBKeAO5HLCfwJXezBSlCp
AJpDSzOmPNIu+nFlgZhopuamYWgwZDkHoGovG2qwzTMaPGnZCoSDUYnB2zepytX6YpK2NVaFMigm
VLn1uYY1jJQT6FLuBp/4P1YIX9LQg5bqzPGbTjvek0yt/4NHv65KcBg1M9an8OAvHVE0Hg3RQN4J
qOIT0Zb34yCmGrhCwmyPel46xLsWLJtA6vmU5bg4fIBVoXzNo6NQIhwLKy/Oag/80DMV5YgTg9Y/
89COfRxsi/5cWSH8gatTDgE6BFtbWEk7HtVufkVdTzXtvr+UmucSI8sC8AtQ+byOr/KXIsdVo3iY
qESGgABgD6VkSMkvtGoUYmxxnYUK6WPfFjPDlcU5dK4shpniM0GIhVTnnenxvD1qpa+rnb/Km+C1
8mhPLYuhKAFZhjQK7MXdjOVxWsYTPIyzSkP3ciWtBrl2sywu9DLxQ7NHPIHqG0rFjx1dDJUrw8Qk
BmDCHMIM+7w8t5i3O178g0YrSqQsGoGoMRSGhJmnkCdGE6A5b4LGw9bTBAeI0BhVlFqmnMQWpwzM
YXjDRfaTyRYY3wtq9IohZ+ABVG+FyB1etW7CrpI7WtxShm3pIVJkRTzXzIQYc3/zrUtiBnXChkEe
VItQD7hpBb5KDTetDi/iiR7kRrBj16lutUniKNBUKk+P521h8QEpCgj3TOwt4kZ7az/wBYaTkiRG
bQrld8EvfpVBaRR5rxien1MOKYvGUGydFWtRElGJzUtpqyGJGVC+9OyYmUOVdEbepIKpgjjNwoGU
Rty0aA+qFuhKm+eTPPCFYBHvpR6KIdC8QoNrx63TsTbYKbP4MPh8PJALsQmktQxSPajIgVyPyC1p
qfIFi8WH53J0D/gJdK9yNMdDCtiLKEFDM0UklRoqcQEk0EA666ECAOV1boj0iqP1qywVZhGZyCUz
pS6YZ4k13fthMeJ5Ab218inUwSBuxpfYZXXvKd8WRmdLa8aAMqn7eCAX1t+NVWIgcSyImJSdT1JG
YCj6H8WJzccWFk434kw7hEPBLAj5cwi9SspMMnZpq6BPs+o70M+wqo2u/LfHNha2Gmxp6A6GOBnY
msjbcADJJ6WQ0DkplsGggwVkw/qxNeWWUHNWHqZvoI5qmO/HRpcCA8gQaP+I6JjHu/PtYh77JMpz
QcU5FH1ZcfWeoI7P0OZnYYvB4xY60FClQcMECcZN5UqJGlygto1fG7HG26x/ktaBYrDMM5X9dikY
gPhFsgDzEcSGiKJCOrYyw04wlmcvqQYBlXch8vQ+Sg0A+v6LwUMXEBDzMw8rKYPbFEXFgl4EfkW5
oPsewzoAYaVGUY0jJQAXvboyJdzOEzMluOMUWMAhQAFs8973p1F9qlAnKQvaxrwU7Gg8QbJFVQuP
F0SCh55lm6Q93NL8UycD6ZmLlF15qU6JrWtm+4SKCFoOiLQexX2g9AL2EHQRQ969xJl3BJ5mNOKE
0cN6csL0S0LxW2P/i57YmWtxblGGRByOdbcDKTBy3M/Sq1BM1uu3rjRwpX8cFUtbiABSIEgAzqCK
u6Kk0gcRKmrgxRqTS9IOep7n6zDSrJD2DL60eK8tEdm2C8KxjSBJtPWbqjC4UC70yBt4Q5USlhJ/
NFNEihUmNRryHDwkZfBdpN9d9U7VzF4eNyRyLF0U52Vi4VZyqiW5Am+gImzkTGoAIJvlvh22lO1i
2ReAxuYbMTp+yfgui2SqCvjSD1aXrxIcXiiF6WVX/rVAuKIKhV+LiLQt1EF+AzPkbf6b7hYgkv41
QRxsPeiZt/5Mn+Txb0GhV93HRNv0aONE5BxQqWQBuAzBHVC4oi1plrZ6vFKWkhoI6maScgXbK5lo
5GIMtDEE2wdUJaq20L1yF3turx6/HttZSmjXdojpqIS4jeIMdjoICYBflYn+Vi4aRSjc5QE9FTVU
R5HWbrOK6klargxgzqo4E3iYUXh57MFP3zJRKr8xQBzgtKJneC+eaRWgmiXUFm/luYEHOn+lTOc+
/J4yN8LzezpZfVcYxWsDjubJKJP3MdX0aB35bmGCX5ihEYAsxQiIp9E2ivMeYF6E4+PINFWt4rsU
FYy0zJ/BP1LBuEvTh9csPKCBZAR7LZHm+lIYlE7RsPdlkFhG24EoUdbr0oMzTl7/miDc8Hw+1XLG
R99wGq18fjdGvSEPJpD6T14E9LngsRAqTPUBIveVqpfnODelUXFyLjaF4CSFm6qg4VqWTk0zpgVh
BRQALlu3MTUKRRd3Lb7JV/IdL5+D8YuLyg2fCftKEF0IttBg6kvrEcQdM0oYuz/qprcWIQzPdyB0
BF9EfuC40i6Ur3auSKcbOX1+HNBL+DOo8M59gIDUIXqIE0DhTXle8GDPUnfyOtuyK3UnmI0tbboV
b0rH2Egt+RzumqfpN2gKTVEvjNFkAOtpDNFMbcVhdZnWo770/n79UeT7+8CknOzH+CiPxyISoxWO
3UaniauQVZ14rM0GJJRiuxtG0VDD8JjVw0Ft1Fcgfe3H40P9FCJn4WWk8WoRWwjzBH32VbxP157N
vXor8E5uI6d1w/Nji/PkkhkGs46GTHS1gy2ZMCh6ccEP857Vops16HV+eO0K0IZTqgdLUX1thti3
UkQ6zwQY4qE786URQhnM6uIV8lNDsbT0HCficQPU0qjb4Zw0566rSxtXiZ0QKXjDbEvxrEnVl+Y3
GzGRGn0KL6poxrGVAdbgVYrJVTJlb1tKjLja4yKCGx2HXeHWeN0yKV+C43cbC443KUbZBPaQ01Dp
SysW0GxAGQCERImSGE1fGAWpjIDpQ6rQ5ahkgMbM0EyLFomiEz+DmqE8VS0axHstiLsRKeg8u3UL
kIOmGWSMaeCqrhTaqVEdM1oZYXHsrowQY8fxvQ+iZhGoQbzVdKAhLLV3nqbwt7SroNXwH0+I6JiC
DgBsWQq3tk6Z+h9qBnIpXf80kUfbolbiYv7p0UrMVI83ghMVQKiJZrNl/9TH7DBtuF+CHbmigdvi
AWwIDjc8N+FapUFPhHlCHn0LsbNpbIXLjoZv0QLT3wRfgSH9kmygpvASnljeWthyNja2zO63UP4c
HGCK4oO4Sd8GK3/yPtOnZh/b0GR/1gA2MB+nnMVTzfVAzcniaoV2wcR6gY9oQnqzwAqLfGD5YLWz
xtBIUfReF29ao6sIaGN0Q3dg9v1XY4WNwa4UyqWAFtjEfqTwIx9Oc2CnKFElL6EZuQGlqWgpw/7r
LfbZW28ZtmgCqFAhrM12J9vVjjKcjyMab3C3vx9KSc5KDKaatSzfeDxVj4cH/QK3v52JXp9L80zh
VPmZm5PBmjTlr8erXiKxSxoTezjg4fNlecOm615ecerhsRe0EZr//ireGHlq+2SGIzPdGmtUr7lE
f2yBNk53WcUL8IIzj1OidwJUrqGe8BWDvQf1jceWlh6+Qbj+vwkMuerWGQ7bnt+pMGV6+Z43vgG0
fYvMeM9bF3/TP4el/gccjbwdH/jNiNu0E//qnpMVrWuXNqZEgolYTxRjQEK2k7rLB5zSAtrhfI7b
/zuF4fBw6+jEsX5VttgOROCtBT02uZfGwQvmE9PrylPmPB5XWhgSiaCHmppQJdi4s609vLaU94zF
15urWSOLD4Ic1JU/O9N8jXvGGM6xk6ASNeq8UZxxuQtXVbHv891IOyos1uavLRPpgQ+qfORKOJbr
hanhP9uo0/0V/1a7pds72h6tbD0E4yhxOo/Xg9n7gZJfrTmxC9Aa6iFMJ3Ajq3oe2rWkd2Y2fgvq
OWgpwUKzRpxPSmVgGBA+h9vKRNfmr24Vu77BGYH1/xUkP6f3K6eGgBGHkJ8TCWOWQWHHAvSlZcp+
segL1EPQA4SHPrRR3MZ9orRagcIbfMHWHayBJhOsYDDS13FDo01bDssrW0RwVEEWyH6EcWMZIFGg
4axNvD4MitNpgMtAcD2XfnG5HiTpMWwVAKETR1YlR5XTTm9iGgB8MadcfQ2x26gDHzSjiq1ACbvI
mAblJBYCFW09/8pdZF5ZIWJFEcfeY+fI9HaJOdnKirWFrbrFcSO0O3ug5JXFneHKGrH3qKMwQPEd
IwyymxQ9H67Sm4ViP45L2sAR20/ex5w2sPMazzhrLJ/HlKFEPs0Cseu0otSUqQYLWvae9pucpSEu
lq9tVwNFbCjoQgqkvoUFRniJWtHyIneMWjuNLWBJwn7NBZ2ZQ/JBRcXw8ejRFhyx0eSJHLH1HBDp
d7hOncLiNsyziMqP+9jO/7HafjCOM7yWzIlVOFSD5rdAo/Ix+H+zVpJ5I2zjNjSKIc04U2XzUcKF
Lh57HeLP/THiVAgKl5MyQWomF4pVy3NZ6HhZKqMbtgmxHWqZQKNSmx2+XyH/fiexQoIOr7womCAD
ebY44DxeFbrl84ehp4zI4tEYt8lZsQTtQneVYG7iZWHuJ6piz0CHje6NtteXZsf8oQz94qK/skQk
OrYLBdUffaC168SIZLTNaLuIuQynBp2MzyIEKmRkNIhtCdz5selFHyGyLYm4qoMslYhrqdYSJhNS
SDbyqR5GAqd3qmbJnrDGPNPO64szd2WMCGVhYvOuHdC1EoTT+9j7gqtkw/y8FrBG2aFVaoS+ma2O
Fa0gvLiGoJcLbVs8Y6MD/3bTgvppJQUpYMKN91tDdTTsn0Z+6/d25T9FQBMBlPJ4WBc9vTI4f9DV
VpxIHOMFHQyOde+A7Rh4pf0ANpyAwyuSJJnBtH5scM6hd4tCRZsFwD7osyLncSqh/AFoDxbvdyRk
65GrX2QO/UCPrSxuF9BVFURwHM+kfLdu5SGE9dShjra2Ak29wYHmVSTqPo3HcPElFmCNecLQaQ+R
71s7PfCCo5LDmwyMBhM6F/nPPHRGJtG56oDGVD0vAaWlYVJ/+uTIQYT0DOIDja94giPcC9sg7yCY
MnfwDdtxJa8Dp9/57/1J6fX2mB5lF7vwb57Rp02xyo6jnaP8257LVq+eUXp3aLepxZR8/UHEODR9
pMb+/EGjodiaFVuKkTvVJrLjZ9GOn4S36DhRt7o5fz4aBWIzDZJR6D0PRln4Hx1+e2ZlMc5kcNvP
9EC72CxF1LWHRP5RwHSjVMzPkGf2HzSX6Zn1OGZ/BAIf+UMs/qkWpTDsYQKPTXsNKs17rTa2qLRu
+EN1KleF0a6QhGxu7b35brVuXfb18Scsx/NVYJHpIIVyrNziExJXMkUnXjd6pXu49dKuAEvp/Go4
yYucV/FeGmswBBqfqjkWxRo82BAMe3ns0FK2uTZD7FcAFk5QO0N6Q6Gc1QWDBjcVKGFBnkU6f6pU
OYMfwlO5aq0BjzCeUbyJa13Z53vR9a1pPTjCWTJ6ezRDJ8l00cp+R/a0H81hH2z7V/y55vX4d7DK
DIlyMljq8QLI8J9MQba5RFMUoIaJ7xuzlwrAv51oFIEeJpBcMsJ9ZrLKb0/byLimPB74xXPotWEi
RQ21L6fg0UKKMnqD1SND2Yi6aqYur6uUhbO0h12bIpLPlHVlmhZzLFmSWx1QFrDmiifFIVooEdnG
FxsBWkuwshu+DrE76LXeWR1i6g9kNlztKaXUOmheEQmn45qxDAPYa0zZ0uzWnP2iqULQliGRckS2
UEOtg5GJ05n9tI5h4/G4/QBaH2Q1EqwkgfcHbqAbGe2bqEoXoEs38jVvyab0UjyxbtsZ3S7bDy85
0nf79QEJmMdfsOgjmjrnZ1nAlgQiPLQpZCNlwh6tVUf0xGrDey08Ky2l3LCYCECfgvZCtMWCSeX2
JDCi0cn30gbAc0kvs9aAPFukmZNvUBWllzdbNAhA+hUnDkAqb03lYJLMUgFdAsJZAfu9avfofFHD
l4Hj7E7lDTzB6i16L5RWBM8Qmud2UvqRgoHk8bguPrKiYQ/dm2igg1TrfFm4OjtGbCoPkQeXucbo
iy9ftsvC6qAq8Stk3ytQKcnToGtRaqXSdhLWNFzkEo0ChCyB4cYZj5u5pW7tI7knqjTM6PRCNNr4
UxwHXQRXZNav+u80sntIkfYuN6wH7Yvi+uJsg3tsbhwE1pRkfGbVQBKLAChyXu105NUhfwtBmYBe
JEZc5S1rN6mDR+i5uR/HRqMRj2xT6tNY6LM6Ck1La96V75YYEAfQBQN/Myg2bgcig4KaVCRzL1qc
qXpSMec2185hAz09DS2VVpREgd4D/Q2KrfiNMhTzFvrIOLHFxk1RVUyBjgsIkZlBxV1E4a3zt+hx
cadI3NctGNNS38q/g/9CRUAE1hcvuMCbSyDZvHUbVQ4/b1r05UD6pVF3obrti6eBxta4NLhzA4s6
c+FixRFRnuVhJTeyht2l6jZ+mK35ooVn5aUMeNyWmo+p4n6BIO7z8bguRdi1WaJ44NUT+osmmOWd
Bo0JfpFajJfpnlLumrGlLOWlvQ2gfUSyBrpaoOlvR3KUBaZoJoxkXHxDTDBHvy1VOWppPwPvEahW
5zXLk1fbWkyCgEHBC5HhG7nwhlOfmGdmHFljC3agnKOk/cWKPQjZ8daO+i86BYg0yfJl/p/WnELC
y2j94Zcg/y9rPauO2qpNGLsI8MqErmlWwwtCuCp5FG6byVIL9aMIWMrj2eIQo5MGxCtQPQBS5HaI
W4ZNRCbAfApipTPccyygI1eh9d8tHrvA5iOhEARiRNyvb830Y1TwscpgTYDXRXDbJtbZWEFfZGd2
kQXSFbEwwszA28/jcF10D3wrM5sucOo/b9VXe4E3TVIaNBFU8Dp11luQBtnsPUqYLnoHxgkJynSI
IyDub73juYZPhKIFOj0M842asYIRC3VgaR4buc3ENzbqn8JmLPC/cvVN6Et506LaTqlFLZF8AH0F
pO0M3QNOnjgLNlUXaQwqjttuPPixWYW9DtVEXZBWimLlkyUxwg5CUeVUm34WvPHiyhN3DIoQ+axl
3firvx/8688hIh3a2FKFhhtATZVo1YL0ZRqeM4YWW0uJEDyYaGEHWwN65olEDynhrO9L7DJprViK
9j4O1SZX0Bwsg8Sx9vcKX+plTmNRJgILKHMUOeYWJqxkDRRVRB5Ev3cd8GkUnjhfPgCrY/nxB6MM
lA19Xn1Xm9hsBdUi/P5MvzozJ94GFrhKSy32tegEmfZXxmv26JCi1aSIc+h/bKjo/QJxP5gAyD51
T+A6XxyY6IRLhNEFm7Rfq6CDqbrL42hYtAPuHw21ZciSkPKdjOA1GWCI8amJEnPwA1sNN6JXukpI
QTMtDtqVIWI1DoOfcR6k0U9s89vLnqfq+bEjlN8n1TsBppTlaczjk6bEvzVwu2oy7cGTPMP+Z1L+
9UEkJh6EfTkQlml8AtJgV4EHAf9wG6i74dLqDlAWM0oR9/LHjpFlljurxJnCK6WEERh4Jr8P9vjH
O4gukINb73V6e2xpYfUgBv6JBZKk2ZeZTsbOG58GtbbZREVbZdjag8bSOv+I5PD/PAKQbmbjRV8A
MY6ojgJx2VXxKUoMtFBEoFbSq1QXt5lDL/wte/WvMWL4ukDKUNiAsUJ9Sj/6PePrdQkxHDPToTVv
DLsMFU6z/bsse+cikYn8UBz5ninjUysW23FCPQ4YRTBq0Sg8iIPSjx1O1nAYA2vGDCS+zUVeWchB
4SnqMfH4w4R7nFdI2Mvl9dgcm/QtpPaDL60zHhQWaKPEWQnb2q3BMALRHZQ1taPQnzl1PUJZ83EU
LhqY7yeiBmKSO/ITnu1qGWyQ2rHWtqL6NPm0K/7SkOHwgTcFJFewDhCZqAWLYVIpnnfMG97wuKeZ
hD6sUxtgJWDvxJKlXPbJA8DPHOHqjbaFGWAOJOftkHEF1MT5MmCOEMZOR11ORLMNX6r+pehGNwVU
ozTb9qzleCN6YUM9F1Pd02ypLIwop2TJ+8UAWD8ehsBMgD0M7JS3n5LnXZyXxcAc0cdtCNVgpdDd
0yIKBwJZSITHkChF6yZeO9CojbvQrZmEKZXSyyL/tPk9nqJfkryeHAkoRzf8FD2jLqhvCvcZRYZy
GxzCjRZekZVL4AsyMZCS8CQ3KIEjl5STkx2S7yDkbD+zQ1opbCEpg30bR5sZwQ3FSvIMoDDsMOAO
G55yQTLqIHVE7VX7lAJT4oyWS9aTEuwmNNg9XhtLZkFqBsg46hhoISXbBiJFyEG80oWnGtdBU1bx
ipRqnWJ5QtWforTMXEXrUUcp+sCNw5J71nDJtx9/xH0M4U6miui2w/1vFo+4nVymSyE9Vk/hqQhH
1YD2N5ZPkzNuIXk01mTiXos4guTGfMzigcnR7pjulW7sO46NspNy9mvdHtbRqd4+9uY+cm5NEN4I
reQlWTeb4HSVsZpWV1CUy9TjNCWbxF+hOd/6e4tIneCaRPFlJuS6Hb/OD1M1ZJPsVIFbzNcnTc+E
ra+ZeWt0oqjLtAfAJQ+v7RHpR5AyTogl2BNRUWcnPSgsXrKmeD0DJpMLf3rsHllx/Jm0K3skaYGX
FFMYh7DHcIbafMiVLrWbAG39TbFKc6MD6iB0mzJH/hGN4NgAf0wT9CPryPM3QJGcxx6FAzo6XuYY
vrphpnXCdrHiZSe5bHRpW437jvnw/B3XXtJ80xafdfFbS3X1e+COTa5aWc4ZdZjowhBu4jzXEz9d
TxVLWTkLO8H8WZh65Ec045FtEi1IN0LsD/is1GT8raxu0zfuQzACRWd/++c61StH2vVubfNQEaYk
j4U4gHH0L4A1CKUbkk81ahJAEuUoP3GthtKF2SL5O0OBIwNaTZOdQllY9zcL+Iqry3z3Btbk53p+
NQVZi8fBSmCyUyBml/jEqzgGpc9+ETuUeFtIEnMXP3r2cPWDa/OB4spQXVfNGPFJfuqbD1Hsdc3b
9CbWVWq9fQOw8x0Cc6ZeaglVjhxwk01Judn8sAXc3AfRXg02ZOgsYlZRaCA+YGwFNpRrVjyVVrHN
94krHuUjv45cf62601F7D079RXKA6zErQ3NpiiNkoUPFTnBjnwh2SYX8eIrC5ykDJ0pXn8MyBFmh
CWpz/HGAgh7QTU/aiDbFjiYY/HMPfeT7HAVXg18VfjYgg4sn3shcgDOB5Wo22apZoe1hM6xCx3dl
G31+YCnnj8IhtnObX/FO4tBEpO+3xnkUUI8E7xbY3ViSy64vWVBg+xgFmduJxYfIr3Fp0gXWlRhH
yE+NZPegeKPEHg/3SPfRuo8m95nDCp0yt+6XclEMZVhKJ0nnv8FvCo3Snb+FINDB0/MnGv7mfqZx
0MA5EgccnHJEaEjemmNHVa5bnpFPv5In/13MjDbS5adih6vaFJks5Rh3t7CAEcM5EaStAKzMTU+3
1mK8Fcd+EmsnXrPazk3A/i4ao84IEm0YFy2BnmBWLIV35Aqqu7Ku2jzRTt2q23Sv2bnc8W8e+mTU
VfwUObUVbLM/Yk0xS7NKrJt4TPBc5cHqGHx7R6b/hgKX3jhKUNHy/vxLN2Eyj+SVf8QqSdvKr4ca
I1lU6CB49RnwlJey3p4qFihwQxtf+OAdr0QI11WLLqaMVt++u/Pgqg1hkZ+nfbSukTdur8CrJlCx
3qmVAHsXNrHh+85efn68HBbcvLEyr5arZMAlXpH2U++dUt1+/esyCOECcfFU25xhWcCIT+0eeE3l
6dIfvFYvdJThncdu3F9fZlMKUrkEpi5s14QfZQKCW6YXvBN7ZFF//9Ts7Oy9sS4CPwoN71U70FTR
yPcHkLLiHgFiX/AugXcPXCq3Q+eNrC+2EuefmZW/CTtz2Ggg/l6n9rldsb+rnbrPXyVTMimezkuY
CEwZ8QDBLHDSsKhP35qVUKKdAjEIzqlo47ZSG5CUEMCfL0B1orRpMrsLUQjCadT9kTBnrV1iwZWV
qpV9FgZnqOk4Sqr36MZ48lKdpXQm3B09MHM4ZuHeCdAgEhdx4pXzOAsnMFnh0oB2uq+8O6N3Xh8b
Gmb3PlDAg6zChDK/YswsVrfDV+VQEvPrIDnj0U115D8VqwevwSuD3WAb2sEf6Wv4O6AHMMC3FokJ
G3jPB8rZT87cZ1bo3SsUS2o8puod7Y3mLjkShoiAFPuh9FkfroW+PujSSYHAu7B6HH53+YKwQR6c
+E5JOGwx5+6gWTiIPv516uwQ4QYCS7WMBPx8cMn3tRGZyj6WV+0vMzUlBidBHVAEisn5i2/WE+ER
keg7sBf49QSTvfW7f054A8CVo6U2a8/4OkLu97G5uxM9YW2ew6t8q7HdpFSzgyXCL9G9A7D7OO1N
O+0g0todlmxpyBTg5OLxuEKCVzm+1Uqu5jFXuQ7wHYMSy+fYGupq7gyjYRTuhxFwFRgBSwSwvxop
zBMMQjz1ftyfVSaIntqor/EYq9CIdu5DHKkBTyt4hoQtAFNuhy9gG6bsg0w8x6nZSZaES+GmyQ+T
eHw8TfdhDju47mE3wantTnBVlMYkiZhWPIPfhWvw1MoYofr22Mb90RBQ92sjRLCn6SSWZT+I51/x
B8IhPAV28pq9yJ/dR/z62Nb9hefHFvii0TqCGSLzeAaID7j2JvHc2EP8Lr5nnY6LtSZ8pt4hjl2p
GPQk3vSQoUHNmzvO1KfVS125GvosWr3eJjRizcWZBOPu/34Qsex6aeKiMeHEc/mSjlYOeaJIBH0L
2M8El+L7HBS3KxzjDAQRXpXnkiNZ2hSKqa1Z6AmeN73xS0NT37toTZCiCczQGIy3+vLx8T3q51an
9VDdbZ7zoF8Znhfo1WL3SzmLm0CAXtRzLAMcGX34Lo1fn0RJYXu5NgLW5FsjrJhNijLxMLIrzoX7
23NjRwMYS3PAxm0/Hsr7QhFhjNg98QKA8ixOveeuWrEoDD0pJ8HXHb1Zo6dX9w/dXvZMhjaOyyvl
n4G8W/ZJPmkTG2Eg4xfhwhsiGuG5o7JjdiioWo9dvDuIEB4Sm6hWlAkXISuczfLodi8MpcRyf2ok
fp/YQBVuaOPGQ9zzx7Q0It4MDmNqtuAq0hWrxqpMTbS8fE6jJVKvvvPsEAsBm4EGCkq0n6CWRcRj
ITA93nQD6VxtQYWx8baN5T0hTpx6Q6NwXpqya1vks0Wk5WkpS554Zp1hG5n650EyKivfDofH80WS
E83xf2OICMkaLTwiEypI1efqYguN3mzYN/GQbWqzNVXgd6tnoEUKnTnU/t8fV25tE9tRVw4CBFk0
8VwFlr/xDgd9cph3yZm+BcMPdKrBhYRy4ysRnGDF9uO4wqBK+mSzVrfSnAod35QRvd/Kb70iQjQt
8jEtB0Y890bkZody55c6ei8woILRPQfr9rWmnCoXNoMbv4idENDeKgPnt3RWnVzfDhZlTd85BLYH
XAkhSyWiOsKRiAkxbgbAaUWQRIHVgCtewRpFGbK7LWa2oHBALM1IVfx7m4RDLUnnG6JyLn6x34od
RVjMTK2PdoKjuBWbAe2kfBcJkLaH2AnuZahTQHtz/vurraUKcykNBc6/gAWJu6B3HbpTWNxQtVEi
W62AdJDAA37qtICWjO8S5GwZZz0gg1EoVsjWq0AI/W5KB/+i5K6Km26Jo2vfflEG9O6W+2MFpWHQ
juGaSx4nPc8PoEcC/6QysIXQqtB33NQAHjhiPbmyEpuJwzW+89js0qii1QsvkqglgGuRmEYBwJoG
Suj+BYAhY5J3eDUzCojX5YHDRZ9CMumP7d3F/cw3jxYv1D+RjiFNdDuLjSAElTDywWVcs5a/9l3O
6iml7vsi62wD0T9zw4HCnHz7S5kh1MJODC6BK66H7bCR3Xor2oBlUhbx/dZGWCJGzxPKUYlFKbhU
NgNSLlBwr8tdtYqNwkKL0TF0uTWE72jYgPsDEGGWGMQY6rttP8Fsvw4O4Uo0sgN3fIv2pavaVEz6
QlzejCaRG7OgnRgml4NLvL/4UJs7Q8fbjnblKqeN5jxaN5s14RaRE0ue9b3Yg1vMSnUUGzR7X7jw
rDmLXQU7hnKwWwzEqyCZF/1VOulTVQiSDG6F+yfuNfvIbZo/89ni3h1wIWJlAYdHAlczQUukmBWC
C2v0lrz2V8MK1F9PqIM8XlL35wGMG17KAK+Zb7538Y6ify7HchVecmuyeWMyExO0eRvZjN3JEAws
ZjO00Ua5eqEYvg+NWfkHD2hoDsGDP3ndBiRfVjwA5X/CHxTOeElJvhVH3NDoyheW9K0lYrbEgav8
pIOlxuzcSffswnoVrHqTU/bNe/Qc+mmuXZrD5iosgj4PvWl2ScC1af/eHT5t1ZR2ox2c/Dc8jNG2
UdoQErtaMUYTgOqwNyJTMYZiteiLQkWVSjGwaAgcU4BQy+joIcHqYZKKJUj8owvKmnheN7m9+sRZ
aMk8i6fHYUHSnamAKwEU+q8p4tCdh5OSAHITXUqr2iZ2aSTme2enerqCTOGqL/TxwD+pT6Ur/fB2
jafh8wsdJDStWdp3yPOQXM1llGJXLxt8R79OXA4ro9mqR7x/scZoZbZv+U7o9nb7K3aTl2ivOYLR
oBdVcalBNUfnbSa4GRCSyThQSxUnTHxIYTZmrU+1wZya1883UO7vKie0Pcuzor8GdM2dYVBRm1HA
EKonNTPjlM87CVp4l84GukHYBsa0mTxDNdmnctt8rI3oWOzKV45GmnGfWG/tEisoTbK5mAW7/oe4
5jY8h/dklhJi96n11gaxaoYiCIGz+lk16AjXf8umd05t2hYx7zfktKENB1z4EkDZOM3exg/Dh81Y
Q2DokknbOjqM0pc30pI3SXn3s1iujRDba+FxRdWOMMI64tpz2HX/8yZf2yEAFq3jObVTrbj1ZCmO
bOdmbvcrWrno/rIAnbGZbnmmxZR4kUiuo9b4Amjkk4sMPt1B6PQ4Nh6nhHk+yJG8tkDERNJGURnx
VXLp0Mg3FvtUzYxutJgYmq0nocn/fkeEADSY6ufIB7U7+WIU8UoEzSYxvtTCcWiNhgHUzvL7EyOA
M4yzJEAQvJR185Z3KpAfgm0L8sFmjm7KYisHoMLK7ccDsBRKuEGwmorvwmMdEUoVn7ZYijyG2Cta
E/XVyUwhmWLFXfXx2NJ9GQLrfiYUwcUM4rBYJ7dR20+qmst9kV7a73rPbVJj67vlJ/cc7bgDxdRS
4AD9it4JPA2CfJy/NVXEUVM0YZlepmQaeWPM/eKP2LchY7RojPqjNE2uQA65mbbooKp/jfwwykbi
e/1O5pocbdOMFuGiUzPJZy3JbelQvm92lQy76+8jhiKUo9H3yya9xP9D2nX1xo00219EgDm8dpOc
PEqjsewXQrIk5pz56++hcLGeaXGn8a1fFljYZk1XV+oKp/LdkI17C8gZwYQRdjG05eQ9h09QtQyr
a0tbeQ4GNGL0D7d/wiKHdIA2o0UYwLPskkRNDIU+nZL0VJja1gLErVADUPN/pgG85HlhHzYa4fHI
uLkiTVsfeeD0ZIoFmlYj2adW3lkcCV6KjIDHY8wtRDBamsZYCcxlYKBlSrNTZXf2ZEsIZ82Nbqto
Ube2KHivdU5nx/fSGEwv1h9iVROKzliqwbwHMilVBaAaZScAvs5AoJiBv3dei9XauOcFmAv3BFIG
5szQIAWHOf/5RaigGV1ZNF6OHjB6z8uvLnPu4uPMOSxvMLKxKrKTV7f9nSVU8os2RtWDULQtDeab
JZLY6SYglo0CMlnUEhY5ozFWoYOOnMCqMVMpoXWRzL3ggVUHnLv9XivR8CRHh7CCuhlMFNuJ2HjG
6Bem0Z3EgproLwkw/wVwqYfS/2gwdYx2KOux7zaRHD5h4o+ULVaK1ye/DeiILVOerQiOpaDPodxX
PJi0L/G9VmL8NmSxUC1HLyLG8a6vRpzEMtGFqj8J5br0Jbfw3loRJjp69AOMgk/rMaudWCtJarih
EG68Dn1b2NSYlkTArpKXwXpphD3aVvLE1TUnSNdJ8NliJ7B5ZwJNDH+7rQ6A0gk7NJlPBQGinj42
JC8cARktEUW94kVQAVJ4KIvaFr3fmZg7wTH8SLtVFb/p0YvVkxrt8Le1+rvL1AAS/dUvjlWgMmtb
YUSbqJO0/pSiG4Fkeqc7YpuIrhqFn7VaAiRbNt+7VuBhLX95e4bfSIYqGDxAOgh5PcZXSyEAzxrR
RDPg8MPThs0gurm/ybPHMX8Uw3vFAEL22RrOoYB4OSCFJTnFnfKmb2Rhm+7Fp8iwI9Ok0RHwUoVP
NekuqNHJuVF3qulqui0dxhAA28ODMTqFE97LlottQKSoyHDI9VUX0lJ5tj5ky77N0O/ttggH0BMO
HQdiAtJPTNCYaXVveJXQn8Q4QIMvkIPUO0C51zo11FUwHdqywEZo23jQqL7T/CfdOJTVQIxoZR7T
gAQxr9dVmU0my+rLX8SI9lCpQzwGXn/qwoxIbl+6cXkfW7T2G1pY6WrUsfbcRlUk3+sbPXjtzl5A
KuFeE2navAidjf2DnrmGMB7GwJkMW04PGTBJBFtC47K3jpMSkkPHZufbTcDz/t9qK2ivx45mrOvA
pm30bTF+J+7jYpjkIT5pxPZGZxzwcnWeRqLd84CSv0VPDCWm4BHLRqgWWR+fIk/QNgN2jtNqGky7
l4DrdVtKvr0sZlLoq8L4CRI30IFra1N6ZpeU04QtZcQ2RrejaJMB2iXvjfzN38xkNNgzBe5UBxj9
NZnabKMEHdggY6GjHhFSS2Wz4Xm1r5zxlYCBDEwHrmneSAX4t2sykiUXqSHX+amuBmGd+WoOVFkx
9OKVVOq5RvPRwCxP0qjVakratqKJmoQm7eMxrkhXiuh9EqbQLGiG/VAjzbwRa+I8rGpC71cR1tEq
atvOP4aCEARkwMiORBTFk5/KQrEgmlg71NFUH7H6s2ixPYaKQdzDylaehYRUoPeviSVEnttOWaDQ
KRO6X2EO0HoqVqPBA6r87obBDAVdqchToX8NU93XzBDVKutTS0pOg9tsyqNi16vADVGii46v6joZ
SMuRpe8BDEORuWW9a7up8xH1N26xP4TKNu1puIGBm7C1QrC9R25/8beId3aVmPadoeiAxsF2i7Rj
FRcKGqLwzjg2bl+76C7GIrfWrTunyc7qrn4PMMqAOPi22nxP0IEwRpkxzaDCbQCg7pq5UmF6oxSm
6al2DKJuDwHVN40znjhGfHY+jEBfkWE4mhjBmDbYRnZqafr88+mT11DGPQfj/WoLEAp+AQLeytg1
ZH9UnIjQ/72lkWEX44tEo5uKop7P4ZQkgpkxyTFAQwblXMuSPFxeC+NhtHDyaivFtaAJxsWRXNcn
6sYkPjW2EflfIbKwFB1SgLcOCn/oO8Fi+Gsp6CrRrEJlJmf3TrORP2qbdOeK6D/ebx/sW3TEEGLE
LRimaOyLMD29AINm55PISV2OqH2vssw08GiDkUZiHVJ9fRjESCjujDlouHdg22Yf758euHnZxRu6
oCJfU4nMssRMGagg7SARV1pjvhOtJc/PBf3kPEaXmIbegRk6GjA/qElckxokM06k0M9OQkBe8gEI
8JFP1uvbN7PgQJHdw4iLiIKphbD9mkheWUqpKi1eUsT7pdxlm46IzYrWHNDNRUW9pDPz9eLF1iL0
FYQMdF4mj1gH4p+ahGyfTN4Y+BLTLukwIp0nyqBYIeh4DzKtqX6HgorDEbVvcSAk7ZIGI83Y79m2
hd5kp52nEcx1vQ88rMfvWSGGBGPXhNpASqCtwa5kI69EKjjCL4U+8UqvMzdY+3x5kpmbF7ciTo2i
hRJOEm30rVvt5yHFjVE9qhl5Cp55ydMlb3BJjRFoSeoka6xxKEwjvMYhoZ+ci5kZf+M47P6nBMlC
vdLxcm82qh1tOV9fig8u752dBioyrKTEbsDspG+xQFxzdHKs6Pp9pAopf9xWS54AsClRo9L9rgrK
7DRSBJxk3mpS2ulewqwMNy84R/632MboJhDHuy7vqvleEAi4ckRiN3QFmyNtHNVkkzZRrw9CNUHY
Gnt4wsL3VUVDm7eT5nsD4LXmsLmRPBnGfozBuPIzctXNh7XbYChTc+KncS3vZDytzrevincsJsbp
I0HzixEE7fDxI91v17wjcdSGBSzOvUT0FBEEXlQqrdXfCeVVFHgUGDPQF6XQTiIU0zzsJncgeGzz
dJ/jZ1hnFqj+lMQaLr8HOke5qpwtnuiE4zEXY4A/FgYTdNf2bASolmzU3SzJI+32gMl+793t2qTC
5v32rXOMwTfAnsqf1LRSoDR2QCPrYe88iyLpifqjDkhGeVMuHP/5/aWg1L4kCrNpc20Nazho8Zra
ybagPBYuBTiXLGSMgS/7kucXX8Zg3vNh0sqdbG1d7YCt3lCaUA4f57Ds340Ppniur8yvTTWvlFl9
YvJL2UW2bu+f4zueEt322RjrvSbTeGXUNyP4h7Shuqmx03zNOchtK6qy+3ywSXqQwwqyh4dq82Te
BzvqUJM3eM8VhFmXL1x2VtRNLwD+4yR+ElK7E6VAfSQ8V3fbIhgqYxG6TJGyUUcY1VOUOU2KDuC7
gIZUJd1rhvep8dnuhVXm8B50y3TnXkVkqjAEwBjT2K8GH9kJWG+nsg81wc50jrleNkR/KDD8S7Ww
F8U8yU7SU/4o0GaroFDLQ9HnHYNhn1RqfSUCAwJR9S+k4t21cn9b2ngEmFBK1IcQWRMQSCeSkIyY
v6Pn2xT+RdD+YRTbjmG1GJcZR5A49Kat0+noKJmzpSOvR3nmxXcD8IfObCAuBBrg/4irsjhDjkA8
R7Z595w4HN3k3LnOPHLmrUoqFjjO0mwRARNug7MtDhwi/xKy/TkIYzmjotPGyohgYlxzlaL/WSDx
qrajY7Lmqef8g2/xjDGaSV+lStrgaRjtd8Ccdk2FdPTndMjompcVWzacf07FGE6pbLo+0kJU9bYv
IdGfOEf53vXzFa/9+T6j8ZlVh1LV4m6kemsQSbYljUhH4YjaDUndijgJup8eH+OPkBoDkRFdcQzC
sqArSB7PGHzo5GUsgqx1WhG0czERS7yGjUSMNZqNgB5Geb5uloBv13ZBiTELmPZsk0JDTVb+KH1a
IaUTEMveDYeCrjnB9lL6dC7H/nMqxkIYaZakYYdTjRh7AQj0/pU6yXr7eVYQpcgc2V98eP0hxkIW
IDfWIx0MYsEmeKKle9sULRq7i68zFsIsrdyDgchO519TQB7T30+3v79oHpAKnSEX5uQ7cy0luoKB
AIHw1x5sO12Pz1FKEFndJjJ/5NvdXxBh7qMoyqqQBsQ55gqOdPWMmY+/o6AwwW8lYAQp8BFiBy8T
wQIVzLCLa054uHjRf07BbhkG9On/R72PqweOxC7e8sWnGSMtjyH6OGswSD73Kw0LCdQ15555FJRr
T1M0hRVjuBWmDL11jfPkPf7lERiz7KHLDT0yIJDcd7S3He4TetlWXTCJscZASOvHwICoAmjn8S2n
970t7ivKOQdHVtlyV2JVgJpSQWV8eHmzXhFhvv+VMrAmN7CERmplEAhO0zpe7XO3Wt2msOi2LhjF
6PQ4NmmuoYR0Sjb+s4iNcBy/teztLwgw+mzmhVAm8ztJXZ0rW9mZwWwzsHeWo9Wcg7Cm1VD7KYpL
qEV5xGbdU0Z5L/OFy0a7kYYVRWh6EtFReK0VaenhQdEoOcIWvMyxp8clmc+TqCV2XVGZj3kR5RUY
KbfwH5Q2HcV9k8gGCyxQqhl54f2Cjl/Rmf/8go6Ul9kgzqfB+38zM2zkye7ChWhobkILPYBzdInt
oo9VBbsWdS3HS9yVE7SzDiXnypdyWFckGGYBpR9oKwJIeL9apz/fFW79XDiiLZ1p/B4QjrYvuL8r
agzLrCKXpqbQ89OLd3DFkqpA0MBOAVp93FZJHh1GJSvZ7Juknumgxxw7s4/UO/IeXjwajFbChwia
3oFzI9VX3gMyjTZ65ytSnm6fZcEPXvKMzTTHjdEb8UwH6Mkk77jJhIWsiCahy3duDEU7Hbsz12p6
SRIm8Co8905NTGzPJgriRb76LyWyrkgxLPOEHvhtMkhpmII18GhxA2w1hwQEzkjEH7yEz+IN/TnZ
l4e7UNA6Uto4mk+mEcsVaEexn/yT416Wrc0FESZilFV/aNsBRGISbXajMx2RJ3nmxEJcKkzEMmqN
ZQQiqJSOujrEu5L6z9Ln8/iDQ4jHMiZuGYopRpvEF8vaV2mtPznZr8/b8vy92wogMOi8FjGoCbRz
LCy4tpt5L/VVb6jzE9k7xMdiM27To7c6eXZ4CA9ohdj/HM7jPrfRB+Hcpv31bSY0vqLNeCAf7coi
Vv4hmRHQ5L2yQ7vGGhe7Clap46vrFijvJSb5q37b2WgFxx6ZTqGiM1Jghgw/83TGCgl3GNNQP9Ot
4ZRbxU1yYlYkPZgHeRtj795HGZMqIulbpWBDC4le+n3m2763bv2UKockxeLItfjqmStszlN/mDEN
hld0HYbVqZlWXYYNJptGJ53PqYsuOF+gWmiYrcTYAnp+mJi9yzIAgFcSXr+SXewmjTyHNidS4ZFg
dKEz8LRVrH7OicvU1fevT7zBi6Wo9OoUjCIogqyPciNmp7wiL6UjU8UnmQY+PvBme5es1RUpRhda
bG409QqnqZ1oUyT0BWiIFS0TOtddjE3K8Y0Ldv6KHKMWViADMz8FuZ34gVYo6edt0V8yIVffZ0Rf
NdWkmdAxepruUOU30NEV0Iysz/lafrxNaiEwuqLExBQlOhcUXwKlcSXTQ70yf6//jgATRqixVkWK
Ps1FJJG+6fcV5wALVvDqAEz4MEh1nmURVAWp4Y3qVAl5XX9yrpunK/NvuHBOZR/KfRtDkEPM3Llj
64zKmpdvun0R6Bq8poENuZWeG6DRfh7ylWoXZ4/TiX+bUwDnvqYQK1NjeiJuwnvOSXfqLUJzm3J8
LO8YjM57pY7twiWOseuQqH/u/1dMshk14x/D+G0CJ5HqQSlFVFNycghJZD9ipydvEoN3BEa5gaKf
+UM9Iu8joiiZ2NhXzJnqW3grXJ2CUW9PyPReSmbzEW7RJ+zKvLZzjgHR2arTEIe17HmgIOzE7WGu
mgBKa3CffZs3+3pbN3SR0W8ROfqpNnAjZUlMQn10IpRrrn2fpZ+JBa44xmh5kRuaEje4kxe8rWR4
eYOWe+O85YRUt+26zgLNYAQtVzIVhzltGsJ7hHA4xYa4kGrVihJ8XOxsdyLpR3hoSm4ymcOpL8m4
sFV5mqp1H8Ae9lRxf81zlToJ7yPec5djTL5K7hdkPNUINC+HgGnEdcUn+p47HKO7SAGLvwD3oWJF
w7e3jm4CH6FToCQGuqnyiWgPpH/nREFLvdWYy/hDhTHtdaZMoW/JUJS1Qew6WZfIPrhYomsDMDsn
Horb3UpEU3GOwCI+6qt1g1H89sen8yrebXl51EXT8+fXsCKCWDxUBBFnjkn+q7R/or+aw9VFIbyg
wDiBXM5zv/RAoWmIRYX7XQ91ve3xF63bBQnGBWAYssjkDCTOuDYdVHKP3KbAOwQT7UUoDglqAxlP
KtsNibkPdFJQjmhw5O+rknIh4UkblHLfg4hGgo7UeHlYdy7GYvLT7cPw6DDOQG3NOiwbsGukv6rJ
tTAUQR3t+TYRHseYMK8azLDWcSunXbV30ZtoV+eKk57iyS7jCMKuH+K8Bwnjzu120Zpn2XhiNR/x
4j5q3citssZ9YNAY64wBLvx0m0c8AowpsLIJdW3Y/9P09KI9ti63r3rRNP9RjK/H9sUJ1GgI4nSG
qAf2/sYiL/FxIChrJlvfvX0SzlV8DQpeEGoHBQO9Aghlv3NyB00P3zk6/rUd95tDvjgLo+S10LZ6
K+G2S6exJVekGupK2N+HQnOImdKuosaDU5Gnd14zPEeS2YV+mhq08wzkzETJriPyY9sT7f02/zgq
yWKEY4dSMRYlaESb3jHPv6WVsZo+/s6+fFXALy5pMFuryAwQ6amWA3bLlujP6viXRBi9V7xyTAC7
Ar0vzzBgx3SDoSvKa89ZqipfelF22hAOthm7WeDswVphHLajm+ZUvsSu+rZT1zxy39EW5lfAhfAx
piCqva7vagjfS7eXdCfcH06YQryPB0wXD1vlTOkw2DinFDufmB79j5mNix/AmIqo9RMNQACzEB78
tb9Vn0zyZNjmf3mx/SHDlm7VbuizYHbWL+JqN341qWCSMH+7Le3LeZoLMkxMMAVGVpQebm+Aa0Af
3PurR7MVR6eWqheXl/YViV3IuwhjMRoBeIZe0t7B+iIPCzmBZApQHvkQkQLWg4cdwz0ZEyiEXmhg
OA4MtJuM5BF5RR4tdNdYfvKXLFSvnVPQR+WohmAhXqXpc7j68ZpR456XUePYPrYml4iCZ6SS9tXy
OxB/0zni418ehDEYGKccUm0AiUO6dt3oPatdmrzcJrJ4DAwyzp012ArNjvBis3s5VLmJSAGgzj9z
gMfp6/C/GL4LGoyGFnGoC1ICGth8hOXxVNqqL+OOl0RddBR/qHzz6KWmoWCtz7Fb9FN5QB/+3Oxr
cM6y/Jq/IMMoqG4CfcJA/HayRxrcWwSLu4m0bY7r2/fy1dHyzalf0GGcOjY3mH6Tg05crLBK9ZdH
ZtQxQh1gaG62x/q0izaCa25rYuBFVACoFxPVnCf4cir34kcwOpsDK1Qvwvmwcr7zH7BASH+CD/kR
EGGV2jxfsmwiLsgxmjsFHgZeRwjK7iBjWtaWurlJRl7xjrUY/F3QYcL8MM37NK+N+WmHygR56Wx/
O31+3r5Bjmaxq1yrtEtCXwQRjKGV553cE7yMMIxym8psA26JCRvpD1bgAbwZLTkAGiI9VtH8p1j/
glnzOS98xZilwVh2syDqRLUx3Pz+dydgrEMoNxhv6vH9AbMgx4zb1jAryg0OsY4bQ+DjGGvg0FeZ
1n3znXBDXyOHh4awNNkAmId/TCnbeBX0MrJiAg4y9zXI9G4i6PrFujdu/z9Hsljv3Q26l3s+TpQS
AD/TlgQP5xZDwsJdcF9sKnHVoSqMsR3jdPumOBaWnX0XzD6by9DzK9x6Eu66E/ACXD2wOSK9eDyA
jc29fmgyZ/mI+bMK9tWC0WnPzS7ePMc214ovWoALGox1HfswFvoeNHb6KtuLW8keyKjQ1//2zjQx
vwu8SkBHsegHgM2KQx+LyHFX5+QEwOWzT0JgpsA13b6cxXfmBSHGpuld2talGM2EDOxzwXQgr814
WcAvSDDxCDY5T1IyxXMbkoTodHRq+jFQ+HI7ILws86KsXdBi7NrQDCN2bIFvXUyPQPXDCyK0LV7M
sOxxLsgwxs2azKkwIpB5mexpf6/ftfuHnJPmW+YbtnZiih/SjHUF1xa07qYRiyCyudWhc/PX/hVx
Ka3tMSeqK9tckZsjkG8G7w85Y5b9C4NdR1gXJohFjsfs5I5noBSS+4l6L5LD8XDL3LugxMRCpZVZ
XaSBkoiN2HeBrWIvU4oD8YRhUbYv6DDaipWrraBgdeTJxuoFAX5O4NT4F09ioEMDC0HmEXW2yN/2
ahf3aQVxA5qkTue4Y0438zvZl/z1JSGGZZnnDXrqNbOaxscQG7O6ym72bwMpbfk3JKLel6eG/peL
uqTKMFAUGk+dRjBQIdNLindlA5D5DjkhHqH5Q6zsXRJiAsZB6oRhTNv8ZCAvmPxUaU0eMzI51bHY
clKEi2p1SYuJFpNI9LOmxJ01LiK40ZFmrXJru4C14C2tWDJHl7QY66qNLYRQx7V1M1ruGpMcuQ24
fvu2DZd40jH/+YXqGrViYbE3yBSod86ow8A1vcOmCoh8RxsHW8h8mEEuLByPLGNs0SMrGY1VzwZq
cqsNQA5t9VV10LvcOMlx+CWddf5++yWlvmQpY3rjBO3LMfAMoQlTTtrz6Biu4Vov/WtAfRTKDJOK
mpPec0eNuILD2OOwUwZTq3DcClzGABstdoCQAXZsseKCUcxC+O8K8W2zipImupyos+C48oycvnel
vU5TzSHjE096loKaPxwF2NK19OCZHQkNxmQgpMm77Pjkd2+3G2/3wJHS+Tu3zsRYk74v+kZPQAco
RG+pE7gfjZMdZSyR4MbUvCMx9sSa4sLvc5CaXBXlfywYQmE7Q9cjN7iZv3TrUIw10QRVFoMSF2WY
EdH6zlWUj1F9sFB8zES7Qlxd2Xq37puV1b6WRfc/w1Yjj4qFqeoXjhrAjRmhTIwwrIJ6nJsuDdSE
FDhTp8CLP6O3b29Z7f6h8+UJL0wMIm5N8NsvOvWv3pWcbPUf+kcBmwmELAComxhwYo4imKrQJMYw
yyFmH+c7Ew7aK3+L4ZIcYuergVq9KGMsjLEgfm8JtQ+sW6AViNTNIB332uo5dt9vc2zRXlzSYc6j
SfUYdAboAEf/N1btknAzutZKQvHZt3m9/l8XwAriBTX2goZQVVNPBjUsFSZvw+73dN7y0JK+qia3
iDCmYvL6qgxms9RjRV1KlN94ztn6SIBlZN89TraL1+u9v1FVZ/iM1ltrw9vWslimuDwmY0SSUJTT
TsQvmLqtlu+edw/+sSUiOfYbhF0mR+qXPNwlNcaOeFMbG8IEahpQB5DIaF+a19tSsqRXlxQY+zGo
4wAhhVPxX9Fb1wXU2Nwm8H3nMizEJQUmBjHkUWy0GmeobHkGtZnsDH3gBtE2KXk5+A8hTUjv3qu+
PTw79us2o588K7n0NL/8CUx80gqGNfnaHHIBbyBGIlcmnzxsdx4NJhgxwhS7XOZQqz1vCqdxXn2b
d4zFvOblORjLUdZZM5ralzgY2H56Qhex49kduk2exZ11f/vieAdizEeQiFKezuZDuXNnMgMdUfi4
TWP+xg19ZpPfjZ979djATyIRJL+qJMXqNuxW4EQYHBlna9nyOMnhEIJKD7EDuPMU0OPn3x2EMQuZ
OtSmIIBZdohgl8R0ojE6pnh9hYv2AHiRpg7oQlVjn+RWVEh53on56ZfiTpv4Xl3fPoa0yKo/BNhH
eCFgmXNYTjhHFjiuvtXpABCIiMg5qeDVj1lFuevSZhPzTQguaDJGPVISPzJK+F0gwtOc6BjWnqNb
3e6o6NLy7m/PyNyVXOZFFadgIuJ3lQpYiig/J25M9VNHXwNH2IjzgGu34kjhsocEuL4sQ4cVhRX2
ri8UgG1KSDusOjv6WdNAJPlpGw3c+sdS+Alo238oMRwVVBijUQElTYbEN65GDkNuT6tW5o4T8Ugx
zOwNPR+kQJ49lBvZ8WG/BYQ+vwo7f+a7jPw5EeMIAecbmqmCO6vjNdLF2P2sEvW35NB+cnnywaPF
uEQEtFkRJTjS5HZAHI8CQMoptL57CDGiwssRLda0L++KcY91r2UpkDQx6gMEJsVJ91aFRECzml8l
aBnc5WuUy2iwuq3oi4b3QkIYjwhU1iEXO1BVzFVdn4v23mxW2rOYPIutm4rkNrXF6iPSldj3Bcxl
JMcZlsaFIQpirOCVcrdx0W7XH/YDusf+S8X2kgzDS6zAKwBtqM5vc4u0KpF2xS/9jafHs/Z8l8U/
h2F4FzeAjpd8HAY9fSUJXuZh0L1HjDPQDW/zbfmW/lBiYooWK3+n2sKjR3RS5yMh+/kJyYsxuZcz
BwIXT6vKKlq/nC/HTvaHzAbCPjy94vDUatl3/TkMG094hiroAchk97Y72K1TP5cb8Wl47UlEK7vl
pK/nX33jltj6mZBg5UTuQYtfpowUxwLdnRkXY+rLZn+jomKHOdBO5zXTs3m84J0kAHw0KCFxM5Se
5L6ENj23IY3Xyjpw5RM68zfdY+J4PCFclIwLuoyFR/uDqhcJ6FaoaPwqn+/L+4fbsrfIvwsKjGEv
0MUYaTUo7LwDhg8p7DrnhnhnYGz6iKX3KJeBAraupGv/OHiAh7vr67Xf/5fpXaTI/9wTY4C0rPLH
UgQtDPDZ0qNIstUDb9pwti7XsgAQbxUz4hJ2XhnfJu5U1W+S3FLbk73hudn559369PV1377Y7yHe
9c9kLlab2jHwJ6UFokrtpofepbyCK48RzMX2gIDufRWMeHu85/Wl8r7NXKQ+NKneGvh2Srl7whbe
V9esYf2HbwktwLTbk2I/1jbgepy9D+f79P50vn0HCzMD15QYH1LAEgrdzKKYbIBa3JMdDMaTbhOX
Pj1mq90vG/rm2A5GDx1OR+BXIfqWMDFexcNEZVx1EICD+6t/Dp9NJ6UfAJ8+2N3dY2Bj3fuGrsMn
h7b20/qY2h71XWvzfpsDvHtknA62xkZiV+FHuI/IjXL85ndXc81dxtW0nTmKo4mPD+SDp+ULabXL
j3+bsjNbTat9X2tP59gRjumqeEsIMNyjZ1vgbVC7rfbsuN3fMBz7Lq89lSx5U6XJM8PvOVfJ+5WM
updC7XlhCVn+6y/PlC+8aze1iuXNpgrY0bzGztsCqLOwjaMgpmE/4ldrhBBOVnwhT3ktI4x6Z3Ha
hNYsI0C/f6wtR86fH5LHxkVK2d6/71vgho67vXJuNGocgrdgINE+4kHxy/OV/ruif5ur6yVvNMxZ
x7DMmiokxtZFdz/ntWuSrUv35Xkkq7Xz+ZfiwGj2aBhZJ4hg7EAo59MKT9QYxR4KNH7GOr6NR1lc
kvghX22du/1IHqn90JL9+pW+P7U7urJnbLetEtklL47l/AQmz31bJ7+vWzKv5OQrNL8Q8DCQMM4x
4Ty7Xy1BhTuy3YO3qYhMnA9sAbhNDXv2bgvEl2m7INfL1mT0CcSyJBvbIpvBFt5i8h6jZFqvBbKp
XIwVpiQviara8fGABhltIzibwN1tRqS3ZZ8ob3fa8aXJaCvvTgNA/bEtN3UOGhF9Ujp+4ayndbt6
qVd3pugov/UHCdvdVipW+K6svYJ9eiQwSYjlk8O2BLIFMQ/SI1BBiB+gLTXZtAlp7vVPCV2UG8Av
4C9MdrgbsKkTq79Wyf7HpxKhRG8eK1t6qjM7uu88rPB4zPZF4+Rnw81pg58r/DZfteirIyLKSL9S
XOwWrWm+95BcSlcS9n0c7vMZL+3jIG4ad1W4HxbRMOG6QcWMitvSOfQgGsbrwY5a1LSR0tDeRGfa
DXcl6Z7uTCegSGRjE5lOA7twI5O8bEqCBdPwZjkd7tDD6woN2bjaCpJqpRTPUQrYYIW87ldrYEE8
GqvQcQwHGemD9eDvigxljAdzmzqA9uzdAqXz5E3DBr2JjPYgUevD2MkbtSFaiorv8T6w84Fs9HDu
m9J3SNA9NFiv2Xv2u4bpDJOUPd2/im/pavuj3B1LWzvfyZ3TkSesT8vsFHhPykawH7xt8WyctIIA
cRWQxlga5AgIjVcAHJZQ19CPXW+Pa9HZtNvn/C2tqbYKbGq2wI0JXeMI3+c01CiA5IW5NrRoQEaw
TCCekL3zNk6xfuqJAkzc7PO9t+W79ftz/0NTCAm2tr4dN+YjBi626JZdk+pD78lqq0P4J4E0B0oy
RB5Uhen6jRVNJ0MhboXVFdGHQa1NdESryx1xniqSOKUd20D66rDj+EdHO+xx2sb2ZysBBmpdkc1W
OdDp4Ri6IpEeq+cAFvCEwBf30R2PG/xjtyfFAKYhc9Xht9g+BffX+vtRQ2cQNfFRcEKgL4GdvU0r
F+jsGf5XcnYpcbFr6YeAYv+75+RvPSCuEzTnqqS3w8KxEue4/kGTD3V1l++OLcVJAShhoCS8CrEf
5VSsrHtJ2iWktePnD3i5EZK/9/YAjy0O7xgUJWpB3sW1TOr1ZLjbVbLNyaP17mck+Azt8cVzn417
rKwunlvUXLc5Ro5tKJpIBgf5+jVRVtuNkNmeD6kMnJZmBxS8V1R7f40p0GOVxxn2Z9vadU3JOiFg
7W9kQoXNMWnIeFfvEqeKCVlvnBIg8ZaNmWnfke8FxDvxXUHWI/XAm0/YKuCRkmb3/P6S3p1Td3gI
DtGrnQ3utBahDG1y2Oo4/22DtuRmNQAZqYaqqBjyZc2nHkSGIIRehx5cxYXqD+RXeJwbMhK7SYl5
p7szDLy1wVVtQ/R9c9wRlz4TU0lTrVSJanWAj5RSKu3C08kNgaffuugdus83BSJn5d6CGc0OnBfE
19kY5351dibq0tMgEjMTtMuR/DpZQDEIqUeQpVzfZvJCcw8mEC6YPDvEC6chir6BcXChO73YoXMA
6o1yLF+gLBrW+Rr8Gtf37No1OeYN5ptNMukV7rQoyI+f0jkiO8mFAvCOtRD/4VgKVqoosqIDou76
WHLRBXLn+f3JIqj2Z6ILC4lR+vweve4R8LDKey6C3EIFYD7bH5oMK+MyalPfBE0gu2cB3CB2u4Tu
Z885Gy9EuT7a7evnfYv5yYOSy1FXIEKxHzm/8nv65zr2YS468Gupwjq3OQC3SOxoRw3A/T3JOWRk
Hh0mFgcEWS7UCei8uABUI+RwJ9Bfh5PvwNWRNZYtnXeOSJ7Oax6+4oKEXeSD9K9a24Xi+HFdSun8
ekExi/d64UXC7ACUYQ5FL8zPl/Ouc93APkXoI8nIjxMCEPeRrJ2NttqeA0IBFf8+0q1v89plvnrA
GQt0dT4mGPdUOSmbAed7se3D4/vd3bokPxFaurucpA6aKP+PtOvqjVxnsn/oE0AlSnpV6Ny222ls
vwgTbCUqZ/36PfLdXXfT2ibm7hhz7wADTIlksVjh1KnVCnqeO/tu77sYNQX+t8B2JxRHnY/1aXC8
B2+n7R/wNNh3kXv/gcd6u3vfvN8QvFA/VPt4DOGCbUzvukZ/dpJe+W6+DidZXQ3CBnjB8urWd4/b
o9vjU99W+qZG2IBmtXSl2gdMMMxvRRV8wW36jAfOVCKeZAyjntM+qeOJ1E37Xoq7uFCf4eDZP077
MBvKOZhwHwP7uJ13eu14vx4BiQltuGmZ27runwix4Iiczuyt6a4D14raCJ0Eud1PGv9rm3xpg/6j
FpRJiYKPwdwFd/ty/yM4aduX9dHdlo5519jeZu3YD/g/OmcAK6Cehw901psHDNkETcZGpK2Cy8hX
oKTQMGk3HzoYFUVP8bwWfq0W0v8qhqWiZeLbUxKOQdqkGJqLgKWS4Qb1L+YGbaKSW+9Fp7xkzc5l
cfZYD4ErA6VdB6sZed3mt28/zGd5/YosORcYVf21Is42j36UJgPVwfDkHJP7X6nDfqKbQcgAv0AB
gNfwTA5nmy1m1rmlQ46BgK/33tRfFUaCgO02A3G5BEg+ppza3tNHtbq+QNEucinQto5R4WWfu0i8
4M3A2/Ng9LYIFCcSY176GGFsjVNUYHku8201tf3fKZSC4QZeX85ipgeNOpghqlifU/4uBemhkeT+
YMJHO8po3sJ7UG0kRJwhwEEVoojUDVb9xtiy95lhoRRc9qWKwrl07q7LhVqMUTlLb+/v623m/bm+
vMWU67kATulHVldyrUKAnK7S0c0NT/Gd12BLas96Hn0XRycaXPR/yAQ/pKEYMmadc2dHJj+RRguX
+miBnojuYiTGG2/ynOzpX63uSxL3jkqY1tqqMVbn+s/x5NYugtfEbTcEByYJMpOLKaC51++/l8U/
fqAQz6ouwrIKV7d7zJyUbX9L0KkECn8DrES2YHFLj9K5vMvK1X8SbZiCVMbi2Ou00W/WjoJCbLgL
Hq7LWQrFYEm+1sWHYn5Y+1qEcAiJlHyjuWq3krxiDyiFsk8xoIsdffgViOt3MWro9KY0bJFRWXLv
L76Buwchpr/U4XyQIxJGiddszIPsPZS//t+byt0HP5YkdKfjEEfM0EH/CEbprJ7Mm3/RyT+b569N
5Z6BWFFKqxs/FzSz2KUgWuhXmK61Fq5ovk3fn9AvSdxDEFFTG9mAFc3zQi1QZ3VoT0f33M3cPefD
V4qRp4jQUCmULFJQ7inIiFRZljzf8xWoK++oK60DSJTvrivo8lPwtUDOnMRamElhgNAvRc9Ismbg
XP4ZCdFEyqxi1/aRsyWtaloYuYQT0049MqqY+euAQBgFxgKOreX4qwhUo+sO1nPHjtI2uK03Ijyf
4Ch54AWT6lTxNbyto1M/tS04Y2hQuDT0Ov/jr/cU/LZUUxQ4XiC55Y4u7ceiyiUstlu91CAJq9B5
8CB6W5fzH2dSuJOjrTVNAaaBPz5bdugkgz2AsTWwa1cBSIZ50Sp4GH8JpS4c5MXauIPUUqZqqQa1
7FafPiViVdlDLnK1E07eWDiwM1Hfen1qX4mCcr57qU3QG6t7ivsgguCqIiHcOyBTWgYBSB7RXGHt
s9cMebJmo3nlybqfTsycW5iBd3MKOCr55qM6KZsDrHdm756QI3VdtKC6YK9xycYSguyXvNCLDeDf
jjwds2w+Yew1MZ3SsYDl+eUf7t6L/Y8CCECbbkZb2o4+qmjXVXjpzdBlgEEtDc0zGP/Oyc50EiRx
DLswOugF9A+Hn4XQPfzscOeswoUQ7mFK+7gHHhRCSi+9sW602/Yp2NFtuda96JSgp3d+E28yb7Mf
kAr/aAHI+shOElLo9ohGC1HyYim8uPge7v2yEn0oawPfU62Oikc0ez143U0DgJaovVy4v9wTlkpG
0dIaolx/rsMk4EB+erBeRRHTgnm/WBH3fhHgbZkeQszxV7C7M6EyvU2967qyeIXOVIUzd0pbklIb
IaO48w+Vp61OiOEFrrxoHZyxS6gcB6RB9vUY30Xeb2ldIQT7N2/uxW5xxg1tPEpcEayk9Gov91oP
IGw876l4oPKSG38uige0s0AedDy8/SN6lG1jr+4DlNxu8lXzVBxF61pKelwI44ycNQELrUnYPflW
fiEwJMetgeqn7K7QbPim7cZjsGMuhT1xX9utk/3UN7kjOQdP1WyYNt92yu0uPKqoQ6EI5vmrm92m
e72uRUvpr4uP5C1O2CkFm3fEHNCs8CNSUfxCr7PRr/JuE9J1q9q56kbVGpzxsXwbjfakO+HkVMRh
qefHKB4BOD8WXhy68bSrilNdrknxIPjM+TOu2CyDs1kxdpI2DcoOxPF3+o9gP3xWPtce2YMgeBPb
Djbo158ShCjR6lkgfPmqUUNFk4WG6TXcQQ6Ujnoe4iBHp//5glplbzcomGdutOuPzER9b3KKyfai
R+0WL1eLv03sfm+5hSv4klnSt23ADFgKN8dUvo3LJIqkBhImS8IxjjskymWUwVG9fS+3d8MmQivT
K2pvD7Gt7dEF54qampYt9Vfxh3CWOlMr3wo7hFVq6yTvGDyabnFJHwSrXLQ6Z1I4Ix0kBZWzANtN
nOqP5CSvyMqLeHGXX4IzIZyJZqCEUswYQuBJPFM06USIBvtHYp+uH9lCNuS8XsazWbekJJVWQA44
h++VBxUR4Oa6hGWjdrYUzkpPVWqmzayeeNS62/dXtsldgW8t3C7ORqs6WnurDDJGTM6QN8W+29V/
nHgtmoOweNW+1vL5HWdZ6yDsUDP71DBo97CV7umqQ47q+o4tGz3dUDWKBJmGHC2u2ZmUSCNR1hZJ
j7QpuEX8Zytx1D2wInCrzRXbOK9zPKYAnaUhS6A/V+s/AhVfdjLPvoDTcS1kQTOpYf/4MmQ2qASD
Xbe3gFyY2+pim+yzo3kDHkpMXs7Wwmhi0ZieCed0f7RUTRoSCB9aNGlvM9s/eHbneQKjvQRrBf7Z
oLqGwaeWpXGLjOKwVUO96nHHNCAVughnCjINZ8gwi+0YbbRdaeuT2/xoY7t+xBTBfVHCbJEYZJH0
R/KA/24KEWps0bqcfRS3eJR6jImyDn4TZjaxxNEen0D4X/+4rmLLF8aUVTS4yJoqf86iOVMxzJrJ
IoYBIo/jbkIl6dV5EhYa5u379hiYeAYIoeg24Eed+xiKMIT+MK8ke6Fve+3Ebul2uB9SO8Os3reT
CEi7lE/Q0RKv4jiRB9IM7kBz9K/rks/6x+gjeZ7nzs6Z5cg5rH78vkEVJ7CNo3yagLt5CNdFbAu2
dH7j+fWCVBR1CFOhuqpyHu+Yk3yISdrDlI7or6geEw+clQeC4a3D+kHUqSzPRuCaOM6sRrlcRGZS
9qCbwWyI8mY1gMLfB/rKkda6iA7ts9b3TZqCuQq6YeC68Nw9QVb1ZWZCXyp3WMWPTeoEhkMhjW08
5/D6OsEZzF8JOqL/CLZ1SY2UM8mcd9P4k59HXd3/Q4sPRNVhzmxgBO4fZaXYJTJ8gidx6QaeC+Rc
zmBU/VxqsdTQt4/qgdk6s8mqERn5JSsHVbVUw5i1hnLq0iXTxCoQiAPNZtoqxgGWmVNrp7TADGPy
czBXVLIctNo5Frie8hufvabSZjR+xqFid8UulwFvzLrOpvlGDtHMTwQfuNDrpwNi/fWBnILVSh6p
xXybcJWMVbIL7OD47oMy4zVwyIaVYtrPJWfkXCL3itM461QzwM6rYL4rd6yGVa7VGYUo+S+Ubm+m
o4WCUOh08PHBRyFktV3yXxXYRGJRaunU4D4gjCTVGGN8gA6+ysO9haaCwbmRhHncZUv1Jcic87xn
5tfsq3FqZh17BrM7mqJeElvzrFX2IIO7fKdBE9ybn8q+cNrMjnfWXXMU5biWqnA43v9dKx81qJ3S
JaTEJ+xnPvNu27+Xx+JHtp/W6fYnukgx3n7jxd4mXvs3okTSkhulaJSiu1I2lG+EuBPzFcaKESF1
OWfNgPUT4lkWmsOhvmcyuLPUTAYMXg4Zx+YuS5w5l7KD47J+Ql7SBoRGckUpj+Ub8yWSL1f5cln0
Yz/1KETr+xRR2AyW9e5A2B4eJVfelr+Ehb/FR+dMJGcdfT8pRj/GI+vOY83qEyZ2g3MMrcbQGjEZ
zKI0XcWQVJ1qlmZye0om1mFKiYYnfbuKiJO5oD+it/2heYt3oyC5sxjNIVf+P8L4J8dvU/Cn1BD2
bCDXgtqwjPFNCoiJmMgTXMyan4vidpFGLAFXrdI/+uvmDwikwhvF2Nb5Cj+lF6IcNzzp6wlpx74V
VFqWSpyYnvu1Su61sVo20j6F6GZl2Lex4jWNDZwEOzXAZAAVLnKSFj2/c4HzGZ+ZnjQr0wTzSuYc
UywjxQgDB5o1WwJ08d+83DqdB/qppqFQzpVNEJONqaXPDiCoTACnmmOIwfmtuJvQE+MKFgNNOAqa
ghgMv3VOO9WEShIYaGBVBhVAYLOVuskmVTLd0hQzkO2uza3GLVIDJKSdX0al3bBKrjAI0Wyp57dK
86FKhvz7+jaos9hvrhNabs15SrKlfEL+zjacTImUy30yPDKEbJojty+jsmOqPbS9bYX5ygSnDHsj
IGCV0Vlj3sfT7zaxS/XEUCJiL/pPiwHTrpe/mHxSMlsZfyB159XVMVc/UqV0GGCZyq+ksBMCYLid
ZA6t1mO9BVWDQQUV+UXDDYIceNnghLL4teR6TIxejYdHjByM6Xv3kOWgJf2ZPKhP13dt+TC/JPGF
udKQg0pRICneWqD/RidG8GscdglmYeH03qJwHSOr1W8FYhcKrDqqc/+zwM92xLPDmr21AORkA1od
ZWDsUKdTnV0jzPQveTrz2GRANSzMZzU43yoe1IlIqCE/RhhkOt3Ud6Jc2Ge0wWvduQTuMpiqlCdo
nxkejRx4Vcm36eiNXpWhHSTaTYfBsrttdltojv6ihFsWrv0CfS0YzhLZ7bABPVvtKKpLVIwW7Y8E
+bQY2jo5Y7E1g7W0wxDIjt4w022LjSUMpZZ8Y9hElaiaDESVzhtFtSdJWuAhrdz049hJDt0WmLfi
OcV7dxS7fUtafS6OM4lTpvWVpPWzDZ4jt+NjBkoww/sx10VM7+MBSVNhkmNJA85lcjme0deHGkj1
HnPTkUe8BRtYjvkudJuCvOOQuLkL32+jiyh5Fh3Pc7FciJwVbRpNE8Tm4LIGH8QtKBRgimyth3ev
ubNnRDY9AI3lPt9XbnzMPVQ5BemlJYs4J12AAaMGxodzupnrrZ+aNZnhBb+Ya3iT85OtRf0Wizms
Myl8ri6LEcQFpdrjKpf2r1vJRgnFwai+xm4ekkO8N0pRi8WiA3gukvMj8kZhoIjCwkZPe58e3dWb
2x00N7jr1tom+R16Amu15I+dy+PuySBlBEhOyDsWmK8UFc77dJNg0DcKMnN89keU/lyKxXUwOcky
LibBYO5L36GRkiIdO7hkWuczNzQQoQ5RwxxpAn3j9bUt68iXKC487kefKHJrIuW9Vl9q3S4N10CT
lgQyX2U1aQJpi8+NDopDzQB5tAkIzeXKgoZGfqhhZS5c2/o+3/kunpd7uo+F+MDlTfwSxdn+thsl
uY/hFo2Ytjlsx9L2XaALUELLPLd+kLYADYgUZSmwPV8ed+NIOQ0RAM5zYEuc9ibwfrfuBOhEJizf
a7MO8A/PmSg+CKrKvlYlFaJYCr1oHFkLXUYdGTisaZe0bpExj/0Z0mOeR07buo3XTy+xOdk9OMiy
naodrd7tfWQId1G91YMAquxU7cpvHeuttR5Zvvep17HfTfhSF0cr/DOBwCTbjMkqBMdY4OWIvCpf
P/TaLalv4mHjM8E408XYEkhLQzYsXVPBEnSpLUgcmyYDC/Pjy/6NUCcHotNzTpb7UaB9zhWClD69
Dn5Pz+Vxx+cTNa871R/AzT0CBWmBe+QZpT13e7+9N5w778erMdqO7rDNrlmDnwSjk4Nb9CL8uX4n
P52ub98B7AdgdoqqGxr3HXmCcbeZ2Y+PLy/IWUwgUAWv37QBVGFA24h9sL2fMdAE3fqhcIr1ByaL
oxa5P13/Ck7BDIItR371cyou3FA+rzwpVlZ3gxEftPihIa6qvsXRLn66LoQzP5wQlfAJGmLQsJBM
JBuDn1J1VMfRVqgXD+9y0G8ktPWyQcSfwGd0/5FJVfDXI4aZYbycVvlZWPWqHx/a4bHX7yS1cq2q
AkezuVInsNrpZLDDyig8PVcNJMAcxHJeYWb1DjGNwGIsbrJBDAutigS2fjZiZ36wL8Vy0tT4ligF
kfkUHfM0dga/cRJTCES4NBj/LPtMFPeoIA3UJm1igVOAhOuaVHYty+vrpznv3Jne/iMClQ6Qg2I+
AIKwy9WMVhH2FMMID2p9VELTpWlql3RyWBTbEn3+F8IsGZtmqiq8HO1SmGW2ndQUEFbV4fNAd41W
rcAGvJaSrVkg5rsubT6Ib0tDKkajM0pa5yFZKEN0TWJBmpSefCNxqmzHJtW5LmT+5O9CzLmmb2JZ
FufXVH1RY7pLlBzSRnrTY2O8I0YaCkZdL6kcTgqUNYaCKVm8cxGGUaknapEcMLLbjtOjoZPG7gLA
QrNWIGpp09B9QJCTMCggE9xNq63JL+K4Sg4AJGP021v+4/p+Lenb+b/PvQ+9nhZS3JfJwZBdMqnr
jIWuycZdQXKvZ/HqurTl1ZgmIklFw6q407FK1ulZC1s1EGqnGBysxpbTZcLsOBcbf94itBb8rxzu
FmVkDKRE1uIDY4ckr+2QoJe+/lEGQOn66Uo2Uegq3mtkIq6vb1ExZu5pVGp1ihzK5YXqGEsLAAji
Q4aqfg8myvJHmP5hUyxwApe03PiSwwcMVSfljR7AEGXpbRXd1iJ3ffGcVAtjrzHfGdOv53We2VQz
CQy/juLkUMrHIqnQcL8LLUmwiEXVOxPCqXYX5kmklLiqCRrpkz+hxR7khNZ2i5i9IQJH6HNmJ28Y
jDNpnKL7adb3YOiCrRtXmYQ+f722k8CRX4t6TXPlME7mLSMPlE1O0J/CBuX1utwWljeFihsFb2l1
StstphBYslOze4IZBcRo7KHU76/r0NJ7jnBT0U2gVnVictsSZbJPaw17nzHHkt4UKnl680fqMdBJ
2tbqU5AIvJTFwz4TyO2M2ddaRNsE1qyCe28VbtwkdjYKZqosnvaZFO5qGKFpDBGBlKZ9z4LMk5IN
sR712GVFL1Csxduhoy4GNliK1kEuSaKGY4SxIzDPneH/tpJNVw+/r5/R8pZ9SZi/4Ox+xP4gN2ZZ
J4e+QNahSmNX9YEvbvTIuy5o0aBQ1DCoYmoEnuyloDCtMR1aaZKDFb/5mPeR9Lse4UUsuB18mPCP
wTyTw114kkd9oEt4ZlK2G7reybr9EO3NvlwXVeeNzPHZr1BB20HmjMPe6oujEQenpqg32Qjkfl4L
NnhRW86+h7sEVQn0REOxwYNrhPGm140HdJvbZdmugyYKBGZ78Tgp0B/oeDAwm4t7LjAW3adSl+PK
Wcwuyl2FbHxfCC7AfI2+GSDQIugaMeAC8RWpTC2sfhqm5KAb/QvY9k9qVK/y+EBzty0pxpdHosI9
nyr4PFVMNTMs/BBALrmbPSWAntAOIgNTdXpp06U7v3yRMNtTL/c0z120TDsmWKtahxqvf6+5cMPm
MRYmRfqdu+95b42pxDLIlu6kqdtaeeMNDEwppBVUb5buyJekbwEQ1aRaqghOT57KHdqBVmZ16i39
DpGLQE9Ekjj3xRzjxqAUkizW7FVrvAX27CilrUOiZBA4sks6eb4qTietJEmjUGLJIZrA4y+9Vebd
kP38F2ekgjdbN8BipvLcdcgthXma4pY1/VrTwn1QH5McZZqpFlhkHif4jyaeSeJMsl5JUkBQxj8M
o+loEXL6aDa1fFeqUleu6Z+gH49sqNZWmt6NseKkRnYyWH4XxpMnT2RT/6xb9pTE3SoI5NGWjXXS
v4b9tBlJbdmYo70NpWayZVNBCEhEbt3yRQK/CCBFBHSnOmce+yxgaRvh87N+eorBs9RG62r8LZuh
Y+pOLSX7Vtdu9NTch0FjE1kV2OdFxTNUXTZmhwxDJS+fgTZvix5VLlym1E/WcmzSbZen6rM6yeVN
JRWF4NlZVD4DwBJEhUS3rPnvz943oKaHWNE1KB+ra1cjLV01WdrAKJbK5roO8lXef1QD7NKo9FJE
bQan6B0dVTWWICv37zqpWE+GmTs5Kx4MauyIOT4BZ+NRHxN40lpQ0l5yFMwz0ZxWNmEzFGMpJwcm
W7lj6J3hDEDxr6+vcHEz56oyUtGKjPry5WYqUxjD19Nh+AHKxE1umyNB0/p1IUsagoyBih997kXk
NHTyCfyR3Id7mzVbDIDdhkm1SdoWtGmyISitLm2bJZuyqcuEUnD8XC4oT9S6NDIJgbySPBiD6Sh5
LSqsLW3auQxOA5VGymjYz+sJaicajs2UuUKfdHHTZtfKNDQCgBEnxCxTJdWZBavUDCsWvBWF5IRR
u4pj0cuxuGVnkrjjGS0che6bkKR+mFlmk+7j+vkv7teZAE7JilLzkzDAfkVkjXScnQD0InRhRPvF
+RNtaMS+YWAVjXRUGZJE1XHEIDOSrf7FYlDeAIgTnb3AI1wqmN7nTUMKLMaqTnnK7Gp8muLn6zIW
T+RMBuef+IGZjCyEEmfSU1dHDozBv7mSwGwDoUcB8/1EW5wZ0a4GZsNME3Yok9yr6mbdqKcyabyA
iqIEvpo321DEOipq/pZGMOltPrgzUUDnB2VmtTAxddTbSgiHDgCT3pX1zpLtVgmSfRf4GMvJKkDx
/eZFHf1jy+Jqr3dJ5OZESj1DRzHClOjH9X1eUMyLT+MU05CGIR5rRPmgJXb6YdcwavemIIRd3gAd
8wHmrB+B/bvcACnAvNuhleIDkZHKz7VNHDz1EqApgZ37zxWYCYadZGCOZwAICkV+YR/3BLPEJ8GZ
L62WItUPoKAio7me8xAjQ+6IkSPLYFTSqpE8CygQNX/6+y09F8K9mGMWmFrcQciI1Fakjh7Q1XZj
EMHLPCsNF7BoqF6gqwO06wbci8s9ZeEQmQZNYeZj8ANkwKiD1xSqrILX7fqCliRhNhwKJRq6zzD2
7lKSn+p1RSVIwnd4pRS6YVusZGOvo73+uqT5m/k1YQQd4iHVxFQB3rKgZUFtpAbxNDLikas02g6s
uphcJNWvSIblThcVgXdd5JJKnIvkDA0meKaNLiMbMeYYKemP90yL3SCW3etiFveQKkBogwmPqLwb
lVRykE3yiNPqld7uurDdlOg7bG91nWl/H5sgrEO5BWUKBUmJ+VvOzI0/9mYZxLDP2vjUbJj+KKpp
LRhnnchwQNEqqCFO4wTIWcdavQnYgYUUvDuAqzmDVYni44WTuZDCKThhRUlkNJfAZ1oN7YxHa51m
ELX+LkrBqahoL0G7BV8s0MuqlOUpZgdfRlpxui+ro9mUAk92fhE5vcYQny8h3FIUFmI0UZDircmN
3pv65IH0le6GcQNWYC1nXiO1JtpKY0EEubw45LoxOUuRMQjmUhNQXm6nzkKWnchD5JISbcdN37tG
+/cBENb3JYezEEyygoh22ESMENpY2XMIaiIrHxyjExi9BQMBQSayJRSwTIVytxU4Xm2KqoodqCpv
fNCNu4p2ozBl00mybI9JuL1+bRc3EEAOjcwddMiWXG6garVVaFQZOzSpskJg7ErtR80MgXos5fd0
QNRgrymZWTk5j4oV4aSA7Ykd+iGAEUdHRsOYZyTkGMoYD9b6N735q4+Nl6DxnWbahbRbJTGzk0dL
9qS6eDIz0coXDNbFJ3Er161Q95E/YYeh8jqEREm2md+xro0E4crikX6tXZ+LRWfWSs4xtmDsanbo
/KfB1zZy3SPdlTtg0cVoaoH+LKUKdKIDVqIgVEdowZmuUKkbbG3BDvkoNc9tyuJt2ctoBJE1xZHS
NDuZhdneZ2rQeVOcxK4pY0Jfr8Wnssusl3+hXRQ8rJpqaagXcdeGpjLL4wnapejKo0RKPEAGcbNE
BJPjYemzA4pg0ADnK/6EN4E7THNSmgnjV2HkJga+t8FpYXgwHcbWilOl+CsS12tfa9edpjo+WWvJ
R4oicPKQsNMQCpR96UqdfQuPx1WnLmGDAsWKa0R1gCWEQw6ojcDlXNKqcymcp6ejAp2PGc6ZJD8k
DLzT7E5bq/qrqGq+hLU439rP3tAz9c2HNERuvkQh024xwKxavxe1Myq2yjAz2ijs1nc/fIFZX7qb
54vjzLqm1il44WAuSIHRaagCpHHtlOkTCpwCh2zxvgDuMIMCYHYxke3ydjYxtQKJ4LS68mTUQOnM
BmnSd3K8VWo3lB4kw0swW7d7uH41lvJOCBi+BHNedKH2eE+jHvs6+Cup2/WtN6FBcVjR5rMgSJDm
60omcNMWlfNMKrezRVuxIDRbmIeY2lJX2+iLEcdDi1J0pHWRqZPBc8dtalCnY91N0Bk25W5Qm7bV
P0n96foOLt4AFLqBcSIIO/kWtK6upIomuPOt/Baq1Rqt34hHpkKyByaaucG32HwaGB0JWLgYFPVo
/haARyrFYJ8sPZha6zWKvAVKZhNMq4Y+WGTr950XlJ5evsXNvzgwSuDeaAoYSIHCuNTPCP57YER1
evCLmz5A6a03bSYSsrSVswQDoIEZUMIJ0Ss5pbVhpYfKoH/anjzWRbcaUuWxmMcyRCKXdH7tL7xF
GGqgt8B8MdN0o4Xwck3jgEyzFAdAjjMHJUuJyKsQ/m8t7wNVWwf1INjDJXlYGh4ZoqD4xcd3IFVg
aPwa+r3SWvnvDAQIDkxeAFhuGK+6DH0jcJ03eVxPznUV/a42WKlhYo3gj0XenE+LkpL6Q0X6ft+0
NL5L9TC5HxL6I9Ima5MlyS1Ryz9tQ5QDprJ1h5DqdGupmSIwct+OF18B24bWqfm6IKa+3O8+q8e2
kcJhn4IExpTfsgzdC1a5too9QaH/+pq/2W7EzwA+6QilTTz5FvfmV52eFEFi4HCHG7WLvUTTjwDE
bKKMCgpv3199XMsZGg+YGoLOb3k6lgVhgrk0w7550UDgImECQ/QUPCVH7S6+kXYVBlvUv8b7v14f
hCJjixwLMsTfnndpGtIKPN37EXi/sUfXsZl4ipTYaShCqCxsJYIADXO2UXrH8fH3ZKrNNk+bcT8k
4IhBm28T2oV8zJLn60uaj4S7jzqmUKnUAmnvDPu71A8jzak8xu24V+IfQfkSi7AXS9dAB24RKQ/k
VMk362mhtJaqiTnu8ypaScZzLGNKSZE4cZ4dTJa5YQYvvzCcSXnpqbn++9VZ+AUHFBkeBPWXq1NJ
O7E8soY9gn3FacDp7KSsHAR3bOGs0FCHBCCSnchJ8K5uM8hRlTQAJ9RE92hDTlVEjnldgYIVqavr
K1qwZxhshbwYVAPEFHy7oKJM2VTWAbaTFp3bdLR0u6Kv3CxX0l+REZFDjuPYwIki3nXJ3x52g8xJ
cQQWgM+BI2L+sjNnMJzQqDim+rAvWGeHaMGGOpZUEGwvCjFQRSJAhWIECPcaETRkyUwJxz1JMPmi
1B0IUZS/dTHnlViARuNJgAPBR6Sj3BA1aaNx37L3JAErKYITq3dE/QQLphdJMVTdtE8UAp9JypVA
q0DwNu4Z/W1IKx1VMcZ2moVRSZ0IRjIrMneNcbXmMEszKGAk876eHY6uSo0fNdG0R2FhnRbBYzel
u1H9iIniKIojV08tHQRO2NJZAd8OdBBMMBxWTiGGPpNKfApMMOjPfO2UmcxFrkSg8Eu7CHMLQg0U
yXSNv8IWMEdhHhnjvgBAJgEBcK2+s7G4aQtj37PMu67kC+ZwLisSUzdNZIN5brmcaFWVVNO0z6K2
ejdT1oI7gk3m3z8k1ACodgY+gDyCHxpQD4zmsaaP+yisNbegFmwGOv1uuwTWPpcb5e36spasBkhm
LPxGhQAlgkv1UButt3xDnfZylm5IsVdD6XeHodRGsqrLaVXrkcD7WdBH+AJzVo4ARqgS7vmq49Yy
Ei0k+0lvvFBG104CCJX6TOt1qngDeujSRCBywQpDpAFMOUgpYKI4kU0b11IaQ2RYhqvGSj0J0zPK
d7UU7OWCQqKlZR4JS2Q4ApS7auNkIIlFW7L3a7mw/THW3vLcCFcFDc21xDR2C6Lxcv3XBziXQQBb
BnUdUtPcMz1SPaozQ5n20XAya/T5sH0iY8qKryNsDNHLsrkub2kzz+VxClMgBtf0DAqjRxj8Mfle
sxYOM1zayHMZyqVSjiMzKz/Xpn2nbw126hvQRCtryo5FwwTbt2CqgIKY6ztAZhtIjV2KynTdyPIx
HffAUa2lGqjitPOq3hfMYV3YNYRQsIYz7A3SuF1rhrLJRq0Y9+Mgx3bkV6eBeHHb7ZtCVNtcEmXK
GkG+D8YKuKDLFaVJUkVZmuENK5ykSZ4kDSPe9VpxTT0QePVLm3cuirtYuTEqaitDFNPv5US28bL4
k8AgLugC8Hoow81sJAAocjLQ3ExIEw/jnrbo8NVutd9tBzyEYReifOGChYdpR8EAhgLt+RqndSlW
EOoJTK8PDiEJCFNler9+d76ndxAywjmjyHnPtSr+skpNqMiDJmMxQXHKozs/2JjNY0G2VY8BHyWm
RGGYHXm8LnXplNAUBdsHvYPB5Vxd6OSUpqGCJ0WXwGwcTRtVTSI7CNq/f/YxGx1lCpwXqGn4uxSr
MWiHDawO6hD4pRtXiOSt2Lu+nOVN1CFiDl4hh7uyJgX7D5VwTkUeu6P0kfg/+1V0iymV2066GUUo
mYUXEiUX+LfQjPlV5sQ1ARJyhsSmPRAObkAAVk1t8GSsY2VXjeMuVCXBAhcuMAQiajAJeq6AA7q8
wD7Jp5DVxbTXBh1g3Dx/ikIAJnxgLFbFpPwWbOcc53MOogWEG2gUME0Ep8eJs5QgNNqhnvZlqfU7
1egTe0DV0DGS/yLtS3sjRYJtfxESJJDAV6CqqMIuG7vtXr4gd7ebfYdk+fX34HvfTFUaVarnjVoj
tUZTQWZGRsZ2ToyjVwMyZc9a2thJG5t+lkyqp4Je8YEaoL+zk9nqfQw1FVE4blxFlN7hBKHtWUO6
kLuKRFmkmfQ9nK0hluGjWqnDmrq1by9942JACjRopZNH4Zh7OpE+LqOoGRZ/PMnB/DsU/PyGp2PB
hQOfq442eUD1r8+xl81Ik6sRrlVoHNoQuKInM/+VG9kR8FwZOI8+O6pTJbjtG/YSs4nggYBnDtEM
X7tbmdcSaszYOjrZIaamsvmpKPEUdIs7LD9v7+BWDH8pjS9jje1AtKJk0NWT8a15nRLMozExqtIc
nOpIRNI2dxQ5HfyBkYElvd7RcGqgwx12tDV6vyayBwSh14T0yzz8yvMHPXwBqule7VxjcZvab+Qd
GdO7poDTFzmF/lTIsewlqmjyz9aFRerSQC8l3g1Yv+vPihe6AFELPVLVJ43cpyMYepdzWoiWvy7v
+qaCNACAC7xPMrpgeVqPCOOd0QALS0THF816NlCzb/L7qv2jK/1rmmiOaT2E9CRhAOjtY/687xCM
cp2G9VEkDTlNjoplyAy9wSl3PzEkxI7g3prMofp7+yPW7bgTNY5uCUTRboVIKwQ57vXmXgSts0yn
PGtaOJlyeYaNRAF2wAnWdwMoC5vxmNbK6Ob6LAgUPhsE9I6srWpQLgpwI2cQRmsZS6OHKaT5V0k9
9NbzkgjM7efXZG1Pga2VDcSsn6CT7ZADXxZDRFXu5hlTXUfV1qxXzI5C+2W1D/+6zxcTwtZSK8CN
SHJhXtj1Tg5G3km6BnMg54R4lYbKLyKY+AfYLwUJms/l/A9RFuhlATJEcpLz1Pp50SY8JYtf/yqb
8lBIgzto3V3bT3bfxO7IEFJGJQBWsT9157FvgmK5o1ruVEOEYbgDppfkiuBEtxQJCmvivqAJD/9c
Lz9DMkmJQYXjK8V3YE7seT+gJkq8LrrrkWj8a38YcS2uKLrQ17YXPmW6RI1JUyovflidR+kPAIqD
qKnw88t4LYJbEMovbZhpCjZ5/MqWn+rfx0MAAwGVgxIkkH6YcHe9YX1BadmssTI60PdgacXVi4dX
yUj+FngEZUGlE0YTKUtA5AknZwAkO4sSxOTobgYPPfpMjnV7ng4RDW4br88P4rWk1f+5sCWLCRIK
tYEkEhNQtg17y8KgYFP15yh2Q0ugcFv3+3Jd3FugIXuozAzSUun0TnonUh193tXS4faitiwVGsyA
Vl5pxFACvF5UO+uF3purGpSpG+a1W6P8N2FmyW0xnwvh6zEBioO8yVpR0TiLONV6Cx8G2QUJJgPj
x0cV80LiubSnuHHH+Hdptc/KVD+MWXRQJbtLLMHTwxP8IdN2/QWcwuPuliHcGTwFfbqX4u5utZpW
ZJ1AWIIoJpf71zyp90noknyX9c4ki1pON/daVTBzWkPrlcJHoOHQaSPrsQdyfTbRa1Dpd1L/t4j6
dZUaGj3XXC3e2NWOXSipLrG87hkyHnR8K5cnYJ6ECfQty4FzRDcD9AVVF+4ejHLZ93gn4KW4zGtf
bivKZxcI33/x45zaFxrposXEj/fSKaue6vh+ocBr7m5L2bzKaElDig0+EBIC17tEIpQr6ySEb9t6
YeXokj+ChbF1hnF/W9DWs4H4FWe+4nXRknstSJ6NUOlrCEJd516Kl4c8zN6B7X9ViReCJp8gureN
SpA/3FI0pDlwrWFB1nrRtdRUylkG5jbwpGedk7b3Enko0R//H5Z2IYTbQ11O0UcDHkJ/YtZrHQ27
amJ7UBM4tUkcMyO71jD2RZUJDNaWXUQct1Yu0XOK1V2vLZk7JOvHBva+/UKNR9oMtqo9YGfTFPFC
+/X2Ird2ErAtlFdQ2kPZmTMaBOS4UFZIs/rpWydFvjR1d4WUHm+L2dL6SzHcokor7psmrmU/KXc6
c4rUT0vks19vS9lSRjQKfKAo8FbyNjiyMhUV5xajULxcOZMGVIR7tgsltzxEIoK7zY1bw1VURtH3
zne0zI1Gm5Hg+dIJcsdxtFPSrxael9sr2tw3i8LD/yAi4jtLrKFsOkAjZN9MvBkoLaY+GKi0sUyQ
dd1aDehqQMKDdJEFmOS10rWhGqVtx+DMwEhgKJ+tYMOU9Offr+ZSCqdsbakWzRCPsj8GQ/euGN+k
+UD+GreDBwKeNeJ6ZELBr8ldW7DE5SyvZNkH+ek8H3oMyhkOySDYsC0DCwVDXQaYPRRB1w29eIYk
nH49z6oM5Oi5xBq0AeMcIgdzIXfiyuT6yVw4C8YdtBetFNYo0HCuZjkRJLgmifnLApe5nzJwX5Xt
9Hz7dD5zbKAmQ4B3wrMBTQDt8vWa8O1ym84h85vCb4xvY7kPK7+s70zyXVJe28YNQb78rj2OGHdS
+gmoPvL5znxOpFPsVQAmZXboaD/Vwe1ywSuzkcm8/jRuu+W566wJKFK/emPH3H1aDvP+u3ynf7+9
BVs+1NUWrPfx4ljTzMLEO4yQQcPRIVruxygFJb5rWLtSPcYYpvh9zAJN9eIXoT3h2XtX9+1KNPeS
Zjh6dWQQ3VbHRD6q4UHHOJTIJspJ77wi/aphrtE3TOy253AfFk7ypZIe6z2oaloptzEvkCLbGt1l
3qLtiPXek0NL79rlPsL/XNlkH7+kT3Vkl33jddKpNAHeXuywFBisj4TDZ139V4k4XTWNkbUqBtf4
HXDvyalNX8xQscn40ivUzlBpMQw7Rb5piPfL6MTze3XfFdU+kp6S9JChgzytjub0Ta/jo+br0Tel
eSxLV9cwHabWgIhz8yVz9MEuzZdU+tONGFgEVgkRa+pHBfLWMtan5kIRaDwZVjNFo6+VjygOTrW7
qNSmkbeSzyw2c6qX+Fdht0cD/I2wl6DPzx70yqE4hcbP0SMTe4lxxtSm6Otsusw69ix2s/S1wgA0
6vcPSTAdoxPZaWB4s4YdNs3GsbQnpXgGGfijNDlkftAC0wqK9CWTzpN8wFym5+m1Uewke2BnmtkV
sSfA/sidHD5YhQu2GysWOEEbeUuoJTqb1iHaSPbwYW49m1I3IeXggzELLX9z0e1o2yzHoqkix5xK
4qdVDkJflT7kM2aSFN0A/rZpFgHNP2hfrk8E0yt0oEpRFVzhHdz9UHLWDGxMRn+BuqAH01EwQZwh
343MqrO0vW++N4Zmt2ikqBpll1t0p8pHa/6R6Zadjupu0u0ZOZbelnIQYY/ZDhxj3prszWMQt8p2
M2CU9WGgrWeumX3gZM3C7zvqyVTgvgrXwl0SMlSkqa0YfY3SaY4d45vuSbgW1QMG8WGYS2SiB3c3
TZ41uEkBqq0Y2WKUJqtjpjykD6pha5KX7BJ2qDInJC6rflf7+IQEo6EG1WDjubD1v/bgsP3oPoOz
g2ILHqPrCxHXFRtVWoz+D+34qD7+td29/nVuQxI1RlCZ49fDfsFZtPuCHHoTfeuVs1YzJOVssWXX
z8X3Qb3r6ghBUyzK3X4A3z9pGNA1BtCFUDX+/TPTFlN1hnRER8n8IMnSI/jA7GqMH6tMP5XJYtek
RfMyzFiFgsFMXLlxwjA/YBzQ02AuzzGbfyF/dx+3ZmnnrLtnTeihavMURgUO1UkU1Y2AXZT21qR4
5TLuenWvmr4xPI0l2qENjF+TBPf3swOJjUUnmLYWWNCUwz1otayyIjfL0W/TAj2QqVsVDMWOXYia
x+0z5Od84AG7FsVpSN0qWtNG7QjfgT61GOtBJ/SsVDQAK8iLqmOGVymh79twZXW+Z2P+jWUY2PTU
x+9519tgm/GYKduD+ja2J7XQHKJPB1J4gq/87EvhK9cOAzg5KIzqnJMTRszEOPJl9KM8MfazxPZl
qXRuEVHqllKf3lVSeEbPOGx+pu0GSW/cXmMYc9/Nlt3kpeIsnaTh4g3DvkFDyV4DDcVdHJUgn5jK
cpc0pg0rWSDPslCEjD3dd0Trn24v46Mx7JOuwpdGNz3MMzgjrq8jgA9g5LC60a9A+mgQkD4O4AmV
Kv2oLezQ6UfTPEzzmyY5VnzfWOnexJxGZdybynys4cmM2RtpFsHjvwrlPgrdNSjioQgCTKHBaQAQ
csq6taM/muFTaR36KlAibT90hYe21Ib58dILPMON44RI4EDX0iRcVi6wnBrgja1MhsisdZb0BPrI
/7IoTPqyKBraEFuo1ztd98Yo9Tm630s4AHF86MnZILnTsUOOmvNwqkTzSNZd+rSLFwI5DQVEstSr
CgLHaacmNhjyJ/0w6zsmurEbbztB96b1QdOAqhzfi91a0gTifmyeYnhplXrwse71cySfu1/tK8vD
faQIjMRqxz+v7V+JXAQY5mZYLBEkJqnXOdUv9JsfB1G746YQuCxosDXQ225yOjFEWmZSTMLwzTq0
i/mHFUr7pHhSY3Ycih9MVAjY1PoLcZyClFqx1FWMNeVHDDCgjvnQHTHkpDx1gob9DVsOasp/18Up
xky0uclA+u6z9IVUBbzR34Z0B5IuwZ3aiLagFxeCuGhr6HJaGCZspPqtOAzv4ffCUf9owHfanaC4
sa2CF6K49yknSw8MOUSlj+2jKtvSbtgXLt23JzwghuAqizaQs08L8q61MUHY7BRPgPGPD2CREBjm
9bQ/afjFgjhPJlVRWzDade8e4keGEQA/2dfBjU/yfjiioW34KpC33phb8riHIMNcya6CL+H3e4AD
mpfioB7kO4zZOWKmD1opbov7nCe60gy+blc2k1VpxjyixuCx4dxN0EVRk8DW23apfnzzQsKG3kpk
3N8ht5vEKbwytsvFXXxSOtCL2I596WDuZds12C7+Ibhlm0uEzqGWg0ZwgICx4ReRnzQlZSlhmqQP
NAImw8HSTwrmSApUcSPTgJ28EMPpopUWRSJJuMyRv6hu9d5X7oRMA9uzcW/FmOXcwPLHO/BbOQIX
SLRATkMNiShpuj6ZWrYz00OsH8xlFujJBrZoXR6gDivOBw4BZ4PrYojSnhGEC+VRwyhFjJXNbeqk
D21v08GujvlOZrYUaK3A4d22KCtmTF5B3CAkuT6/HuwqGfhDoKLIhjCyeMM3S8cQktI3sxGsr0Ad
1d/BmeaMWig41I+ec/4yrgQ2QDiu6BI+Rs2Xvqv7UMfz1sSBlh86+tXIMZKjvFvkB10F6Wz0s9Vs
LQUbFrlXksTVIn/oDmP7ZV4/zvouW/tI8/6eJNZY+23Q1Yiew7U3lLMSYVIxUMTmAJ4kT/X4R1p+
zOPrbdPwmcTnSsanJrGUJHGPvpvJT+906oFbb5/78Znakwe6qYA+2+NRPdyWuaXK6JAHeg0YL6RH
uRdRlkojqhUsa57eOnKeqoNmBLdFbDkTlyLWT7gwB4bKSDMAgeWHL5qzeL1tnadTLHLFtnyISymc
0uoglULwkU0wec+Gldk0lQ4LRndp9NDKx673hGRg/NSaNVzD9UBfKHQdGRUeP0HqsSjBKjH5IMvY
VV60Q3nBODf3+slyWo+dppPxmPxc9vQQPYimCa7L4e/JpWzOOhhFaerLUgJTdmCongCdd6Ivt8/t
M/B+XR+q/msHEQGxDiejQAJI0TrIaF30W3vmMTlgTOLBwLwI7UnaF3tTUBJYle3Toi4Ecn5gIWfa
1NcQOGJorIj5aHPHLn6c0/ROLUYj7QvsWDEC4t48KNPPWGJnnKDgTn10H91aB6fxUxvO4cSwDul5
3zzVX7pd9AaOpSOzzePiJafGzU702BynQ+6Rb+nZ+B6eZ797FLiGm3cbbTWgVQG9KdB61xePpKHW
kwwr1sHufc4l3VbqUvRMbXlrwNeg4QtzRmAbuVfYRD9ira5nZu2Tl/5ZO5k7EE57yV177o4D2wt0
cv25T1t7IY57etWUZlVV1kA5/uk867nHzVP3yU7xa298HL/F5/ztGflfwYO/qTsXUjnjn5VLnlBr
VUzQ9Y87tEs6RfMlE02YFIj5iCouLGUhT+VQUYhhpie1z2x5WLTzLMrMb6WZ0Jbxz5F9vP8XYkD0
DnyPUUFM4xWFax7qI21su3QxbcNVTt0zBhyBQPFR3zWOGrCTcjL///aT923mqAK12tBgP+k3eTrE
MaZbthNobAXuxOYN+KBwBQACDSfrhl+sFGhR2aq6fvKb5YAmUtSxZxEgddNmXYjg9B8TKuUuRILf
nzBbL+7OCrZSoPOrnf2s8ysR7f+ugtP5KqlZOptYRRGMGML7XcfIsPK+ZE/omnunMlCj6JgXCP2Y
/XRLKKfy1IiokvdYF7LnGF/9c7mb38xD64EFb2/cy7/g8NJfqXdSvyOckGpbRNGw0Q6G1+efjUWX
+fXZaf0wZVbX4gPmh86mp86hv7Xa7kYkc2wg398GEUH5bW1BRuxa4ty1TE5q7DMoIUzpkCS7rhe8
cNvmC6qoYCIVOIm4oywiiWqtDvNlAtFBX4vouXkE17AtrOFvOvG4xf9I4s5PDjHcK+xwxbLX8QQ2
3D051l7o1Q54Sv6TUYbzZQAfu5IYcw9N2C2xTIcBBoW4Dyqzl8pWv43n5asV2fTOOI2/6eCEvyoX
kW4ZicKVzRfoQjp3yaMwLjXJgKamhYMhLtUfCym/Y/SeERtZRvO5+d2VwmLOZqACsp5/1szd+6St
ScPQ8oM+dVQ2rehOVl0Vk1wfJlV2zLy1zTkorWOUf43pTyuObSvbh+Mx6X9lUfk1Kl/SiZ37WcWc
eMHV3fSEL76M07EG5FuVVq+n0X7ViASepN1i2ORXmQRR7mT/LVK93ApO1aoEnNyLwqBq4U5tXAWv
cuMcUYbHc4lKj116d3XhJl+s438xjP+ulM+lKKGWLkuIlabNMX9s5whQuq+03UfsS6v8bvIfTIHL
ZQa9sNdg2ze+EM3ZikGyAJRKcfxyEN7ToHPA5u7Uu9E17cadTq1NBJZj8525ELg+EhdPWW/pchKO
8uRHZqW4jTQBlRhKqiB1s+mBXEjhPPCEKPlM0hHLSr2W2ApiCys7acJIdyvndqEyfKFQn6ssi4bV
1II54kjY90J+GBTNTkNbrelalq+kB3Vmgquxqv6nR+1ieZyhgs+jyXOO5YE3KXOsc7g3vbm3m6+3
FXPrIQEmG+NRUFShAJZcn1URtnGa98vkV3Pi0OnAaniNIhqYTSGAqwC8B4YrSLoWMklKVaadisid
nKxacZo+ILoIHCMSwlm5uAKdih4ShLjqazRg5Cw99uXT7d3a0mz9YiGcvUprjUUdgQwzfA7TnxIG
vd0WsGUQLwVwxzG2I3ASCgSgv8qcnQGzd+odbY4AikwVwGqCB2lzPchdAeCIIjhAi9cHk9adMigV
xNVHyRFRQ2weyMWPcwcyxXqaVQN+PPNQEvwmidoIRL/PHcaajZymBr9P7gs7mB4mjCeymyB9U4Lo
S+/8wV/2t09n05Su+KT/t1/88ZimOfYYqO5byQt4gNCYF556o3GGQnfNDgxR3Tvozsr5uW5atAjK
YFdtB3uOvgu+Y906zjgAhrJ+BZJ8FrDe1+fWhpHWp4aGC5UnheEwXa3fTDOJTymZ82in5Tqd7WSU
0VSm5HLxHMY1JtW3qaJMx6w1LI8Bp5y7ktbIGWjZCvOk6+V01+vWEKFNrBb18W9974opxdbB1nzC
QJmpmUv9uKp1B5hwORTSr6pp8gOJrNkpQz32jUUVgUE2ha7WBlOlAHLiC54TmeQEjO+IqNgLGd+s
7tjUGuKe37X2fPs8NjRxxZEjAliz/Bgod30cDLNZ8jGHpGxSNVdrYuqlpK0cBAaWQOs3FgXuLrCm
g/AWsS9/8pFaS4Mmo6sWs1/kJgOec7nDUK5Qup9p8eX2sjaeIDS7opkEqZIVxsBp+2y1WthpIRrv
mfwVmVe0WlnnFZKnVmc5XVwQaQjyrxtvOiBWGAW4sk6oFk+MzVApArxdkYFksKJ9sWQYWozhdscB
FHAd5pscbi9wU9y6kUgoAzbLx/ZxaZbVWKJ72AJlpooiidRrh0w23yOjFT1PGwcHXNKKZVEBYf/E
upqYBWaqjbnia1UI8uDWiafFyYBkp9rype1FJaets1NApIeGEfSaAqd/rZJNHRu0R0M7uJSWfTJ7
fddabpJKOzMyTp1Rfmuo8v73u7kSvGAn0VcOgtBrkcyIZBkT2GU/+6MW6p+ibzBu4pdC9D//QQ6O
DE0nCrDwfK63T1oDE20HxS+zl1LLHADVe8XuukbwOG7capgORL4gBlbWbsjr9Sik0cusZyBarOJv
hlXvx0V3QX8qUMKtAjzQw4DXgrNBRVTKHVXVZR1FQ5LiE6leAl0verdAFLZXJmXamRYzdvPUd++m
lUqgyWXRkemmiPVxQzvXEcErGRbmS30iVxhINkUJaoW+ifbUPmP73Kz3ZhTd9xbZxdnv2ye4FfFf
ieMsC4Z3VxrGVyi+kcpOjaJkbTSuNv2ECbXy7EDxAFEtcqaS7mMMIv17JwvSwfOPFkf0NmpcQDTN
StiU4GP1K6WyjRBP3hIeRstEu/R9XR9yWfudS7UABLtxIfFeg+tmxd1gIA8n1NTUrsPuK35Rxl8w
Ubf8WjL1KMlfKj3fq7QWdJ1uHaiOvkYQWECgzt9/Uynj0GJo2AWxk1umaC4P67ukyfZFF2Ggqh4K
Evhby4PjCpTvOmRI5llsSbYQuaIF8aPYWWRUQtEOGDX3LAJzdHuXooHltgptrg9jVAALAxE7qrDX
l7Of54FWqDn71TLYK/GxdafniVegK7sgInKujXcCiJx/hPHJbrqMk9kYHfEHBuwPUxoAmhDUFkkS
P/ZMNE+RszsmCH2Av0ZCEejSFTXOacqi9jmoV0s1aLXeidMHA9mhcXq9vX/ceX0IAasJXiLgBdcD
u94/VG5VI9RaNTDHN8MKlrGzo+QuC48glWKV7N6Wxp3W/0mDEwEDA2KiD4z8RUZA7tqGGWRSg2xJ
JHtMkx0Z8m6nJYZbo4C+9EyQguBO7H8FAj+NPxiliHb26+VZ09RiVLKiBmirS4egRaN+mZ8iUAne
XhgXQP2fHFhOJC/X8Hnd5ouFqZhwl1cw60GbqoOzlrZsNVKGw20p26v5Vwqn7HUy6mnCiBrEqJ7q
3WElk5yixsbs59uCtlQPGE3EFphPpH/atrwrmjS1VDXQJNkp0FyeVLoN7ozbUraX868Ucr1pEfo4
8chhOZqu78fsDAiJTZXWFmJ7RcvhlFyKAbqsNAiC9gG08RQ3r6YhMLRbGgCGz/Wmgt8Ai7pezDIv
id6ruEgdWoiR103YQ6blIq6+reuKpxkJaxTsgHnk9LmyhnHtntOCwXo2owddrtiTBXL+mrDnSFLB
Q0Sm6Xj7mLYuLVD08LOQ/scLwq1MbeohZUDfBWXb7sz2PZSeFhQzgBxzMYJof1vYlk5cCls/5uIi
meHU5WktQSfIfZ181+pj3DqhLiDj2FqSidF+BtrBYVz5kUISA3kSrRItAAHOqz7tFiBKyB2IP7ye
iPiqtmSt2DqE6IYOL5I7MjVvEgy5GrUg/pKwHxQvYKT+Lnq2S2vB3m2oIFRvJexGURvB7noNLvaO
aNGsmVNKgyhc2iOafIEuyTEJ/PYJbaxntXKIvtBaBFPH3dq2NZV2AFl1EJUDAc+NHjCldVADBnka
cmF6En27LXBDJQCJxjBcEFQCjcSDkfRFy2iWFkZQ4/a5Esb/OUaj+8CcAxM2i+gMNqWh0oyqEFjo
CP9E9dnYVVUHaXOvx4WDPB/GPk16Pg3ORBbzJwgsY1XwemzcauA8QVWBR3FtQeTs+jAk6qwteKWk
5l4FJcYCUF95TEvzXIVonotagaJs2EPMZwJdOyJRoGV5gHFTAB1VdLoahOAJotVbEU/OMomSips7
eSGFexNLtV+apoLdQDueytBOCQd7rFBq+w+v1dVyuO1L5SnTU1BHBIq2oJFYqd7oiBSgETZCYNyW
8hs4KmSRYONRSru+Yo06xtWQRuDs7aeDtgTSnDw2EQNMIMeEgbOlAsBX2Q3m4rQm82f9QR1dKXLi
2FsKsP01jSrwf9e1XWQAV8eDGBgaAV4mtPiB+/n6g0pStHJYh2qwWIjRwj9zTpzkDMqYJQzqrsBc
lzHy/v4+IqBAVIEUHlAo3LlOTUUyWtR6kIP+xsAgSZY9F/N7jJLlbUEbagro/kpBDlcD/Vzc2rpy
NuQe8yqCWTqb6BoFByQVRGMbOnolgjOZ6TLXKEj0NIiXJTmYJT1mcsaAec51G9amEqxow0Jj2o4J
ijZDR4aQ52aM2BinxATlM6mSyLfmurDVMqwEFnpr3z6YpdcOp3VgxLVOmDPmevUs04OoT+HNgzmg
TcAhLAqfN+6CihoIlA73AeaSE9NROPEzJkEEsbZLDYAv0bG9YKzOoL3IGAt9Wxc29BzC4F8jaobn
wysdSPQGMAS3eoBo9lBFvTOCxL39Wc4vXR7vZYzWyV7/g0RQI6BBAOSE6H243kVMfo+YVkHiHJEX
NY6z01CoL13bG2gOxwRpI0/iI5slyV3A9OreFr7xIqgYrgw6A7yzVJM5vSznLAqTtNIDqu318E11
JUcevHE4pSIs1dYNAGgMOXkcJUa+c8ts4CaFstTjNkuqXZAf0xDbedg5mRXcXtKmuqClCTgxBIAg
fLzeT2qNE1KcoR4AWLXr5fdefTPapx7kNKOoVrslCjYDVRhVNTDAgDMcVgdiLZgoGqBH636J7Mmh
luCA+GzdanjX4a3/yOBOqDeNNFeykgYmm/fp2LxEFFQB7XtVFk7dxxgwPh26KHxME5HJ3zoxVFCR
Al9TugijrzdyKKcxqqyFBgXFTJJFNVwyho7eWw+mkvy5fWh8petjmZfCOPXoo6RdynSmASVhlRxQ
SZHlHQYw13cGU6xfyjJSUEYm9NHK2IkBFHUvdUP2Y2aSuY8VE0mZEDoeOV1GrK+3v21zHzQdPJ4W
/g33+nof0nhUkI/JaRA21a+5/0EiEARExY8iFM7qXX+Ke2WRgAHNLVjyVjJsTnfTsGn+95nAgDgb
7JmS4oal4fW95CyKHZeNPVTdez8Ve6K83V7l1pOBMabIcKOqBKpCbpVaUs4UpE40AHb9kI+Cp2Jr
Dy9/nXPm9VCXFJrj18E5Ad6UzMmXQ/5yewXrTeA3D/lOWcFNBI0s5aLv3ly62QSLbmBW5wgA7omc
/kv0ja3BZUd4Cmv5CYOh531eypURhIVfYS2Y1357EVsbBbYkkI+tTKZ4VK+VLZmnyFCaxgjaeOUy
miMPAzaEBDNbW4WXxoQ+64D8Get/v4jgZhpWWTdPFImqQwxg17N46vJqHfjTuBTBqfKMQQbmxCBC
lqKDYaILyUp2oQnOinRHmshpJ/mYtKMDDtG/T/eApmkNgzF4DJeI8xfGPETiYrVbVbhrU8tVOsPG
MF8yMIFt3no8LwTxaVorZ1LGBgKbBcxzycAZcScpSMhJrS0Xim2pgiTj5qmB/xqpYZgHjG+6PrVB
bWdTqS0a1LVuo3t3H5khmoNFrM8CMXwdW+kXdUwXiIlbw3woOmX0MKDrF+Z0C3ytLZMD1kc04SOs
AqUWZ3IkzC5skHw2gt6I7KJPnbEVcftsXScT41MRgVogr5c5uzMvQEy2SwSbINUOGTtMMQoKktq9
cO7PhiSoG64syN1xOHz76lxPMWp1Eg0M+XWEv720PqhpMF9T4Npv+BxXcjglCPtpGYoUK8pBD2M+
AcZnD0bhGiSYjUGQL9jQhH9loc2Y8wCscQjHclU4uVdtAqiVmTqm5v21xVtJPxCtIE+ASiC3oGWO
mSWneBpgKDS3Ussa1JZL6yjt3NktMUQ94xtaB1410MKCkReuDZ9Ct3rFDE2CxEvT/0IPl1Mqz7cX
tLlrFwK4BaURiLRCDQIS5XuWnzsVANPoeFvGpraB5B/c4kiPoc53bQqyoo+6ei6NQO+Piv4HTRlJ
HXRoX7gtZv1Uzohjr/4VwxlxjamK1A5YSk6TcKe34CME3wazy0pJnK6b34Zq0I8NraznOK8F5o6v
2q4+oYaoGRNc0BECrBWnfph/HIfAcZmBjnYJwmavZGD0fkHEaYOIz4vjZ1K8DfoT0wbBJeM77D+J
5kwTaaRmSQyIViFTUftT2y4HJc5cA1bqVwm25CicdpGqeaWVP3RhLnADttdO0EihEBDGoFvy+oDH
DIOhGpahQReERMMUnTA36oQkCGhq7oAt9QmN/bSuwdVmVk9V9u32uW/dETwyK1cz0DAgw7yW3uRa
xiq8NgFhHchdc5I5iSyL3N2N9xOlQAutMFBhZCpWU3fhhSxLlVdF05oBPEN7ar+D62k/ak8peHnG
ZD8Of24vaivGQGEBHHTwEVcABXcxdQCkpCmUTfCGuNP0nJluVYHA0avl0MOgWbenrbuYXyQ2vdSN
3VoxmLVEhZUt841wDhMvMe5m3dvrNdfdAG3tCyu4j/p9KHusdUzJzUXtOFtiQGeFgjxSCuiP4Xzh
DM1jRjQjRS+NdDdazEOvzG6IdjWlx4gIrMSWMQL+BkE9JFL09V6vyRgajHodNRrkUw0SmBL1yLxT
9WNBaronmNEluJ1bBhY5BAOlKXT4oWx4LW+epUjKEhWBqQVwj6zXqo2cPljTUtFYrs2VreylyF+j
LY2fq2CC61G3GFY2sx4tTQYoAsZKsZvoLk6o4B3kYUUfNke/EMZdeb3H0N4OHm2AcYWgVxjnnHq1
XoG1TsIYJhfsjMxmjda5apRUO2UqdjpJASfpyZcqrGSwGFTzflRj4oyhoTyiP7TZTXmjnhAVlZ40
pwDKJyKOjS1LsW4NKpsg9aD8iJAYBVu5BVt50FTzC0aAH7FbgndgWwQcK0z0hKPAF4KyuClnE7Fy
kOT0vVaaH7M8izBdW/dl7YJYGX/XsTncfSFR1k19r2Pv9dHJQ+VgDoM/maETKS1IeeK/wxJ8HDVy
2muQggIawj1Og/OsSEDsRYOlGJV7XV057mZrPGiYrPgznyYW3DZ9W3qMsBXdp9BhNK9wy7OGuaPM
gnMag2ZIn9Gh11V2B3JEq9zflrR1WLgvIPrHwuDScUpcSGhcHavVDWZGsp8tXEtKGxFTyOZ64NSr
YJVF6MC/HHUHlAStVxerHA8ZqcB/CJq+GlFYLkLSbC7oQtT6iF08UqaeJMpEUYZEQzFzEwxxtM2C
itAXWyYNzigIwXVCUfLgXB2ytltEGKcVWGFNbIn2nR0bCwOxVigKiUSiuBMax5yhqro69RU9jAU1
7SEBKi2fFoEfvJW6xKwwtPmjhoVGbH7mZQi8YEa1FMFX+ZiyP5LRuzQ/5NM+MTLwDWa7/yHtS5sk
xZFtfxFm7MtXIPbcgqrKzKovWFZlFYhFCLEI+PX3kHPndoaCF1j1m57pbrMeaw8Jl8vlfvwcjzwl
azQZi66B+j367chbDfn1OmrgofMyGLVYdSw784m71ZOZgu7TbqJ/4evIJmYqgBkpLLlGWsdi7AvU
alSzeDBStATVv5yu/ggUeB3PRAOzsKvcsW2LxOZeOTjnvm4PwuPbLE6eWareQTri5+3VLIXAT6bk
bLsQbl5PLkzlZnO07N/EeNG7ejvjr1c1dJY+0iwGgv/OtGcylzbyhB5FGtc5i2qTgOa4BLfxplgD
5K9ZkTx90lTMpCPxPGu6z6aIDSHq16za3t63JSsAdtpAs4Il5IoSBmvUmFYi4uldeUfIUU8Mfxzq
QAE2668toSmFiIdH8vzqm3/Jp1CUuJOraPN7iEGNIcCj6xXyMRu3LUvf9eq1x/+CPyCDRH0QVTx4
oFxtir3EGA2eeuehITs6echA8DWDUamCIe9+l0ZcrGRAC6HWwiA6vN1ACRxig5fro0Dz1d1QeWfL
Ln7XpAQ706CsKYMsPGkBT0U+iBWB1c+VnKIpuVUK0Xpn3gV6AY5deAYoK6faZz8qtrn9xRZirYX/
zKyFYClC7nK5olJDVuGSzjtr2cR8NdMTv7HJV2Zau9uGlj4WCmkm3hVzu1y+P2IvrafU4N450343
9OhxZWvDWFHpgWO83La1uCjQfc7GwDElyyYjJWcY1Ri9c9JFALlR7T5fI0BfOFPzO+3/TMzL/eTp
eZYSaEL02DfPDNAo2SZgQVYTGhKRrhyqpZ3DY2h+v6CuihT70pQ+kLIWNVbTOz/7zDhW3zgmlKd5
vmmtobbkesCpoL+soY10NeFe8Mr2enSzzj2BwmSQ1puH7Oi2IF5GR+n2N1qqH4DV/x9b0ptszF2e
jFzFDhZBeZx+AsHpReRAen+jgJlrjWJo6YP9Yw78+Je7KJKxqhRQ558dsJs0J72+G15s9f32opb3
b2bPBQgF/Wr90gjGGZTGHU3vLMSPhjxr5rfSC0XT+V7yqJt5OKwJFyz6BvjF/mtQCki9JSw30ScP
iLDEd22wimmv+fRUqXd93awEv6VTZUOxaw5/uEg+KN0+uXzVq9qINpmHTvy5EV/76knUbXB7A5e+
ElLz+dCCmRMdhMsNnOxhbEpQb57BnRZo9GxVQxibf1b125fW4mCUBdkseDKv2ksUk1Ot1sDR47TN
Q4BJWeRxtbynOt39ixVh6ABPDbTL0C+7XBG0GzmdzBh+ZzxjkMuvSITaSvovOi9zgEAPAe9vNBil
S4OZbSU8lcdnHoe5FXSeXzpfb69EpsyaUz3YgCDdjKmcR40ul1KWrYnZSTXGqLKVbbG7zcHV2ibg
Js0CMD/TO63IXnTd5RvU0qZAgDr2SCuH7rpSUx6zUetDc0qnXZka6sboc2CzDHW811PQx7SYyd7c
/sFzdivVhj+AHChmQbUcKMbL31uDqXFoHS8+t5N6H/PkiSp3NP5S9P3OQmtq9L7ftrd0GGfgyH/t
SREtztKk6sGffAbE3gPHNNrUTfKWrImiLL1aPq9Lzk1VBfulWXF8Ti393Ys1KAxlZchROQG0Bez4
Gp4u8TZrcp+ba3WBpYMDANrc3EP19erguFORjzlmt85EvIFfzVfany5bq3UsRQGQO8MM3hSoqkiO
5oDd2SBtFp/L0QEttiLynZYb39vaBKGoYq+Riy18N4w9zdMsEDSB/Mf8cz4FNk3oXtymCDqWFenk
T9318ym1IVxG1zSJFy4IvMZmjAbcEfPl0i3ksQmoYFYo5xyih2YF+slyDLT+buznYeTAzONgqtZu
9YVvhpon2A+9+R2Iq/1yfTF1i7FgznwORqDD/FRJ/DWnXLKBaflZmwxlayzv0kbNlSFTRlM5Z0Lf
9Rguiam+9fLN7RN2bWWGCqJoPKuWQx5K2r5EqzHgzuAYOs5Xkpq+AZFR3fzrAYZLK1exNNY8IHni
s01FEJtVmK7pk107+GwBbV8Lo+oQm5E8LlZnWKKg8bkAtaHxGos0VNr7sn/6N9v1j5nZ8T85difU
MjZIhXNEFX4injkdtZjuK+qtUQtfH6HLBUmhlgyNSToI8J0dsPU0YRpaO283/OVMJi4gdJrQhkW9
xnAA1pa2rSQNEpBe9+YRrTJ2A1XdOkBUZaBuzI2VbGchP53nrWFLm6FOKA5dbh43hrbUGIMXtNuy
e1THPrDMu1GUgVJs7fyp0L8mQtkWXrWCDlm4Z2fL9swgb80IT+mz4eXCGmZhM6vmp5Z944ZPHagv
lFtm73QjmtJtUwNhR9zH+InyrapsoJ7hDY9qmr+asfuVl2vTatdhC78Im6EawEdiEE+KIFAEsgyC
Gj+Gun5QELETO+irIy6f4ZvepUES3vbb+V93eXEDGIMCAqbHMC+Ck3659Sgu8hYZdgzKIwRF3itp
mFXMXMk1F4LJnKbPah54zEO68tKKUNQEZP0NtnlEuMo3SAn9em2qcGHnMIaCuwW5nYW8TNq5yiG5
UBQE/Kketl4TFP0zBpnnRJCN4Tj+Kp3323u3kB1A3QH1bYB1wdYP2O7lsqCiZLa05crZqZqBb2pF
A0+BglEZ8KdM7fDT7nmm+5j3KL8qaEx1QQ34botp8db7eyDD7MCegysc8uZAYF/+FKvpa8WllnLW
SgvN+bp+G8x+beBQppKeowIYSHAh4GmMvunVy27sB2+sDCzYLXxdLw+mA8UkZELG6AZeuy0oqODu
XSN/xMjCtlMwr/X34EH8hBnJC1gXWPflp5FFHTtBY1c5C/2Y8RcorrlNAP2O2592yWE/W5G2k/Ex
t2LPUc4Ke23cJwPqqmxasXGdM2MlcyUICQo6VvKh6JSWazzJkwilE1Lsdo74llXh+KX6+5FHFGdm
ypaZ/AFFeMlNJ9AViEkrkyhLdgAPhzm796Ys6PLvf79pn+1Id4bT2F3T2kUSpRmAb2N9rOfZPbZy
WyzcfxerkUI2meomsWxsW5ZNaI4cq34fW7ZPU1DRrH2iRYd3dA+H2wTo2VYlP6iHmnWa2yTRVH0v
jA2INzPN3RuK9mSZh5QVYcafrKL2h3Oj14duqNfwdzK9+ceR+/wLpI9nQ/CRJU2bRM/E9oFEMHxb
hOW5OxHHT/OAEZSOAh4Hd0FZr9yOSzuNW3muD4BY/Yo1oNaLWaCuT6JZb2/cZM3/ShwO48pJWDpt
4L/HUwdlUTx9pYf7BO4HEDIYSVTwR8Y2brdLxYpvLqSBIO3+x4R0zwnF0qt4MpNoLiIqBvdt48Ep
0t3q2O/SLQQGGaCOnRmuJOcyHginnZTwNGqfRnJsyO+Bn1pWByR56/hjrJI1cNCciEs3OKLI/xmU
3zl0ghw0V9s0orbt99PvWsmgIYgFxjMZwl2lpb4OKvYia/zbx30pfs3zuTZK8Sigf2R1n1Leue8K
ZXkYzjnb5q6FNOlFoI08mujp3bvdGj3Z0if8bE/ykqotcW86TRp5HRhXxvOUx/7MVLs2yPExbSnv
KFIiVJFwq+NvpEdJDaqJoaEijfR8b40vrDml9i/hVj537gA5QypcJfc6RClppE0/BvqlUbZ12e9I
/S/OxecfIq3YIamKARY9jXh/KpIfjf6cDivus3T0Zql3G7UmXKiyumjhZcOU6kYaMfhJG+uBCiLK
tl/rVi35CnpiLugyMD+CceHL9GTodCPz7IRAgyvUqh8Dq5+1cp9FrdO+5e7X24655CifjUln3U1N
novWTZG+g2VyME+59pRyX2/azf+fIfl2KDUgjxonjQjJQzb+1goamI2Gwom+YkneP0yg4f6epwxQ
8IH2lHy1tjjNRpyJc003XqZuGy1kNdibjDCdNl68csVePchkc9Id22kgDCVjLqAsYSK/C3QaaunP
yfmV2JFua6E7vo9ka5EVJIx84QAzZKjgjMFwDqqWEAu49BKdWcSyYkM9T7zeFgoEK01XRHxQygBE
RYeWqH9uf8Alg3htoUY0d2sxWnVpsNQ47+281ICcheQatfeF+uy0uO0sEvRkTfZvyRoeWyiyoV+F
kQ7pI+qicmphMO085IQGVuP8jKm6jbn72vXjmSTm2qNAvotmOc15kFXHewBQGxkw4JasahhGIM6T
mgdOb91RY3pWleqIunaQFN2TUcebtnZXaiHzZ/ocPyWzMnhgJODEHnOYRWLxx0OS4qnN8+0Pt2ZC
CtEZOC/wzExR/831Y1m0WzQ8V46cHBln+AOA6Ciw4xiBC0D6WpwlKesckkReUm4nx9vhutgT/nJ7
Idef6NLK7DOfLlHT9kgfF8jN1aGA8mYVUMMLSu1LUeSQAUanzrtHI/LLbaNrS5ujzSejoG2M9b6F
UaPDTGsCJGi18Wpt5TTPG3TpBlgaMKAgQQRmEq2MSytjbk5ssGDFpI1v8DpwGhFgmrTI1mBZa5Yk
b4i9kSr5SJMIIqeoLgzqBvos+VpbfXHXIDFkz9xIKF5L6xEW7YaGwYoFGSXqgdelDlfv46uaAtwO
hcoZ3YNji8q/ZKVWmOqaA3JhMTiA1SeK3zgYPi6emi3N04+Z5xzTcyE4I863veL6TMEynBhpK6ph
oOe7/F60oBAx6Tx8r1QvkdxkoH3NTGd728rCLqJKgawRuQbYJ+TqtU3NpIlxm0WeTg/gUPBbLTnk
9uNtKwsecWFl/uefPDxRUj0HB1kaaa67Sek3Zh/Tlm2VemWU/+qBOH8uvN/xQETpCWWnebmfDA0G
ywyzRGJjxG95B6mX1A0tembDn5o/lM2PTtX80TqIAWMZUMss/5YY5cM+CsJAsWBTMeZ2aR9gegBh
E0pwS2phCulTOnwbvwChv5Z9L323eQJgvpnBaWVJZ0xPSrfxUrwksnja0R7SBr2yd8ynv/9uGESc
1VKB/cHb83I5A7CDbpEOJNIsAmYXJ9Djx0YF/nlNw2DJQdAVwOMFbAKYa5ZCYGtT7nTuSCLL3UGE
8ICYkaqQDB/ildLn0qkCnyiq6KA7Qw9cXlFSJzmFXkIUG+kPyPPmvqYmeXh7264SNpToVYDn4IrY
PXih9HVAUgC1cMryqOy+leO5c8C1r7WHwty6ebUF/COY6szHE2ZtKOijo3UZ5WccNv6wIYA5n+jL
L6Z3o+omhpFFijP6FqQUJ3en2hhKfxyUaV87ZOewoCMn02m2aluHvHjl2Zp+yfUmA0A460QAtAMg
l8wWxUkcM4XEeVSdabRGXHNVgsHmYvAd1Qn04j/c8nKJ1BRMyZykiJISswwHD+LYcTR03R3p872n
bnLg78iDk7Odm+6gfvPopfuK6WdEnBVnuj6EmPhENxivbnxk80PP8FO04SYBuU4/ltFY/DLYO3CS
tViJaEsm4EmA+QFlaqF/erlYokOhwAMGPeKvdfeo3f81Og27Cf6ffwxIETNNC6sCP3EZxZblK/WJ
+dqIhPs+Q6H+9qlYXAqYdTERh4sUqrOXSxmzuC07UZeR6IaDiPd2RR8KUznctnIdSdx5q5DOA3cC
cLN0bfKp5U1namWUjvbRRH9DL35CVeSpHN9vG1pIDWAJZ2yuTOARLRdcHMLUZIx1fJqiCQiYSbvX
loJoJT9WXRNoEECyTSSR8RoqbukAXBiWXu9TYrujksGwzaJU1H5ffSPmkQ3mrihZkPdKyPCXPIDC
vYGLpxv/IHW1US70ottbID+DZ98BdRqa36AmmNmML78oSKkA4p7sMqr7zk+yxE/E10ocbIQe05lJ
qFc8aNHeR/4PcDIgvdLCwaztOiiK4Lxp4zeTteAxLxjlKLUO9kEYWhZMGi22WWX2+9srncOmFFbx
/kBAR3sJKYYMJy+qXhnApAPaQLM72gVeAk7oqiFxzZdBGVaMLQVxcIF5uAjnkhfInS73tS4sDkH1
ieKklEhWADt5NDNGwo7FYaYIFpQtabdWabYhJuGUXeU6xR2Uc/hBq8p0n7RjHroDLVaGfZa2H81Z
nCtEDFAxSaFCYPCRjjVDSPfonRlb30q7OBhFfBhZ/FDTR54Bvnh73xd9Hby1gBbNDS50pC+3woKu
+NARm0aO9jC8pmLXGwjvQ71D47dOdn2d+lX/ZDtHXWv8GSSTPxdHtsZIuHChoY2H4aOZwQ+YKsnR
qxq4nCSmFdTtMdA2GbW70SButXKdLIUu6LpDfwNNYNwpUtbQamap4+1URe4O7aDnwgnVlS+4FII/
W5AOkGGNXJ9UWEiRghD9PZ3O5oqJD+eUjgoKR5j7waAH0OLW7EWfLsVGtLpAeYdGk+r56M6Yymu8
0cUvc+dCs4Sy0Iz3eqr6gm64fSyKN3CkiVMMetvyz1i90gfQM0zDRrQ7gReXpW87FV2W2261sA/Y
Yg0HDCUuAK2kfWiVDqS9GqZz7Wzcje0sAwDO0ZSv1VmvZpURIdGNxjwr2NncWfjycjOm0uo0avYU
T3uz9B3mgnddDYAI33TWUf3JyDNDd5xZQR6Hyip4YcGhLqzP//zTp/DoNAmaoi6ugq/KfZjEg6Id
c/L2LzZzfu14qImiQSZV7aAwmI8AOCIsxAoeOrnfQosgS9dePLI8pfuxl/M7HC+EeTBZOh4qhZy7
kiIUJNO+YVBvSx571P4bz58AtxLZPWe7bBJ4wVaB50aUbIFBBA1aADFJn7jH7Bshj8mwbYdAY50P
jYYdde+0mB8VsdKqW4gXeBmhOgy6G2SIMrcoaQW4p3SHRkUFGijLxUxkx/I1UNDS5wUWDIRE3qzX
I4MMmDdMQ2+bNKrFWzKoOwLG5mryU/fP7Q98XRRDT3ym+cSUE7jQ5LloVStyN2+LKqqdLx4Ar6T5
48Z5MAKI5v0UxVnE9sr5XLhuLyxKUT8b2iJL0fqIXPDJ1TSsoZvM8j96XYa9QlaMLR5S0DoB3Q3g
NYCQkgNrKSQKJlNU0TgGWQU1ZvZcOU9e04Sct0FC7Oe8O/DeRM3CPNdkpTay9FhERjGTIuF+AXhe
jhEFEHcowyCXq5hPxeCrJL2P3X5bO8qTYOMPWiW+2fVfy6GBsHszrVw7S86KU4UqOOjMkOJIATsd
SdyngElGVI2VbdPW9GVsFHWllLBgZWakBUgb7yVcptLp9ey0yIo6Z9FQN85GuNNwKDOuraROC66K
qgiSJ7zs5yE2aS8bxa49pzdZ1JmvRfIAbeVdrGp7jWhbjzmBI4CE6P8SNIm4BJgcUI0AmOLKk5nm
eF3ZHMpJdVTmrRvYWmUEfW+u0Y4uHAkYgHeAKQfFug8R7k+xvJhSmihKU0cgSPmqFhuS9HsnEQGx
f68iDRauxwtb0r3BzMytK1QHImtE+3EyT2kzHi1PrHj+9ceC00ONekYQoVAggxotWqqkqSmPVHPb
dYOxN/Xa3PIhO2YZe9AJ/9G2qr513HRtdPM6k4VlkN7OqRZw/TIEp8BBGCFPxqOxPFYZnkjeAypB
SpaHhhep8drEz/V+zuaAQJgHblF7n8/Gp2/Hex3IM8fmUWmHTX9SqgeAZlai2MJm4hcDvIaCBLpZ
8tg1h23NK2gbaaI+AQD36DY/cnICgeQWLb4fFdkYq+nN9Zn2Zo9HvQ6ofCR7UuQQXOiQQshabBmz
tqPI9EDpANC8ff0s7B6m8I15+BBVFpQqLnevtzkttMLuIu78UqwztSq/zF5v21jaPYzeQABk5l/G
nX1pwxN5TRxmdVFmaKFKFCSqeXrsmyI4QiHlT84SgI3WJIcWqtXApXvmzOaCAgL+d2kVekN2k+dt
G1ml8Vi1HtCKxsHrEx/Nnzq17iZC/DzPXrs8De2YhH32kBXNSmBeqGPMv2IWQZ1bvXjdXP6KEiLR
WdxVbQRlhNAeNrgo/a7YNON303jQFNWvqj6oMRNwe8s/ItblQ+HS7vxNPp0KJXdrIYa6jbo/wg1d
08+ViIG0Zwqth/QZSjfpZkB3yvA9Gjhrz5SFW/fCuqxQVCaThUsX1lWivvH+XYhdkpj+oDUbRPGx
2YNMCxw4oYlL9/bCryP53EfSwIYIkOEsqHu57gHlTSfrOSzTd8s66OKQM3Q0O39qms1tUx8VSHmP
P9vSL22BDDTP8QKAh82cTDsWP7bmMxWgMYAIBpihx1rx2c/vhnikTYKKxl3p/UITkovNsOJma6uW
ntDmiL5+k/RtpKf9wfLABgEZeeut1N270SQrxhbeCvMeoxSOsIT9lB+hEGFwQHJYthGzC/3dNYR6
RL3IG6Hxq/I/3dQJHpAxbqdNDnKHznfjTNUgh8dptTV70W2mOCvZU92iRZWUlvmzoRkrfDIUzpeq
pDoDMUMurM1k6+RsZlxvQlDU58pOUwtW7tLK6tTD0NiZcXIVmj4SQ9A1xnhZyxcPIiwSmi2QnEAO
gofA5cdtOi8fdGvEx/XVTbUb9tmjsXf28VHdQMMRMhC+6Hb26Uv1006gJBw6K7Xpxfj1+QdInky4
MXCLTm3UvrJsa/rJWd+U+WkYfk3qPqs73znwOsy1lYT1+t2DdRs6YCmYTcCwgOzUTGR5l2LdHemK
gNlx7Hc6LfeDE/cvThkn0copmjfy6hR9Mij7bk4r7oFmKMqGGko/9V4HDsfRD7lThS2qjuXwXJpT
ADnx24YX7le0ODB0gD+jwiqTN+GcQnpL09uIlLoR5EkufKufku1tKwv3KwoUCESo7SFllu9XxWp5
qzpFF9XlqSXfY/23bqxkegtlPDwwPtmQ7hgnThw1gZZRZFuvah/VxbHnG7Gp6jsByoLmBCBM8832
u5Pe3PP6LQEA+/YiF+P9518g3TZUF1PSibxDln5Mk+6eN0aY899pjpnoTXtyjfbERfe1zde4GpY+
Iuo/cNd5Zh48SZenlKWN7im87iJlctUvVYb0BZMB8bfb61u0gpICKvFoEqFeemkFHDVJzXTeRZZV
qYdC5/XBwiTxCjxx4amMqh4SWBBAAJGJ9sqlmZj3Wcxyo4swu7c139ydHVQBJNqfjaB9oOaK/+vz
wZIP3mdz0t6lRt92jOhdJAhGbi0y5GCNHbofprDTcGJZd8e4Mj1ilBAj+4ZGT4Ydow6kuV0Awh6y
maakDVHTUB8wvp2hg126h2Kg/VZNJ7FtFMzhmnpcP9e5VzxU6gR69YSsjRBdJ1gA+s94dXQPgAy4
4uIf8fQxG+L2Uamw9N2oizSggmtPlUi0u6lhMeawjQLMBtBqAAEPm9qjBjbZX7c95OqY41fgmfUx
Kg2mPfm11RlO34xZIQAfNw4EvCQ8TQ5tu8aWdOWIsxm4IWp0ENXDXy49RElHALX0TuCkW8Vr4rb2
AF4XgVmH28u5ugQ+7KC8DL7nuTglxWRDoXkiRi6iGl3osDDKP7QHI6BZjFCpIlV429ri5oHU7r/W
5lV/ylX1zLVogoQpsj0aB55dKJupAMs7R6Hkb8Pxx8LQZpqnjDEyK20gzWs+xHUjIrQc/FqPj0XZ
hw6ZVi7v5e/0jxnpEq0B+skM8GZFqWt9xWh7fNR7L12J+4vbBgIAEAnrc7YiRSWidoKRtMe2ZXxH
IWFp1/woXG1z++ss+sI/ZmSQVueZudtjrDRq9d9tfxQQEu6zL7U+rNhZWY4sbOjkE7MUC5/GxaSy
g25G1nS+3eorYW+OahdRD3UknCGUI4HuwfChFGSZl+skjwcRqVmdfq+cGIymKY97X6h2vzGBEQ9j
oo8hpMXWqggLKwRdFrp7oKIAfEl+0RcMKgZOWQxRpzSBW+AhaPONhqnp2x9saYUgUEWkgLoFmNXm
n/HpOKUawa5p1YBi1oaZkd5AoboYtICnWFrnAiZerk3uLPjITJ2PSU7ANZA0S5uqswYcgvo0ADVi
lH7NO8h9qtlvklaYzRjacX97hWvmpJvL5YbRZ7YYIiHE1nOmxm/BH+CzuBxCK3ZX7uWFw4wBdzgM
qiOY2b2CT7U6p0aqDhEtyr2p9js0t/4WPgqn/GxCOspmpwvwxelDZBcvZiPCRrnPzbc4XpPHWfTA
f5bycZl+cg3KO6CydWOI8uIFoiQbLa+hQzKuBCZpw1Bq0TEng4wMJSXA+OUGYIpXYe6YtX6izMm3
qhWDFSNtp/C2EyxbQcMELNBzv3x2kk9rUfMm7pyc6yc0RYedTuw/NiXlykUo11H+sxZUxmYLYKeR
PXvIs6lr8X1OFfSmmM/bbHqiKh+fzIY1m7TS8m1cWpuEuRz+1+R3SlUIPxuyaZMOYG9OwfR+ZOpk
+5BsHoLbWyBn/v/762aVlFmkA/jOyz1wyYDpAV3opzSdMLGj+3rq7XLbOwiNhmVxii3wRJPu1PCz
6u5o7fjJ9MzLnauj7uSsnJP5kH+KrB8/BlitmfsGEuYo9l3+GEVRs1JB5x36EEHXvHll5vNqF4+j
b+crppa+vQ3MACpqmAS+qqqlqC81la5op0axun0OXwuKfGArfvyh7SWvCHPywBnCx9D6kCJpQTkr
+y6Bi5WFvq8m3dyLOO331oDtJS5Vo8lss7Byk5cqxne2UqHuhNEdzDj/Chq77tC5SDr5CPEmra3r
LQTuIAAheiMw8W/2Mx5j4J5yJXTbQkeNF2y3TawVG9etlNAzJnvfW5A8oLTWwlYoz5aRl4e012Js
q/radIO5BRA33dx2K+kC+fiQwHhpmIwALPWKpLV2qrwXk6mfanDP7DtXjU8mY/kvM22+i7J399AQ
dcOh4Maff2EYL3GIOQLjcCXTl+aeUbWJp58mxd7ymD3QlG5Zwx8dddwbyXisijXO+iVPAn0c6FQB
9IWIgZTpKqTjQ2oWxilFGRdaXsehGde6S/Lz+GNDMXOGwRTAuNBDkNNBEMeh0G9A1pjuxmZb79Ln
5rs3+ST2xbv9M18TBpRrR1cGpVWhs6N1egyDmTH4SbnRfiq5X7zZX3LiG2/JU2KEXeyvEUIum0Ut
RYNiPJYrZ9cmyx2NQ3/4JOKnPg2Lx/zevuvNrdr52gOoO567J96uXAMynus/awX+A1HHAdWvTPHb
UHMYVEzhnZquC5LpPiNhJTaW+uJmKHFnfuX5RvWcqYpfZH9WUXOLIRhcmtA5B1wciDKpTjhUMSS5
RayfFMUFBVVmYk4f1KhTYLpJeSgrEIP3qj1tJldrfvFEqbd14lTHKjEBnvfqL1TREt/WWoAsCOV3
DR++3D5U0p3/n/3BPBRITlDOQxy7DMvEU9CSUVAr1Zg7RVXZdBvdaK1dZYi1OtBS4JhHr/5jCgWv
S1NAqlDAaRPjNBkbm6SAaB48HfXDojogKbjT1x6OcsVEWhvoHy8Niny0uZ5jbZ3JjmPd34+luhVK
/QCypG3Gq4DpJ80otoo9BgBzBpy+3d7cxRWjSTW/xyFXKKt7ozjeo/1KjJPZAHDe1s0rU9VQd6Yf
zM7xhJmSHSX5SoK/5HNo12Gj0eFFI14GNdhqPChJ5qonYhzzwd3FVhKYo/7gTe/tSwJ9DyM0hvvE
YSegZ8IJP6R2xG5E72v9+C24F847LmHkIJCyllll4sSLaToV2skpyy2xvsaNcqpB5EI2Rf8wAl6m
M/WossfE3nOAamn8lLg/1DhZuToWkg9knejR4huALO3q0eMkTWGYQjvF1QO+NMJPvBmnGDim37lH
1mKO9ACZ/Q7WXMxFob3tgbDz0u8gEFcLFuvayU24b2nDtqTjzmX5i7AtHz0nI2YhgQpfoXf+YJ0c
JwlpmZwH3jwR2m6Uca0wtHTFzDUAiCsgGUa7QnqB9aOdlpXiaCeu1s+T/i01MTBelF+8Hmz5I+he
BxQ8vGQ4tMaLTtfQ50u7P1e/EAZRL4InXO5Hl9t25w3Ix3pF2ZbjUWvyDRWFj3l1bQ0XPaeRUlKG
WtF/baEge2nL4FXqgodGO2nNcXxuqS9M33ux7+z2SFabyAvpwUxRhCkx/GnG8V8ay/Dp3YLl+sk0
IIfSj4EHctn0/ZzxrxW6fMJO7u12DEYA0TgGFOLzCIWU2yFm6SeApHAeL1QBTZHhsZ7dZbnZeThg
qPeFCrVRInOKtT6FXA3+cGl0u1BWRHEMaYoUu3VzIBhuIXi09fFOS4DBtr4avAlsXm0cIz1W4Hbo
47Bv84NaUz8eTnU3bRljf9JR23mIQIUgYH54ryAINkzlQWMpEMTqAWK+K8fvOujOSZQDVkrAIvAM
kKJ+YTKoRuaNfmp5J/Dq2tTJN9JuGuOgxiFJnN+3P8CCOeSiIHJCXRdTVPI8v2FnisYHPLJY0nuB
GMFnxK09t6qA9JApbfmIC1ysNSAXkilEU5Aao8xr4avLmanmpRShTtPBhuBtqP2zjAFN90LPyu47
wOSd52z6VdTvZrLR5qJL3q4hIP8fv2DWf8RsDJRupX0GIYqnCGXUTwMRGQYeqkPG4rtOhQiy+7PU
/qRK9iUR1sFRmt+omeGep0E/9Lvb23993ud9cPEgAYgO1CxSbBnSgiYzY83J/lZaziY1oQBdbjvA
YTrP2tf5GVCG2xYXgumlSSnEUF4lZV/iAWQpXReS3Ki3zjQZkd5mYuOOUB0zM5O+NyaGIHlhFEFb
EtdXOramlT4buox1lz9EumeqzLUJgrp+8pRM2Q5FWj+N3lRsTd6r59uLXggAsAVWDCAVcfzxxS9D
na1kTV8BzX3iqbnNTCCqbZM8Q0aQ9lagNI8E9OSGXw3DhsUVSNgfCsWfnls7sOPHcti6wy+gLEYN
IE+UbXMf8i1rn+X61r38hdJuJEmao5uq66ekit/NlPhQEgJT42Yc/Dgejqz4grm2LVFfYvdQlndI
/xLtgeCd1a3VxOWuE6Ll5U+RrtuJg4JxwmaeOuAev0CgVlOD3jiIfl/UQclCnq1UCGX2vv9YBKAe
Q29IccCYd/l5wL/kgXTW1U+q0QhfiEdb+JO448z1M0s76O57nbG9BqQCeqC03XLt6wiSljaFBmS9
HZNTlwdusvKrPlQ5ZQfFz0Hxd67CgErj8lfVOqsrheH5DHmn4qs+kmZDk34I1XG657GhPE5WRmYS
XifK+gbT/h5VN0mrnbXYAauaaX93ulaEXmy7QV2lRUg8t9+nXvOG/9PJw7P5CRIUr1rr5MfWKei5
+h/SrqxHUh7Z/iIk9uUVklwKau/q7QX1VhjMDmb79fe4Zu79Mp0orf7uPIxG6lFF2oTD4YgT51C9
fGBodu9mYNoCcy2X08h67V8EHS5WxVNJ4LLFQim/8u1xVD5KINPooz64PNeaB80qs1aC2rWfDC8F
KWWtap4Ptgn376845JV88p5LlV61gk23HHQDXFGRPZq7tkP/1fbdJoMSrq8stg9pDFnXQEQzcQcD
nAcwaXxL9NM/4sNZPdV2FCcB2bIRlTaDzu+odq/z6NY7lhXkF6joltgwxyX3s55WR/TBwce1GnFK
tQ6IjWwBnDv1fkzNoAHU3RZ/vBpKk1XRklhpExlfxUYkwNWPqg3XyMPUmHAz0Tkt8lYbjQhci4fW
1EeftEzfMegzBHqWyDrz1ykYWsvwbuhBgzIAWfall1fzqOVsGM1IGb7qZubXMvKjjTsOAQP0jEBx
Y/bOE8IJ6Fc6My0mM0pAH5HX7a5Fm8awnyE+yLlLjgX1+y+34z3/k8LJBXUvWNcdTHtg0ldYU13W
o9MMuRmtaOEfS0PN7wvWgd2QuFqgsjwPG2Y3+9tGt+ImrnK0OpBKAWIk0sLYCGKDWWRW1K31V5Ab
nlqDfEoy77gy9tiOUZpC1HvN7sxkkISqjSwO71TAaPFGRMFDLBPNXuW11uiakdfp3mkAYXgI+Xcw
akOqd59RYNt9TD/86aq0k8QSHgOFnebXKtdDQV6Kp/Kl9ySOzVzwK1pRMXo+rUv46udukVzfGy7K
R3jAOIWEGNPpQpYEJBMKUehjRLQDJ1oKXhrfU1rZaNfWJgLxiJYL19wAzc7lUuZSAaB7saxIHcZo
Mo3AIT/m5ERSEjZLglKtVEqJb464eXhToq6GtyUQxMK6Rqhns6FxrWhOd+kLb7Ig7qg+NOeHBY3M
oPv+XsrKpxtHAxkQxjBdA0NGCDSXq8St0LOmLu3Iy96qcq/SQwY+iyUtg4rOkh7Dli2ULkGijckN
zxBlr/W5TRmaSHbkMP2Q2WjJtRoGrJSDUZW+R77+/fn7yO+gEYViNLQkLpfGtL5VBlNzokG5B22z
NYRVdqhrKLXq9HlkbuyZu7KWaT9euw14VLGjmIDh01QfJdyzq6Vr3YxYS+JEZTKFaaWNwWjhveDZ
EDGcp51tlHngdbNMZvP6THzweeNUwHUwxCUcPFB4rDXeq26kd3TZN1p+7GguE6Td6BBeWhFq7YsC
tpTarNyIteSrkVJ/1cBQouS7xK33Rp/sIKn6NH0xAHL3SNQnij+S32OehY2MyPXal/BLENOROaga
piH4ZzjbZkdpc0VlqRs1rRqW2T1K3s3CfN0jaENKqhLXN/ClLaHZl3h9O9q4K6KK5E9Qz8Iz3A6N
4rEpVlnQ2bg0uC2UV5EQYdTTFtZVzJPZWl3nRhrfUmXMfmRQLQR7X0N3LO1oAASpfpeWNvANAHzc
2y2dvtw+OFuu9EF4APvotIrVkZnWSzJOvRspBHyB6jBMvtGY5uG2lc2VAkMBQBvcFYBDwZf6KTXV
tWJulOavc9P4pLT8wngsQbU6q+UhT1pEPneXZ79uG976mij6oJiGegOkvLhnnXmO7owza1LscN2W
7Wmd5vnZStV7h8zqvWFP6unvzYG6xcVtCK4xXCiX5qgC+cWRru7Hjagoj1P3PSN4vGiyIsrWZzs3
JEQAbzbqpW0XNxrB3YAnM0av/NtLkVkQvhhEEhc2lbCgmpHufV6IxCW2QidXI0P9ETfRFUX6DCy9
qQyqG4Fhxk9+j8/s0VgPoHeyZFW16xyUz8WD7wijVLjaxV5KVVKrnJniRl79Lal8ZNIs3RVLGFSz
P1l/N8OLxwaSMIxjIv80VTSahfCRuR02rbDdqKQYTjfrpAsgcGpJgtR15gWxJDTvQSyB7i5GnC79
bBxsNndd70SV8lbParC4dVAskqXIjAjO3FAoVarZ4ES5Tvx+VP1Gu/9/GxEd2WCVm4CiL6qKNNCb
B4yo7UA8e9uXN1aCVAsvQE6sjnlLIbvzNDzd9YWo0ZKlR1ApRllLg9bsdrfNbLg0XlEINSjgquBI
5UfqLNh0+jRZGebxIzvLdl5aPzZpTE2QJZlf1gKUz/0sQWNuRDcDOSvYJXAn8krupcGlWssVEVuN
GudgW5+coDY635NVaLZ2DzoomG5E1gg8Pv8VZ8uq1HRmS7mqEXLn8ehmxY4qlbMns6zXs2UIsBeX
P2ZAmXF1zaeKqg469g9o9++d3QYV8Z7GbpJEnk0zaKkC/YLAe1V3RcPTBo00zBgYUyXOPclfmfX2
966Ae+ejngVfELN70lC1Mb1ejcp28JduX41jODZ/xuoL1OFk3Wl+iV0+JSC6zqV5QUrBlc34gs8/
EB5FLvqgapQ+DMn90Na71rZRrLtjkqfmxp2A6Rl0B3nYQT1F8ASIHa5q7gxqpNg/zeQdPNG3d032
94Xbutd0apIJf39dHtz6x7/7+8izeEEIaftHlnK2Ucas5YXdjpAnddseQROsE9TrjrcXseVeqG9B
Gg9c5ehvCLG5tUrSNbmmRrT+UxhtAI4xKLNJ8prNT35mRIjNiaUpgPPoWMmYgTp4fIQfpxb5Yajf
MR8gSQW2wsz5ioQYrfdpSsdBVaNh7A+G/qOamU9turNk8q5bARQhGppIfA4fJMKXjmwswIqO+HQR
uOprP+k/z+sL5mcNe1/KahebroYog1sBxV1QOFyaSoYUD9feQ6zmrEwrmORlYIatXbOAiIaWCZ/U
FWHfpjVpK574aoSJwh/6YL6oEFMwcr9I6f62x21aQoTG3QNwEmLA5VqIYq0OQeMzso19afpWi+co
+I1kE6hbX4dHZ7TjwcGPxtSlGZeOEymR+UQW83z2MGihghqxNjrQFSJoVkty6a1zhG44sJ94W4O6
V4hqTUZJbaCEEDkJtPDQqcb/J6xlchcbSJsPQC9uG6SGwBcIl3aZA0ZkORnv8Lf3VTpHGbUWP6/c
/WDd2R7zhyz1NYxIDXUaz2qxS2TS51v7Ci5akNOAHBw5oxAwEj31sk6jWrQMg2+yz7X75FGYWg6d
vauL59vOIrMmOMtqNzZGh0ogTEvid2YT9qk6QbzUd9P9qixhOxi1JFvdClYoyUBKgVdmAGW7dBy1
okWnQaAoapKDCWo5dxoPuvcn74pgNOeff78+oNnxoIY/AEMkHGy1zemIwQ41AgcK4MpexFCDcdNl
l7c+MJi+lRWS8Li5PMg8gqQQow94Z14uz85TQ5trOKoOYLAORoixgsJHeUTVGUmmDDWxdSwA2UWE
xEWMbFb4fq6dr2gV9lrUQA/CvtOTeyuXkHFttImRTpzZEE56uWa1Z1H0qSBb4APvheNnBoP7adK0
3WJCDKk6oh82Zr8GGefF1l7y3A/5jIWxUvGGxo3K9B5TbryMt4I8oE5/TbYSQKwE6aYkbG7tJJgo
oGmKlJ0/DC+/m0ZGgy0pbNkgUE+o9blqm2DoS4n3b5uxUBwEWTKnPrw0gysIfCgaQ9OvfjYYpvWo
PxUyTtGtKwDOgE4lUM0oCPJ9PctsUIdsFfRhtGhK2wDyj6my+J37tM6SN+HGtWniu0A1FcV4Ay/d
SzuV3fSKyd8Cc0FXf0a77qjXvUwoYWM1PEzwYhEqRqZYtVlNbZnralYjl5VzmBpmHxqr5o/pvEvd
RpFExI0PhLcNiosgw+KiloK311NtGWRCLmXmr7lzv/YvUpWobROcKgNBEG0G4dAmeDCxhOGGBiGJ
B9lr+75a+hGiP73k+8gMCWuZ3Z42LRYb2c07+Hob8rxYkiR90wQ6MZwllQ/0Chcm5qE0PeNrWdbK
d5c73F9+JdNs2vQzsFtxllQcENHPSiVTMjIRLTK0BEKPi2ee0DX9cvuq2HQzPNPRMUAYAM3UpTNP
mG+xqNZoUWFOw65JLBooppUch5X0vzMP0Nrb9rbiKs82QVkNEqHr+YO19yarZpUWqWvLTtC5W3em
1eYBSj0qakUKCZ2stKDd2sLRxxxjFZregLtskiGgtlbO680qKmOQjBFdfvAy5DxKjpSjzv1Uv++9
5PNY7WyFvUiWzJMX4W2Kp4MLWAceXS4Yzi/3WMfw4QL6Ty1a9x2mlu8G40gK/0A/IWUcJJ65cXmA
i54jyni1DzH90ham17zRmWALyC/fao7JggQD6r5O0+xN8+32yjbyKI4oAHoRVPsYvBQW1mCMeFZ7
fMu6jMoqUlxAcu3vK2t2rvGZuZIYtW0NzS1Edx3YQP7vZ/FdQ8u6JR2W1uEGLkOQP/aB+bvtdpqM
RG/LNXBJ/Z8lIcIPQ47gX8LSCLFi52dTfp+sKbArybfaiiJnZsSkt5i8DJy0SJp69wu4mgKV/IDM
9+1PxH+q6HvnNoSom87gnoWkIvzBdw91c2BO+DCsAfs9FZLVbHkeUk6Q8YGsE4dK+Dyr57YjrWek
Ekaj79x+rULTyboTUlQWVGWTPkJiS3ZLXi0PGElkm8DOAkuDNrLg7j04QZ0cGIhIX1dfT9LTlI5f
B7afPe80mo2frb8nSj7f3tOr74YyEw/LyDEAmQNI/9IR1S4zx27UlUgp60elPeVq+eJZvSwDvQob
3AywsBw5wh+c4pMBdDiKZyZKVJTtTvM+2b+hq9NiTgqjd+meZe1priTF1I2V4SpAIxcDSxirEd/r
FV0x1GCqJKaAIHGZvHH1vUnikjIjwpWzIPiPLdVJnKknkoXQEDDcr3/9hS7WIWxdAsFfo7Rggtg9
9OPeJ5xgmfDC1fXMH8pneyW4ntJ6eNRNC4ntu2rf/fWdgb8OUAlOE0rOfFrv0sfGrMCfd/AlpuoB
NX3f+uI534p5n853Q/2eQgHcHf/erXndnms6odGMAtSlydY2G0jTrQR6xUA/ex0Yh51gHiVh4iq2
8oWhrsTnSvDDVSG2TilBK2iwSYwcO1BUCsxH72vl3TK+3/aBq3h0aUh8RqmVays9BOFiEK/g8ful
zOLEPmDwMFBlCK9rj0YliJMAofCENV1duoligMnSKuMMx6ZFB69I/eyvbwv84XMjwucZexMFkhVG
FAKeKg8WlH5fln99OGEF07A8rXWvmXGTxcrHMTfLeHV/gMAtqIq7iki+zDWqgi/lzIiwlGEkFOVC
o4ydFICpcgrH0tl1Df26uOO9l4PGeko6X2dmSBagEI0OI4ZNGwOnGMxdg2EkWfli6wPa/P1rcnIe
jPtduj4hQz2PVZbFHokby0Gb6tDKRtolNkRVInNdzJxoJItn73unegE/wy2T1allVoT73qTEq/sO
K+nsN6tvfChwMb3zbx8tmREhgk9VvzQZNwKNpQxiM9oy7KwslbzjPljYLnIXLgEDqAQwPjhcqA1e
fpVez7IauuRl3I+FT11yXJLUpyZojQOX0XuVNWENMgowA8Ra/QV0rkbR7ce+BF6bBrT4A+c5qr15
0rPGX7tpd3sTrgMZ3udoO+MXon5uiN/TU8nUAMdVx43ZAzrsKHTPNLsMMsh7hovBssNte9f3zaU9
4ctClSXVqEPqGLqoO3PtQffx/7QgfFZaMLIOE63jmaaBbf/JZO+F62ztcgnCtTyqyUIsC0tAP3Nk
nd/lsKP80eznrrZ3KIuG9iy5SGW7JtzSIAnFk7Ip6tiorZ1m3Y+OKtm1jcNw4Qf838+eJd5UdzVL
8jpm2mFevWi17iwqo7reNOLg+QjGX9SeHOHTLFZG0mJuajA+4iWCxu3XsUEMSaruz997Gb//8UTH
gUNX/XI1NFNrDLi2dVwS0HxiZj4zHzAdJgNDbRwetIOQ3KASBNExcW5Z64HjVjA6HJfQG3MC9+vU
Y9ZSRia/ZQVJBmgOuHqfKz7x+6HwWIasJqZKWDbqM6iZ38GGBsy6DIyy4Wb4MhibA/sPehjioGw1
YRB5tKs69taqjhKb6Hsv6z/f/jYbTsDbnRpqCEiOAHy5/DYQWXEbszTrOFfT/jRDc/2nMk+5P6B8
JwvxW1t3bktwuMmlOkrDsJWtb2rbnSzr24w72axklJTXsDg8GlGx5WUYZIVXXJzDuKByMto4oY6y
L5ARBCtlh6brAsModqMKydQ2fSyIfeqHp9sbuhGPLkwLG4qiUsmZIXCq0BX34fv6rkAqSupwKH57
eec7ShGzbJF1uzY3F7zMGFRHsgj5h8sPqdGk12hX13Hvz+5zofqEHJ3xdHtxm97yjxHxlQqCCHCJ
jDjJKjiCk+aN5RARrpxR1tnacn2USlDWx2gw6vvCJgInCi0TtsArB2LeGXU975ainf3bq7nO5nkJ
DeQhfDQEMrD838+irO52FjWTtEH2hL6gUkazwx5QCfuVYazV90xd8vre3D0Mg8AfoQkHhqBLe0bN
zAqU/3XsZnUV0mWtQ6Xo3H2tEhlp2dYGgt+QN2E4r5cYC3vKLLszaBN7bXLo9R5jr4nFgJG5vYNb
KwKsCMEDEFTMSIhOx7QSv6Bu4t59WmwofuIl1JdjeNvKxmJQPODQL+CkEN+F7zRkhQuRn6GJTfUA
HmdY+Bd5FwojSAnBCA9KF/EqJEOuFKQb25hmzZNbF1FN1j+mTv5YlfHXVzvoLjBEg5cBSE/Qvb10
AlaUtNK8rIzz/IdSf8GrwHSeb+/X9Ve5NCHkuFzXjY11XsZo9s1j5mPIQqvebtu4DnOwgXkHFGoB
NIULXC5jJZCp6GzYKMb2lNggSH9rp3s3fTGKgwp+GlXiaXxbLvP2S3vCtoFVGG0zHfY81CvU+yWg
1dvknlSZZOPW3iEbgioeauooxfB/P48JFP9BBb+MGyjZVKkdFdm9CXKG27t3bQXpEIjvUA8DEwwM
XVpx8zq1lWou43k2w3l5Gc1qJy0mXX8iGHENNLMNZEXIIi6NtC2CZ2vjcT+1a1DPjm9OmDUY3zMy
Bxi2rA99XUjWdX0JXZoU4vaw6IPDRrz0c0sJtOmzA5QeHGKSle039w9MoyiVotwDOMLl0gAsyuxZ
1WFnMsMSE1IemAakGNqN1QB5wBlNP2gqRNrypcElRG2njPWmCJxEw6usRNFAfZV+qusIhyh9ZkmI
o8taqs1gwZLHvmTzvTfJtPquDQCRBTUBJAfoxwGKeblhuqtoKCgtSdSWx4r2+yWTwfOuN4uPI3Hw
J3IvgD+Fyw289obW9LUXKawLqfI5LVcMd1d3nJ399uG5ZrPhWCyAl8DdgoEkPP8uF7OsWgNCxzYB
jOJ3New89TMaHuDsT3x98ZVVP47KHYadFXf52aCS0Axx2p2MIQst2QDNtR+ingV6Z8C2ODRdnNRr
co+txriC7mxxp7hxxiJcJ7QJOk8tj5JV8w28jIAgluM8WWgQA2rpCTGDdDmwr3RI0AsZDo37ZyB5
aAz1cVb0u7ksnuxKRSW/98fiJ0iL32o9l0yebSwWm857FB5AqlfMhhOo1nq8cpSoMcadbsRZ+lal
slrTdZzHAxED4kiPcOejC3j5beca/MHTgAprayZ7z559RMd08fYL+c6MH7e3dGNBcFQ0Qjh+wMaT
8dKWa3Wt0YxpFoOz8WfhfK+0Z1pZn28b2Th5CCC4KnFHYpRTJDls+3KgrUXTOJtbtltBdgbOE1OG
U9nYNvD54j5GFxOuIcZ6vWDtuqA4DbTdPVhZHoz+ITeftXKE6OrP2wvi2cOlH+LViw43JNU0TD0a
Qnahl+D6J4mCQp077krSn1CcTox+D4XgoGjeW1tS3L/+SrCHoXr+lXDCREEURpAyr8TLoHG5HE2y
xlajRB6ING4vS9xBXp1GeQJT25ycC//z0hkyc16djDIUObNyjNpeadFCKqu9WivIncEbGuTYjb88
Uhi9Q+EFEwbA/eC/RcnWMk8LE6/QPO6rO0V74y2l4f32ukT/gwnMwnL1Us7QeNVY7JPMqXSa0Zg4
GM+p5/Q1tUrZmPb15ll4bIBrCI6uo4HJv+FZ1pRNbg7ZwYHGCSBsLrAViaOHyzj9qsFYmEMi9faa
RJfgawKgCPRhAEs5WJZgDqqjqgUet9jpUaIFk3yO2ZZvt22I2dOHDYgGeqgpcfVAwR8c5mZ55800
hnJ4sDSA5NQ/7PkJXAb+zD6VnT923//eIiZ7cZcg7cTjTahkrqWelY1LC7Doa786lq1PkM6dHl0E
9l3bd/mJJPZymNupP9C2lzFyicearxe3ChidUL4AY4iwXnUGSW2n5kVseuCvyAf32DDr6+BOOzbN
B2O9kyY9WzsMjKDN9xiDvo5woc3dYGYQTClid4VgCyZ+jSCZhr2pto5fKDQPrMKow7JTEyhMjb3k
vF9lEVgw3uHAJiOMoZYnomcVpjB3tooqXpmLZDVru4OlFWNgQi5m5/RTc1CHpg2p3rCj1oDm20/n
3DtV88wMv7KrJYQa9fhSD0kRZWVXvxQQUJMUkzYOL+bzIYqGFJdjwoRYO6YWhG8MrYihdEPDQjG7
74WldJK6xBVv08dWcEFJEJgASylOIoFGrHK11oVq8VvdvOePwDvWB/sTiBiTe6oHDTQD/hjK8ba7
b8QMDqsH6BHpDI6YcIg9A9J5q4bP32jv3fiHPOjKXfmav922suHWF1aEtNRkTl2i31PEtIpSJEcU
iurOJ/BhtVbhqzKaH1u4G/+zkf+sSTjCljE4aZMbRTyU1hxMepeCu8ZSw6Qw1jDth3R3e3UbgRBY
EdB/4OiC9EVMLsaUUs7/U8RLDbZG3Pd3pSm5frc+E5YFpifOm4K/dhlrrYKyHieoiGvWQDxVzb17
PIrIXaUVzlOtF6vfdLJMc+ujAaSCYIi0mnPfX9pEBSkbaAl/ZMnTEkJR1tfWX6R9z//c3r6NCAR+
fdR98GIxUb8S7CwuaVWnwzO8HxUMlUJx7AVifv19k1RtuEyKdUK5lTwstfITqFlZa2zTOmeC5W9m
MIwIzqJQTKeDFqeM25nuSTGBj7795rTAZ3fhqHSva0++V1TiMVseiuQa9UcPpTKMgFxu7WROLXCs
NioPCfV573Mmz0n36oa3d3bLMXFDoxeDZB40m/zfzxKCKrMGZ4KCXVwMdz3IaIz0vpG1/Lc8E6OT
H41cTByKPG+TYbFpUbmNzHeOAC9AssDp/EkmT/kxqnKe8fJTDdloQMH4uwTo6cvFQMzHnLyyqeKl
ecogAlilagAK7rx/NlRfrcC3V+9LBkzB9y4ZfKV5rL1donhhZ6f+BD1LkhgAWQ8OBqOzx376qpEj
NF7vmlX2Mt7a9fMfynfsbNdZg58/5n0VGyDRRcMa2uj7lZaSb3vtQnjMgPeJy1ui/icO46usXaaF
Aiemj2/0xcCbe9WKI6jJZdfS9XJQnOcklsC4gu1EDANDy4BmbNQqnsva18DZpGg/W5b76loHnBPE
moAnGsibRl9dVcE7nwKduvojs/ZE+X3boTfSBeimAOCKSxIV4qvHYjVhGGyxE+Bxuj2rwuSh8A7D
+jsr75Ag7MkwHctVB2c2JObm342VPbdGFyz2+5Ttb/+SKwgDju3FLxGi1mq3jaJDPCm2nZ25hEA8
PbJw3I/74kSe3LvxZLzUo09Hvy/2Tf2wUh/zF7d/w1WDTfwNwrXaGMCDgJsaJebd1ykkAQ199nV4
kB29D5DM5dG7XKsQI7NuUJRy8BAjQxZq+zEeTmaoffL29R3uujv6nN2t0RgNRyd8AnvsXjmANfiA
s3VIH9+P5WvnYyzqOB7qXRWCbXjvSMLp9U2F34f3Ds4Cf7/ZQpxr5y5vQYRaxS2l3Z4aK86/63SB
VjB2UK3cCHtiJ2FVDbJPsHEKYZnXSHS8GRzxyWWsRW7reV7FdFX8oTm0LOgKvx9Ot7/0lhmwNwFU
z+e+UPC8DCmlgrRAndsqVq2iwMsHqhFmfd9BNCuTlWO29tLG6wOyWHiwQkzw0pSHWO56DaLX3IGs
zwJYlI2xkURgUgMep/1mUVmA4T9e9C6ePXGuXMwqiNMQq1ssgFCRKi6gz6a2e2X642Bh+fcEQ+yJ
hoHyAiyxaWxpx0ky8n01s8BP0JltsWKDYchkACq2irv1l0cOvYYCdvqtaAeoCflt/czmX/W4T5nk
RSG1K0SPBDptNK9h13PtvTN5u7J/qslJu/PgRxDLXhn4H5fvNbRBbnvSVjSHIA5akryThzLx5efN
9XqtxqXDUVG6PCC0ytGIR81I62tZj23Lk9Ce5TQoSK2g5n5pipjLhIFJs4ozCzS/HiHKgYElx3eS
ad3X3pCHue0w0BFWreS4fKSMokudmfaEmuJUtmsBHHsVp7YVGNR88+zvw7TXvHw/msNJGyCraIYr
eDZfvWWH9+U032X6l7kr7hO7OyzDEwr1R/3JbvHKvP0BrkZyucud/zbh0ztmZjjgHcGn9+50Z9dr
x5RgTIVzee3T5ckLZ7xZcH15ktvio2l2vSl8sg00FBB0EQxP9tB6bYVNKV9QSDk9ggM9+WzXwZ/O
1wJUVvwhKELdb/wv36B2EtAdxkyCJsj26Z7/b7pDPhUmkjSGO8HVj0LtCNV0Doq2hMg2dIPtKXRC
AK0OLKuDenlcy31dVAfit7nnd6uMJu76BGBSkH8EIFVR8hO75dBymXUG9rY4L1bLd7o0Sjw19RXS
Hm9/6eugfW4IJftL/887o9dNOgDWN7pRQp0vKei8OtMNOlWyiebVJnJLHKbMCW4xAHdpCRJFE6oo
AGp4jPxEdYkFY1ESySW74biXVgT/6ZnNyGCPQHY5HpLAIdCbP17bBnjRBUu9+sSCLBqDuIESQlah
9xvLlNTmNj8dqt6c2x2TXR+/8CyztsxpVWa+o473hkJtp92r+tvtj3YdtLBIzB4jXhmoIIg3bda6
fZWoUx1Pz85w1waN5a8kSL5SIokD1++mS0P8m56txdXbKneAx48HD2PxO6U5jPbe+qR2kmO/aefj
vPMKN1Z0aWehhtnmTMWeDRZO0xctf/V6FmTdnQsi3Nubt+nxZ7b49ztbE0mG1m1S2BrADmSEi0aC
tA2lxZDrmIGtOzPDf8aZmZx1ipm4M8BdTpDaPkangX9Kw2mXDuGs72+vSbZ/wmvOTd2uLBetju3s
3SU5CpMvBep/ii0lupEtS7iaF0bLqil0wLpYjWmu6j535s7X9dnXgXYeq32yaI+LkUomg2QL5D/r
bDf7CXpZhY0Fdqt5XyTmEULsO2s6okbhO4YE+b29RgRdx+E1dpG+ttfmFPhpC8bm9yT7bemDb5U+
nFErs8B5mrVJ4pLbq/vHoPD5qhWwj6XFpmrWzzzxe7cN+lNiPtovt91kOzqCXvV/VyZ8PXtEakVA
XBfnWcw+W4r7aRnCKf++dONhnY4e8naPshPe6RiRkvjoxxjK5S3KT8Q/xoVvCH7eQsMbvIkBXa/8
rOmpr1gUlfwOsEs/tZevjragWQEMphPm1AOZpdFmXxLbznd2mVd37qCA4lMBk7dkW/jVc/XLbDAv
4pWEKoIpnNUy9UYlmYC2Kx+yqA0Ux1fe6BN71Ut/ffo3tvjMNpeUAiBBCHWWUfZetuB6IO4hM78a
tW8kc2C/9lMwqN90FzlOc/hXNj2U8VCd4uORl6fHK3CL9BZi0bBfVCtMvK9j+6pDA9p4Uaa3dP0z
t5Ibiq9C3FGwvAFcjdIhxseEa7jRtD4ZSwTZtameiOfdD9oS3l7V1ilF/wvYDl5zvuKOmNQCBIaV
C192jgPCwFRGhE3BpD6VSeGT4Xtr/l0LlhMHQNsXL1sOtEZtTzg9Hstdpx8ciJ+mQ2AMv7X+LVkl
R5TfPmcbd2VDOCQNI/NU1cr8Aq04kBPQALzZwZh8vr13QsD5jxVQRgMVw3EaolBtpTS0SDqyvCTD
qr4SVE52KC/nx7bRylDpMv3BTpZJkhgJWct/jaLpC3I3cAhawsXbegNjKJzOL6Qzbc7Lr5TQiyXt
suzXzOx+gQLI/AL8brOfiJL0p9tLFutQH+YBAINl0FfhxScc8lZZV6VUsLNT3jy461ExYgvY53o8
jRgznfT8hVlHb/q7zOa/VlEEBaUWEhuxiG5bXbXmU768mOzFVIqQkZ3Cvk/23UQ+3V4g//2i58AE
ZNjADQKtJmF7MwoEFPHI/OJ4KLm4SbdPamr7aGqpgZGYsifi1tfECx3DaoCQg3JTuLOcki5TBZzY
y5Ia/YvXT3PmW3lnj3uPLGuBnrcLfcAlXcDEk9h1uv6LjUWSzWtaGP+3LSHCmMVKtWrU15e16QBb
zHZu6R3nofxTKPM3wxhl8rZXRwY6MGjAgNoAlDiocgnbi/pDW47tyF4Icp3FgkwGGsDd+FMhvyqZ
8tvVp+S20OXG88FCoVAsb2nG2hW94rIXO5v2VaOD6BE4zDE96bpkF69PBUxxTmCEaAyUA/t5eTXU
dBqd3uhGdLNYaE/3cNeDmcx7lvwunMZPWeMzkn1itiLJeYTw7YJzWUc4xXXEtxRt9UvDTgmlZTq5
UEtv0mDOfrrkLiOABUE/+tuYWAeprsrGpoJRAQhQXBWYlbGNS4MFHuprXWXqSwd0JnSkEtI863OO
Z/woueO3LaGhBfQbcCfi0lySdR2tc/VFz740OpB2hzxFyUKRAeA2thCDONDxgIgIL10JW5hq2TyT
1VNfaOc8NPoQIkuKMdLaOp0/5HnczPnPupQ0ebcWd25Uv9xGLSVWxoBBeEn7LOjJSU1/4/wvxs+/
jGaghAG8Cvct1gcgoXDX5kgUWbtgbeS3ColPPf9s622wGJJb4SqKfYxOcqoSTjqAm+lyNc2Q9pNG
e+2lIeSbvpgYZtqVpvZgkjEGnIERO7y9LrGoCr9HjZzjFlFF5nmEsLB01FLVmE3zBadxv0LfDZOB
B7fwgkov/ByqLLML+nHWvLYqhTjWL4n568+HigRwV9hVDmHTuU+dPaTGLlFqy17dl6FnEPB5qGp6
qDr0zcuwVl+97L2Zv+Xrc3VojWOe0dC2vysYc5DsAo8qF3cVKmkoX3wQ3/A6vnAWvaUyqqSwk5dC
6QhHyCjRhFwSe6HJcHPXcRvoeeD+0FrGVYWhkMsFZ+5SaIWtk9dSNX0j9pTHtse11AQJfZPsLf/V
wqrQmkd+AaAFxuNEjMCEp0npLCx7NfrCukvT9us0ZdoDXSp9b1VK+cUrdHDHqBD16gt1PbWa/djT
qb+j1RAZtqJLEq6rXbawwRgPRoEI81EoqV0u3WqMzGk0/J7RfezHT1M1hdQx9pJVXx0hWIHeCu9r
cWiJuGqKuR6NfKw63ZXvzuO4+zkf8/csmL7VUMltAtcvQmfn5f78JCVuvL6/PqwjrAOfhdEFEd7f
6FoCzfkxe51d6rP1k1O+EvY8uBnQWO9104U6msGLTCNIeN5wdDXGLIGiwegt+l2i/6o6ZHYBpM1e
aZuG1gJmPqvaSfaVR+8LbxJs8N9wdlKxKvRACP96X5Fa6UG+88Ks9sf3xm/eHEl9ZXsfz1Yk+IqS
FZU+qkP2ysJpCnMlsHdslwYa2zn5Tgb5kG2fcCZNS8FYNIMxZc79xPidEU+SXYgcD//9QqBQBPAA
bfiPzvjZ7hmJV7J0gl+gxHuiUfr8P6Rd2XLktrL8IkZwX1659aqVWueFIY00JEGA+/71NymfY3VD
PM2wb0zYM44JqwigUCgUsjItr9sDENB5oltd9VvhAZwBa6CKH7FmXjIFSRuebSCI/KX5fmI0yRtD
T2WMi+AkdsAY5cYGxXncmPd1kv5i8lpZ7Ec05wxyq0ZpjPpVBB+JsshmVrQn8nulv+hFt+IfS6EE
edrMO4SNDhb/c2esk4qmsjYkQSKpeIzToTRCkTE6vSmuUbStmeL83oipDGIjmBppMAoQxLBCG7eN
NQdZ3F64OqAlAxW+H/mnzqJ0mOQQ20v8jHJpo8fNXc2Uq2TYU1rslLdeLncCFa5TY43FlwdR/uWc
J7a5HIqGSoXuJysJVMOZqJOYbuGDpaoK30vhqpRtI91FHcR9bVxrLkeVBYcBKzYIfXEXnVtmuXWM
Ki3RpQ7bQjTyXVqO95Y6WDZFO4PSNmRljhdWEtC8mdIXFzVgUjljNG/waJZgJSsIdzu4Ld4LANFu
OlNZGdXCvptf5SEmaoDWD6fRuXdmvUnxIVhL6UZrg1L1EgXlWo/9Qw6Ved3m6iDQ8chZ0GDA5W5U
A8dzBlrEABn5VrAeU3pNTGmlyvQjq5+NoL8eYQSiAoDJnw8Gr35V3FaUBGDgnsgxaSpXkO6JtIHq
pT0UjasIK0kwX5n9a1wnJrkwkiqxjHs6SPjzPwDgx7n9krnm66f8IRmObsuWrW/rtTYzvhb9H6Mo
HKDhAP1ZfEOUlE1IEWNGgklx2J/8mv1SvX4z7XSnSHesc8wVGMXyvH7b47yxJloJ/DTsde3eei7o
XSyCJclRS4CzN2sYsDVj3CJm1Sg0RCnAZhpb0DTF7S8yHWNwDSFg1q4fTFwt1mSTfl4tvjzne4Tc
MnZaRVpKMMIo7AEdeChFe0jdQukdqgxeGn5GvV+hVqP1K6fD6lpyBzrVqSIOI3xW+p23ZNdJ5lZ4
LKMxIM2xg7paBzlNs4sdi1y39RrTwDyXXKKEDfM97Dk6nJy6KtqKRQa+/2BUhcyjRTchTyoz73Lk
XMqQcGFD8NRmLXq8Up6bqVgx5h3JSJAdESNs2djQfJfIdh17lWD302HtVWjRh04MclGNAYoAdnws
p+5MWxLbEMa10VIyPn9cHhkPRPlrJ54Y4o6jMoSGoyzBUPI0/ikC42B+sjdQQ/UevZGY/Zvayv71
KOf2NDjZveRIj5c/YNl9Tj6A35qiOpCxgfvkox3dQ3JXuep90e/d8qHZGDt3xdy8D344zIk5fnMC
nzl1A8wNLhSff8mft+pN4SmxM2yO1q1LPrUVi2sryW3MIm40Bv5hElThVacCGh/0KDVIM4Ymvs8f
CFkDfi4d89CinAlYobSBd61zXxWkLkcHCFa0L64HQIqyP/RXlfuX53F5Gr+NcJu+VCIyRnlNgrCU
IZo96e+xXElOMg5rQlhLCdMMHTHmqiHA/nyVMktJVkOmjQSNRtCUsR/9cKcc2/pR0/cR+V1W2/EB
+nsgmxedy4P8H5vj2zQ3SqOWQewAMdPAHG5C+lnrB6Vxaggxl5E9iodadqvyt/7QvpHWUeunSI3t
8DcF8X1d3mnWs2r6BECmyx+1vLzf38RFPMb6EvzBmI6ICKGrlWnrM4huueDrDISp9y5bW50CLu1B
jZgluZHjMKtjv/qiBqCdTa33SOtumwZv4sNep05R7Ic/MZF2vbkdJJ+kEF4Fqjhx5AkH7Z2i7Fq6
hvdZ3lnfMzH//UnsBykhmFnm1RHZQd7rzsB2nW09RrfiGqvEHBR+Bo2/LfF8axre/TQ9nydBqyR7
HKvErdVsjan+f4TCbzNc0M9VKzaLHgOyrEfZ8NJjV9mpYjPXfCb7+PPyyvK6zH9FfnDYznV4YAx4
JiAhboUmajocMcwTrWuwNW/y7mGWsBplv7Qe6Y5Uj33tHIoPsz6MrU+FHV7opdfL37HsYd/fwZ+t
upUOragilGT6Np8cDbD5jTpdUX3Ebr9h+jUgAE1R27LmDlDoGPJ6fg4Bwe8xre+EcNsKbzqz1fuV
z1oobaFZ5O/p4e8VpJsKhQI0EXRd/CqYflZvxxgq7De4rNU0v1Pb0oGax74qtqn1WyavrLMT6R4F
/1EhXtaq6OfYFqOflS7Vkh2VryKWu1NlHJTepuYIIc21Z5XlUHnyzdxh3qNLOM3wrhGoj/kvGqR3
5RXbDF7/oD7Hd2kgrL0DLp4CJ/a4s5vOikGQOidBGUaTP9aQ61RLSO6hqWdVDnVptyP6Q9HHwjkA
7YPz3U4ZZDckA5sjUwD5zkF2yKKd2N0rlluI2yaeUDh/UCZfb5zJ7OyQPYwQjhltlTk1kn2jsVm0
4rqLaeHpN3GxuEBfqlA0JeYbwrr19KoK+CySuLkw+UrzO6WmXXS/8IbhX3bOxYU+NcxF5V6RJ7Vs
sGfi6JBngQJeZiW5MUooAdzkiY/XyRCNuG5hHCH0fdn20n371DQXdYu+VAwywXQhChCfRVN1dGSF
ZMcvprzWhbYUd09sfc3/SYTXi8oiDX4FVS7ZqpjYw9qWWTpNTy1wIVdViVTjsYkETB63dJR3rKy3
Uy47ohGvIMsWr2gAm4PiGgQFEMDjbEWJPhayiNHUmYdT0RPeDKfYFM5w1V2NK1nCsmueGONCwTQZ
TVV2PYyJkM91+tbtjOJQeCEYWdN2K0wvo76mi7xYSzgdIRcPBB2P17WCmCl3zB4LR2u2lexUD9YN
hCryKLFRyTBbB20LhvAEstTLnrkUjU6t86n9UFNDrhH9wtLMNxFqQq41qDi3eqT3l00tHtWntuZv
OfHMuMiqLAfXShDlB31ymHgliRX4hK/M1haGY9cnTlTd5L65looshsGTdeXCoDQYw5SOMBwb20H5
U6KEYTmDDcKXTWJ8GA+Xx7l0CJ4OkwtwqWBpVYGbb5Bk15WYeQQgK/Qvhh0qRdGEbNi9bG95dDNL
HF7q50fg82ntQFIjRM2IIL/TZr1gNEM4Rb9hjWsGSrVai513HJ/XAQz0tznOXyMlBUecieFZaC8v
vOhKujccyI8hn4BeOarQa3ezxYCGCiKeCMFvilr6+fiqKmtZFZowGAuWrfTJZE8aigiXZ3HpAUSa
GfD+a4Y7HuQkAxowwblM6E2soCvaN8obNLNjg9rqrLr7CdYcoOD1zM7H2FZkx9DXykKLkfXkG7hz
YigsdC8QfEMPzfCNcpAkW/zMM6eon6sP5bZw9fSaSg9msa+FDE/vazVGvh33K7/9ngT0ip3PdRR3
iUBbCYeziEfWffTYZbZmPrYp0EKbEpIk6bZJ79P+aN7lz2mxsYR9QtEGOBKnk8mGGWDEk2+T8rU3
7wkbN/+vNYKw+vnnZej8Q/EFn8fEDUXXT3sdN5u2eZ9SP4PKgulP4Z2QHhux24kQqiFTZ5vlGgPq
4v7+e5F+UE1O4aB2vayjfLaxYpdBr+UuWBPnWDz3INIC3XF45Ky0fj5SKsttKUZyEliHlODFQx49
NflgxjFrfpGqtdtCcivT07rXlSmeowW/vU8Nc9tg6lOQvvZjEoTpUxv/YQ/XAMXvxcaOxg+B2O37
3WWDSy4Pehtw9OA5YqZROx9o0YwxFNVrxA2NoEXrRmSPdYQOJbKWdy+FkVND3MASOjWiYpZ4axx6
u0h6RzOfLg9lyTFOLXC7N+xKzWhqDCXVCkeGZvfUH1N605P3MvO1bk16eNEcUNEgbEPFCloD5zPH
pEQVtHmlGql0yiJzw5TarB5BEKQRB4SokquQyr88Rr5X+ytCzH3wMAxWG7xWnVslkmAU0NCEVbf5
LQRgj9VC95Yldrct3fRD8Ry5c7b/FAXOm+WbodKhmMSphNkWtXm7uol+KfeiP/0Sn4V/k96ejJBn
QJISlvV6j8cxQkNH7w6K4TbRnW6tpAmL2SY0C1EpnsEmuPSdzySQL2o3KnO5Om1F3ECEwU3kJH9E
9/dR1rPqrhrT0WZlaR1BU9PcqqlGdpdXc3YRfrOffsK8OU8yMqs2FYG1hASG5KpVY8ftrstGOzMP
grqSXC9tPyAYv2Av6GjjK5Kt2IAFqUQ5KDJLc8+KSrNR+hLcywNaLNAYuC3ANdHtjN6o8xEZdZfj
IMfdxBiDLtr35RP2nTL9KT8zQDZB29amdvIxaT55D0W3t7Zh4YEH6v3yZywN9vQruE2Sj1Ir1DXu
e1Ek6hs9L4BKFSEyctnKYkINHCqgWjNtILrkzwc7tXoX1gTJO409sHFD/EX2wCEo5LdopMK57ZTm
lXjsmo9htbr3tc951zm1zblOMw29UVlIA/XhBkoc+7AR9m3Odmx4lMV9J86vksQZ6le5+J101Bkl
P+2Oo4B35l1Xv4+a25GtJu3q3If/u1H4JhRkl0pkqyYMYhvCjgypl3SbfzVnuAwAvQvMNz9nuo7G
qGZEttwz8Ae95+LVNGlbwVZBcTk9xekuQT20Knxj5XCY1+LnfKFJW0WLqgRk3flaNZMFaXXkSEEd
q4DYUAtkFkpcbkYBUtGXx7jofaBd/K+p+Yg/2dU67Sfa9ROea9BB4MVNMW3RX/Jw2cjswpfGw10D
OjMEZrMRcW0tpG26j6vR0aPUjqMwCKO3sDc9I1qDQS1mRaAV/3tk88hPRtaVIYBLDItnStEugiqA
lhHHUHBdbRM3UnI3BjpSn45DbYtkdC+PeGkFQWU045SAhwap0LlxdNNlXQ82vkAFTZkn51rmC2ks
uCnRs38Rl2eqVxEZEUg5eQ5jAXJfaKW35lIVsxu8vyedC64qT+x0L8pWMrDFcYEBcubZgDwKHzJR
YS31kcRpoIQx1LdiQGyTvk7cNpvWLo9rpri4qGYjAC2MpUHZUH2T4jrspWmU+CIz14o5iwFqph/9
z7B07iojtqkQykSngVhUVPEas2qoHVm10fpV0k3lVThJPRv3goZaliP2CuTn+qQPwSI0SZqX4qkw
8QpdTpStQsJU2rHJiNpDY8mD7MoJwZ8jJVNKp+0Ngd0ZUZ5UfyQxLlFH1OVhM4YayW0tq/TxYPYy
KK8jfajLbSUW0J/pOrFubBBk5KaDbYSmrbXDYSEKzEIdM3QJVQEQiZ+7qzUympSykiJjKr33yS7d
z9pJ7N/oVrcJeAAub46lgxdZIa5kAJ8Drs2LXZRTiqZEs6FBZX5IerU3cCaFahgDUSEGQv5ZFyBr
ElB6ptOxHbOrPvHU9CHrQ79XPgchCLUPKHB8XP6qhRRZQSkGbXVAuoLxjAu6mdXTZigiFqhxZcuC
aGdi5usUvGeFD0IFu+hfLxtcilCw+NUvMb+78gLNSByLehQSFjR+I9kZhFAd+1N5mx7bANrl/8IY
eG9n5T8wWwLQdb7EpGVGDhonUPHsuoBt2tLunujeYTdkX66AgRZ2LjAc36ZmbzuJvHkMW3I3j4vi
eI5N4zMu4jdNYmuhb9GRTi3NX3JiSevDEGJksDTu+3SLpmm8RITjI4QqQPy1zYWrzIPku4quTLQY
P5niM7qa0dtMiseV2V1yHkRDC0y8M8srf2IzE3p6BStZMFRXg+ylg0PFwbNAOvUov1T3Zelld1E2
a7QzcbRpcp/JdjxstPz+8ocsJOkzfObv7+DOncooJ1IKOQsYa2wQm0gl1DNnaEm0Rgm1FDJOLXH+
pBeZ3qOrlwWZn9zla4/wX11YXMpwNhDOh4woGccsxIQmo2PkLqk2JH0goJY6ZJ/lex7b3ecESIIj
Po/b7NG87rHwaznz0svp3HGAzkLQ583Khufu1VA1hnpNA/cKb6udbl4XrTO4Ym1brV29Vp0j9b+b
J8g2ZpVdKxAsuy07W9oYFS6b2SpmfXFbAdAHyciZUcfi1pZlU0flEl/T7gcIrE/hayccmImHqLHY
NsIBmIBYe1X1m6FtfNbVIG9N9lr8D8ma5tu1Ag8DYTdAlCAu5OJkM6WDICkdC54k9Q2KSLZpQkyn
86gGelhX7rahFKjCa6q+9craQbW4IlB/R1YFQZW5GfN8RYYyLCvTHODf92j59HbqbnovN8mG7Yy7
znsEFZwjvluuCAa0+tCuxLUll/82/qPgKcZdlRXqxAKwAwOpUB+YuAqtnxeR9/v5Lgo2XmCYIQp2
PkCNjjXor0W43LTXC4eqfo3HDmidOtpT9WhBVNrwqjWFq6+KyCWrXHlIQ5MiSIfnkbmd23uZm4BB
z29uVCcc7cFu3fRW2Cve66650Y7Dwya7766H63ir/cldvADfJ++Xw9hXPePSB3FX8xjN/bWZ44M0
W97Xb4X/Hju1Qz6uSnQcdG7raYG1hVjaZ7m9yw8WvrE6CPe/a9fwoo31aLrACuyabXRF7VfkcxsJ
/99kG5v2gdjUufyxPBHg1444XTPOKZu8bCK5w8eCABN9Zuwu0R0aNI7gys+edK957Ta8Fp/bXeNs
L5v+eewAyYzkf0Zm49GTr3HLdWkQVR2rgAoQ+ADRpBX7eDJuEZ5QZQtR9L1sbx7J+bKg5QneCUTx
DBbjn1cKJc26siqawHzEQLvdb0A0qyfmrtVfF+pdM53orGsDolcIuXNBRutVk6FDDoaSXQyAQXtv
yce+V21jKFwh3ZUt2oRXsOHz1uIHZ4CYa65Wgopa5E602uqiMs/zJlCJdpAIOnat+KPqFL+Tiz+X
5/FnJIGemwgBKgnW0NXFuXc4MDUxAa0Kolo8glYCN6k1ScmfmcC5Cc4pTdJnhT6WTWD0g0/rAm98
27J0E1MCRmblTFgZDt8PlI2p3moJbA2Neh/R1FfCNRT0mgnOIcRCJ7nUzsMZISYYaTaJni+vyc+9
hMXHVR1sufj3D2mWuA7zstMo1qQYoWCC5qw6Nt0pyV2N5h4p+z+WWK30+67Z5I504G1UMQxZE7CQ
OIpe7kYzsjN2i3hitx2wNur28iCXphFkCSAymAWuQcBzfrwQhRiZmmEatWnUvdEgYITSxZfLRhZq
jfNUflvhjpM+qlRaSnDv0q4fQQvmpsfnsLWnvaMl7rDSEL48h9/G5r8/uQMkTZZPmpU1weiMo528
Wb+aEbR1T5fH9DP5Oh8St52YVYE9P4SVwY8f4qe1E3hpt37PGDg0zgch9ViFqEHs0WrVE6ZAszok
eAE6NVp15bhaCnOnprid1KcFAGfTHMPr3wVIeMBO+yj8U1pUnInzfBnAPUIOBWGOC6aSWsZ1ksDK
NAguKzaJpPiVQt6b1rQvr8zyeL4tzS5/sv6WFZMhl5smyDMrs0MZssVSdgDu6Eko85UMcNEL0GSO
5BfQb3T/ntvSmmZIiTbC18rIzWKg8aT3CUnZ5REt7x9k1uBEByL7hw5ADwx9IU0wE1dXUQ1Qtlx5
gpXtChMM27EnG9E1uKydPFJeQLTsDdHwevkLFsc5p9dotgaFDa/ImEQMJB2Z2AQ0fc0tDJMeo3gN
XrxmhNu4egtddRZLGKUl+HEfH6jQ3zIhWYmxC1dJaDUhnwYPwcwuK3HRKIwsoTXUEA7CPkNUlkQT
jKDUAeMjqyCwmjKbTp9yD65mBbJig0c65rU53iNycqOluSPjClomD8UUby/P8kLieP5l3AwArVIm
bWXgyMEl0hUqN7yvAHT/E04euza2vQRUsGs8Gtda5+sfZmCGta2pwdq95mfwwWfgTR13XBk8+HxD
Q9uomRkOHZr7UsuJ5dtBlg6U7Udma/rqo9t8pJ1nWXOlGrdpgKLnB01uzIIgaGOtFu2MRp4Se2S7
Kn3LLU/7FZVvuOPaQHoK7BNsQit79+fRBxgSOHVA+YK8y+JJhs1iAEmIgRbG2Pil6Ycqfb+8mgs5
KwzM/AQqnvPQpjyP/CQQVa065VQlXdDUfafbVpGK0lWX4qX/yFrTSjb4s/UuCWaruCozJ0jRp6Wx
lQXgtNzL3/Jza6GBHm99850A3aH8C7iYTlFqhvEQoEgtJS5YOMQtGXWxcKHjt8Y38TMAw5gMvZL5
UjCzzpyPuxWYFIHLcggESncqG2unkBAzBjLg7pitpc6LQ1OgBgQOEwVvmfxuHqa8NetiCABzEfdg
gtevBxDe7mRDJCuZxaIpoNdMRA2IHPEA/jDRxTRTOwxsBHUVelPpVtZyBZTUaDa8vGCLczjLvuCy
M18+5k859R0z6co4lIeA5EltR/I2TsE7Oo6D12rj5F02tgAjnXmlUKUEFGTuhuDmEC/vPbLpYgzE
QbBurUivOzvXIjBbgVDImpzIGIv0FvuYOmkUVb7BGqPaJ6VB34u2w53PyEM6QHBY6h6anlH2dPkD
f25VfN/MwIo24FmtjUtRqrYFRzVaAoMQ4OEDM9Rs7uySV6bh55x/aTyJcF5zpsPhDnNjigyhVIQx
KNHQdUAX/rjXBSHeNXmdPIhqX64g9hZGhdUFJw4wOGij5m5Jl2fop2vO3JnfP4ubIRSI5FCP1DHQ
75T3dKc/X/7xC08T5z+fi2WgdIkgLYefL0NT4Fd6iIOdVdtoAiseGZ1/X7H38wg6t8ethcaI0oKn
dgRuE1IlB1pvpGei/xqqzQCsqKneD4InNba4K0js4JHO7oe7Kv4o1bUe/gXk//mXcNFsKnQtKgYF
3bWRp7QH/U0vrmSU48o34peZI2YaaF+t9uZtZQbmDP/8XDy3y0UAS1aFCW83Y9BaL0XpVum2nnwW
+nirfo5+081lc0u+j87FGb8qzQUI7jqjdJClYXU2BUkq4/U9T0Zgq8MbKylDu5PzNQriRX9ScOgi
+5o5vnmKi6RuZor/fApaRXb15DMFt/5DuHudpG3bmWAdT0z/8giXdpsOHhlQnQNCgUvIeUQdLalO
lF6ccC3Qa5+IpPBHo1krVM0/hV+1UyvcPJbUisOh76bArHKnksJNXmzaK/T82+HBtMhKKru0S6Dh
A0pOXN1xvnO7kjY0I5BAmwLLjNi1iHuCTRuj3ElCrWxqNQ86QvLdv5jHE5vczuykqu8RpGFT7AhA
QsWwYWVubv+NFTzBoyAGJOuPHjXk2o3RJHj9ldXmCjrjLz2wSitGlpx+Jhe0ZslCHQnvuUsMKaTn
WxFPzHIzRFeRZPhyqNxTw8zcMdHUlYlbCtGI0MBb4Qanob/23BrKl0IeFkwMJhxxdm+2zW9Mc3at
ZW25cpItpJ4gNEMlcaYzBIOiyTlG1KmTWofmFAD2qOyGIYNESFrnDvQfRidLxeipa/DuaPTQoSkr
CDQbvaWvZEuLs4u3cwXZC37js6W5MUUyetQuJtRN9ySFyH2itKObonLixJP58S88xgQKd84SYI1b
zCmV2WCEoFUzuqH2JyaJtlkVgvPPraCPwABKYeY15UVWNSbIpdbHYpAb/V2WpqXdWu39/88GH0Os
VjASCt9PmSDZSddETmetvWUuPJUDw4YsR0NERIWb59c1UiMzFTbACir4e3Tb1gfDHK1dOIzNfSui
MJeaNbSyIlD7U7UCvjQadVsKo9ErAfT2tESw/L7uIRVRjpPbCnryEBUqdWI6JiudXEtbBxwweNNA
OyJ0iLmzEE/pZWYxWQT+MwzdFMdT0DUgfGoJTYPLk79sCtKHADSB6JTnzRWInEV1aolBLbSjI9O4
e8xrU7W1EUiQy6aWTiS8WoKccBZVhvzGeUAYNC1JaK3Al8Q2up4ImTxVbsR/400nVrhQ0FQM4iKI
2KCgblU/bot8p9NWXckfFqcN8tDg/MWVGpWi87GYMh26VI+kAMwWYODsgB0sJplcoySlr2zBhWYb
eO63LZ5gu1ABwiGCKQYMFQW8AJlV1h0liF3020iZxPbYjYkCwfF66ipXsUo2bpXEEmsb8vQ1nuyp
1qJERlXdFhOtjuym0tD6nKsEjQqXV3h5VgxQr4oGqnb83RQaC63QSKGIBrm02EuNob2MYl/fhW1u
rTy5zBPMJx7QIgWQD/cXIKS5LQJInFE0VioB3Sg/DpP2XpXyfawFkYQGEGTPM7akWUmploYHsqn5
jIEMHISozhe9itWpHGrY7KsiBr08pK4KIY59gCeiFVNLmQ7IwKGvhrUHnaVybmpEOtBJeSEFMQGb
/aHR3SH0oD1b9Ss5wdKmPDU0//3JxTsMw1QmZj47cnbL4sShEVspPC0cjDieANxAvQt0sjy5ca/O
V+3ZK6I62mdNvSFg97C1ngHY8njZAZfybLzQztLt2AsGvON8OGNXxdbQYTgiuM4dOepcvYlVPxmq
4dpUK8Fpkrw/NpWKl33NvNJbc3xmglKszOpC5wfKJXgDQK4KX5H4AnJB0TsNmV4JMAndjnJ6Najo
zZefKhMiCLLklHu1AcFPJLt9gRv+qF/XtPVa2t2wPN8JWTSsbM2F/XL2Qeb5xBRVbgm9PO+X2NHV
xJdpfggxC+3Y2ykkP8vxqK6BgBd8CzZBCGcgHOCOxe0XcyggLJbUsBkxVyW3YrbWK748qm8L3DYZ
cOWymgoW1CoOfYoXPWsI2j55rLoKxYzkrhjCY2n1K/eQpQLS2cg4N5tQ1i1o1UjBmH3o6bNwDZEH
O5/GByKqm5wkdt64xZg4llJ66Ki9TnM7sVYIWBdeSTC50K2WgXkGRosnSc+mDDm1gBgBVJYCnEoh
9E5qaE7WSwBrZgzFx3BP9MYPpUG3M6IclWFNaHh2Gy4Mn30D51ZGjRPFGnEOVn3avomCiJtf1nXt
89AhU5pA9n3s0052J5atCWcvhpWT4XNHsN6bmZTMwzfQjSCYv5G9OqrxPtG1YvJyUPm2xB/AZVWS
CJBlxMiAQkYeOu/XKF6Tp/Khv1Hf13hTFk4ZTClYsfD8pCBZ4nZNFSZJ3JFKCvTmqCqBUPvquFKJ
Wzhdzkxw26brZErHvkR00n9jRGAZlNlb1Js4znaXA/LyIn0PhtsoDeu1XtexUdjkACG01Uxm53p+
Q4eVhGwpvz8bE5cQIOccIbyEUNCiPlumu4r5eq06ivop451SiHtXkhyBKLcQovUHc1N0WLzErdTR
Hzv9WWXKp5aIH5eHvxifTtZynp6T01XC3UxiGibalF7jxBXDwlahYJ/8qoWbTLpR4uCyvaWLMN6d
UWLVwcuMnkPOYNaShKBGgbyhsyv4qgKWhDf9g8m2CaRScV+vwWCXo9CJxdnXTobI8kkch3ne6zj0
ihKKSZO1KSCIOkYbVXjL02PfypsiF3O77p60ZiUUL54xJ+a5ANSycoSwaTtDLi0IrpoSseuoJN7K
vC5uSkhfoJoB+kwwSp6P0sgHEOZlMKObjvy4U7H7J1B0HWUb1RqQazhr15jFLXpikHNniBEleCnD
xlGhHzLSym5N2ROkV1bEbjO9XB7e2ug4r4napkgmC2tY5MWvuqWZYxJJshmlqXPZ0uKGOBkW5y29
MRr9OMDSpDUe0+5S06uUba0frdEpislBMWrF4mIEOrHIOYjFekZ6AxaNLtuY4XbsXmqGprnOvzwy
fiMAMIfewhPJIG5oylSqMmEhdJDaFzRwOlIFyI8hFQcZ5aBZJ0VOale1cjtL7s36Ph7Dyr38CfNQ
Tg7jH1/ADzUqkwZ9zvkRF19I96WpFtupjmcLgx2gHe5OwuayQc5v/mMQIEWUKUBbyaORVbEBkizE
kFWKMnboxGwbmmsqItwCfhkBGxPwluC8BuCaO6yGKcvMoSP5cdA+lOEQ5hFosexIWxkLf8r/ZWce
CLqLUYXlETtiF8UgPoF2lhVR15RfLIdKuSNptuRY8kZ+7/KgiZOVtJy/KHxZhT2gnYEqR/MEl8WI
o1pUePjIj9GTIOzJEVS45EHUfQb8vLIZpcEuP8LEL8tNOTqD6tarVE+zX/Jeo2rAYaIqM9fFuHxD
nNQiVAQDeo/7m9K27Pkfxbfsl9z2ZeBD9sVb8lI+X/acJVdVDYCIgPHGTZo/p5R2UHrJgFwbRcLY
0JsEdGa0yB2WbGTlqojWOtyW7CELgXQ0WtzgTJwTsb7WOiFSiqM5NI959ajmyVVGXzLc4w0B0j51
c3d5gEtbA8cSNOlQCkZVn5tVqdCK3Mrj8ihXZnfdy2O7o72xp9UobS9b+hKZ4BcQxfxZQhYVEeA3
z88mCdpMemUk5XFet2jb7KJttK12PXTKo9oON8BN7cx9dGh26RbX3m0VX0X0KLrgbTvGa63rfAby
5dCnX8PNtFRNaWZSUh6V/DUXiBOaLyS8IqGxqXXBL0ptD/kVKAA+Xp6FxY10apc7oWvVnELQYpTH
YRh8lbkdMx1Q4ITDI9ZYSh2zFFwreomoL9136L/NbyoIrbVr22lhN6EBCs/bX/pnEi+L0ekkzIoe
n5FavUuMK1INtjS0tqJFjpqv1Im/yu/c0kt4vQcMBArTCnQyzpfeioxGFfSiPB6Meec+gRDZBaLV
z7ca/vvXu2TP6NPIi/2/fqXOJ3CVDvqivNCOHM0RXckZvBHixqKtrDyILJ2ICkqkkIADDGc+gs+/
Lh07gGEGzIXaTjYkVyEEk7xO2nBbG9NOJAJaEq6ABtr16eiNGt02pbEyQQuroaB6NjOAo43px5tM
qtKMmT2rj20PER6IP9rVuIulG4Lb8WX/Wwgw2OeIL+hGAEiEb3hO1FicejQdHXvzugE7hUKvarFx
smlfDSAP/GfXqnmTwRqeQnFOaSipcZuMGL1cQFiuPtbUljcTrtc2W9Ob+LmT4cPguzchXGnAxQwu
K9TqPE5r5JtHGv2SaeemWxP9t7R1qWzYSel2RXEdrtE1cwkipBJgFJhPAEw11JE17jxMhDSztKaP
j3inTL2pk7OjgMZfz+iq9Cpjcu7U6NN1WqWGus2UrJQqf/gLGPhnaXJpRsnNRd5zj41pqE/5MMXH
kULtqsdLn5OqLPQsqF7tox5Su+nYspW0bY5MZ5sYLbez4vL8Koumqq9eoJMbFEGZzKSZEh9zWXTK
UHodavCy/kP3nG0ATj+jxuCk/HkbqnU7yAZsxLGXaR46ZQzr/0i7rh3JcWX5Q0eAvHmlpHJdPe3d
vAhjemQoR3np62+oF2enis1bxMxZ7O5LA5UimUySmZERm2hj5l9jWe5TMIdnpta/nwzHoK67uLWd
HOEqD6nBiD3fWsO9wsxbrby/PCyZLW69Kr0vesMyk2M5kLh+0F/jn9EAKVfJ7Im2wiq+AiTW2goJ
3bzzMQ29OrtWqcEvspemtyGB/MVh2/wqpkF+VXTLbqrfL4+Mx+GsG+HMJHeeoaFKMQpr9Yp6ugeg
6irHcZVOVmDPne/G0K9OOwjpTXfqFBMw4C/me0Hp9vJXCOf3ZNzc+TK0XeNYCsZdOUHVbuiuuHYU
tMJdtrL+yqcNsGa6wPSB9iM+aT+02VLPOjymTdAbjExR6twtdJEtoi4xww1mpl1ZokQMx2y3gPhs
06UinqFstfQuDa7R71JW981CpK3nnx4w60qeDI+Lo5VejIoXwW6ivyfuEi6T6Y8pwNedJHp9PnA/
LDmQAwWwCSVWboTegh6KcknTI3XNOExrE/hibUIaeqketExL/YKWbyjG/Kg6NKaDNqP256R8NIBE
l5z9ojEDBoHEv4nTCWXS8w1Dm2QqZ4YxU70+WGnougO6wReiSOyIYidUstBsgWoPrl3c3PYeS+22
cpOjRet221f6izOaTBKgP53tmNZTI1xEy4pKy4zZwmAa+m6PfvWjNqkfa+i+TkEzWPeZf3lDCGcP
xE9rPRcKlvyNvm+pkU46RuWpt3R+85wa/Il+pz9cNvP5yYuB6TpuZyAzwS1J5Q5b14ptN0OT/rEa
ICa11TrbzzLwEaG5EEga0HT7yi2IDCQbUTSdOhDFHoDFeNbzXhqbaVlazQQvVXfJtEkr3/neRD4S
hGMlI/cX+cepLc4/xj6JaFrAFoqp/ljgv1oSvGQWOOeIo0mfpxkWQLUIruKG5P2fpTg/TgKgyh3D
BM4c/dccbsLFZU/P2yU9oqM1kCXoRbH39MfXoHlyWufDnAEFAxdQWeNP9lcLdHxl+1XiaOt25yP8
qRXu/HQ1KyntYR0CikIvaTjsfribPLTJ7rIh2WjWxToZjao3lqIqWIwkfgJ/+papjLiGrOglXvLf
C8KF2Tzy8nI25/S4UIuk/V1h/o8rznltZNqVm1WYLnRz+WVy12q5ZA/KhsB5rdF0wFLOGEIPTu8Z
8oldKgFoiGKYjqs8jgCc6bhWny+FomkJoLVYCgadJwZKzjJzQ6/9yurw8poLw8maPVNXsilg1c4N
DdbQQj25xBZ3zb2Vpc+ecdMa9zib8LpfG1BmiZMJj1n9xOL6RSdetugms+oYFpNbBVkVMyf1Q341
B5ZDNB+Ut0MlOQ+Ebn1ikJvLUUWjqo2U1VFznmJahAwig7bMCM8t8RFnkEMASA4N2SsY7HxYtCnb
hrVqetTvbCDfrtScmE9xaG/7kF4VX607c5OT8TH75hyymOxZtrElPsNDnf75BN0EB/+az0C30vkn
tEwpJr2102M+b8a75UcR2OzKiw5LfWfl5nE2nltksW6UH3FSE+cPld4+WecmoE3yeJyBHjuq7TcD
qOy0U32VXbvjezH/zcGEtDnemugu9AAJPx+pl1SJVUbmusVtj6wqKAGYT2Sla9E2x+0LOVYVEtxA
CZxbsaKV7glKrUdAPnaelx1mtAhf3n6ifQ7MK1q/gMJas/TnJoDn6QGDcRHawZtoVpv41Z6fp0mS
Tl09nD9ALFBEraLwFqgeuANkdI1U7+IIVtCSXhJcLzed2fsdAOAgRVjmwTcSGa+F8NV3apQbGjWw
zU0bRov5K+o2Y6SSZmu92Nq7Hc8bu0/20fB8eTZF44TsKwhqUWdEVp47jjtwp9lR5qVH3LoUJHPj
cDm6t6zY/NXgQIeJ9DQufmue+nzdqBW5VdUm2dGZJjyFtij6OXNKbOTjleQumQySpVDpkuVH+Tr9
xyazcfdDpuxD/oQL11XbMhtSpunRwKmTmi2EdQvQg1ugf4t9Fn+ZXxTtBjQ3Bz26g/at/h2iO2zT
vGf2o2NYEuflO1D/+ZqP+hVoUG0o1Z/PguJ6eYsesPQ4h9OD+Vzeud+XTX8f34339h5VtB0mBt37
w10Dvv3vKFBcXm59XU/erwEZR9npH/vcUZK6qJYrBuznFYmurcD6Md0CekzGuw64v6/adrnyQiUs
RjJEX2If7E/7fGc/Xf4KodOdfAR3vOgteJhVBj/Xxydmo9HIcEmz+E2x051NghpCDrLKyyZFh/ZK
YoTQBKo5PALO572OMwr6eMjI54txsKGF7vTXQxmwxNvEt8X3y8bWRfw8yb+NcdcpLx29JKYwNh/S
XfbQ69hasjAofEvZgAMDF7ZOJX8NSbW+VyooJB6HFdxYgK/I7n7FEfShTeNQU3a7XksNj17H0VsK
FO7lIYq3FQqIwIuiCo3/nU9oVcdN1EKl7Dj7iI/0rsqC8iF7XToybsfbJt6kN6rvvVUPypvyNnqB
xPz6Bvk0xeDiAcgT5FRISp+bd/ReW2J0sR3tu2mf0iB6ppSw1+g2Iqx8/SmxJtw12LtrcQH0P3x/
ZNLWVJlADHBsummnjnfjtfsj7YleuUQZn7rGt4InWZO4cJPAUSEbgboliAG4ESLtXJfg8D3235xd
/0R9gJhSH00EkqkU7owTO9xrD51PZT1kY3a0rGdvQbXODUrvaJrflP3QTJL4Izzi1jf4f0e1zvTJ
VdbW4bRpCWtd8Atpqcco6I/LFxQspSnU1QM+eYizYlDhHauXnFsqls6LqIL5q6ACMCUbhh4DnyW7
1A3t/fA8Gduckuq5da51lEkjWQJcdE0Bkvpf81ygL6FcF9UUA91M3w2wpMWSGCN2j9+/zwVy6njR
YqX4ff3anIm3CnyU147ziBcPOioJk5j7fxbutz0uZmeTi6Z2wCKOZWu8Z5mzLeti37m3UWUD2Yyu
li+xATIu2WNLsop8SW/QJlW3C5g1NvR4sMPLG1t8HP5eJZ72qirTLGoZZnHYzGH0rduYaLfZt8/K
qxe42/iQ5CRXyfwjenO+mhpRr+cNaPd0tr38HbJRcrtCH4Z6GVp8Row+TVX5Ogw3DZPlRNbb46cN
gWszSk4aspf8VCpZgpC5br0liA9vzm72ravuJfWjq+YufWBhJhmUMLCc2OMCi2pWqgtWyexIq21h
3i0rW1p7b4zX1nxTodP98hSKz8MTc9wcWkozoL4Gc4C9k2wAK5y5XeqAHR3qW/VtI8Vkr0+AS/O5
/v0klNW9B/B1jPkc/SKc73CROLTHn2jmJ1PY7v8Qef7PxfFkeOvqnlirDHvAGfFhrT7qvgmJpOGX
5f+6PIvCqHViZXXUEytG78Sz20zZsdi5t3NgXknhmzIL699PLIAMpSwTAxb6b9MV7uLX01UR1mEG
8BHdQC8mADnzPYSBL4/rQxfi0mJx4RhwcDyLE3iHudUGdNiboP9tA0DVgEugBy9sa/RHz0ESvChb
dWe8JT7bVjv1CqmInRWgu9ifN38IJf20pFwIX0Zml7mLJY3MAnYsB6DLopcBBUTbHncWoCI+7kl8
gbutEyCfEgXa66CbSKIaGQbJRhdOLlBVno4SwqoUww0EKR7UJ1IPT7vNAPHorXkYD2w7/My3+XF6
iK/Ko4dMTus3u/ZYb7tf1Wu7LR5BExn2+z6ov8Q/6q00tbPud37FTz+KO7CMSE/jfMJHKTfNRg/r
oPXRIBuCF9mvfXNz2b+E1dMTazwBzKyndZvjJY2DxPRTUHkz8qMkhV+CvACtcpI7myGKPafmuNi6
6Chf2gUG14M7dNxNrz+1TQKHTm7Gb8aNGkJ16aUJi4O11XbRTY1jK7vGdUcnaOHbdk8umXbKtgBs
5/I0fFDPXJh0vpCErtreiFR8V6BeKzfKHnj4vdH7oLBoILj9mEKMYH42duU3PPoO9hXwMc5dEkI1
8N2uSYtn6GP8w/DVW/WYkehLInFUvo3mY8edThsXstulsJSKYpUMoJWe2fqv478tRPMP71LSdYkD
8jQ9blznzMxgTD14JCXGdvMKzUeShd9kb0HR9eF0WFzUtqwYMIx1/+Xme5/fGvWvQpaq/Ax3Q+Lu
1AYXt3tFzUxQHMHBETWTG4UMBJzxm3kTBxMI65G92T7/uuxNwjfmqU0uaEO5V7G8FjZjd97Ufe2n
JaBmUb7t4nlXR8tB6dtdOnZ3E+1vXC/5MoCxvs7B7LXMW0NjYay5T0t/o8iqGdLZ4CLeNPeZ1874
Mu+BAgA3h8auhyhcDll7xR9CJZhfy0Mt2fXCO/jpfHAhrR9HlowL1lndpvfLDpCMOzMoNizoJHdF
0ePixBBfTQfDR2SrPYY3htZxuTKJt83CkSR3lxdY6LcgRUI9faUs5MvBLW3VWSlieqRpEzQaFOoq
P5M16nycPp9i0m8rH7N6cuMwIcNjVUpCj1qzT7Nf2pTsHHfn4dU0zcPtlNYksT0IY9V+Vvb+YIy7
RPOLaPY7QNzypXgcFYeUfbc1omoDHkcU+cwdZUoYZ03YOcbNSlMasfzBo+ByaWVcE+vG4j4fyDv0
fCOfjooTnweotRGo3qJLjibaFequISbEP/X4qRwlqyFyL8iVIaeD7CCw9XyJoOgmiKdQB1C4ju0q
N79pm01KQ0/d6vQJHGrtEKNhX5Z/EDgBrg4O5DHBPwXAPefULXpN8MJr02MM8FszgE/Zxu25komU
Sczw+ao5NmnbFx0Sn90B7W7BrCV+p+aSLSqyAgjjSksHVhBAJs9vt1hI6DOaSLy18J+wV9+lpVqB
OwAh+dvC+gUn3swUr+rMFoXUfCmvxso6FO60aZr5eenVzeXtuQYxzvNc7EuIG6DUCXTi+iknpqJm
Ycusoyqs5yEd0sCdNSPMJ3BRZOFkt/l2SFwJomiN6J9NWoYOAhAgEx0u6ZWOQ4bHK+ZvnELofpOG
jpBotUnulTvgHfzLAxSuFiRI/muNu0VpTjs5WgUsgjkGnf2NRt8j2Y1INiDuVQosp9v2ip4eO2eZ
thHIPgKlANesVUzvvZWgq9M0ZUl+oU10cq69DmiBtzgn1JKmVZQcpT4N5PzJ9aZ3tmyBbLvkTSU4
JFAX+22G88S2Nms9rlA7ZY1+X46gJYgjX+mU3bRoIauVdMX2KJNML1i4AUwkMDz9o/GeW7Rch96s
1VoAQ2Tjj8latp6eBCPNK5+ijeWygwh3ADLcQCsh+kKA4XwHgLNFH1mHIabanvkG0LKGD1p7tonq
7f9miRuVYtqz0Zaoy6CFSoufmpjoxjEL5+6qlFgSesfJmDiPRFtCV/Ua6qdrs1YZtunBLf2IPo3R
38TCE0PcZRvEbY3p0tVQpm6z6gAhi7BgEjSUCBvhQj3o3yXinH1kg6fQBUuUmP0W8vWb6lsybG33
qBlf82JbOiin2QmJ29lvG8lUrr/9KVrZIOcAw+kHuSPnHmam2BZDEcJY3pf4bpL1mMh+n3MKx4ja
bkA74TFOf1nqV+lZIvp9cBmAitaB8IVur65yEuAHt3W8uStwWtWggk2M5TDpnqxPUbRfT41wV+XO
KvLKqrOPPQS8F0UHUGbeuv2vyxtIFMvREriCC5GA+FQOM+duTG2NpsfGu6b0vdFlyqOifYMEIsip
UC+3LZMbx2y5LSSOMVnIXdnNvFVjhSA6EK04KNDJuTwa0UsVt6Hf1rhbUUKdPnIpEDhZMo4UtFAg
eJiTGG00eedB714fwkKl3WOVtXeLA2Uc7OvxS9+XFshnizYYy/HJpUsuCYhCj/n9WTwzgbs0lZOM
K/YpjRV/NFVzQxtVpmMrXEskrEDdAkAXkkrnftm0bO4GmwGwaUw+QqF8MUVnF9rz/rXA7ayhL6eu
62EBmOWHCgIKyhSRVB+JDZFV0yS1bh66P1SIWLMP4IozUPU3PigMOaNal2hraR4nlw1emIFetW19
2/eqr3Vrr1AS7y47kWAaz+xxkd5xi4kxBnvwIwItHbQjXc/sL87jMytcmE+SHA8UDVZq79qcrvP+
V55e97bkRSocC6IsWipBMQm42LlLgLzCoCrYR49gzt7l0NpFA9kfMlj+sz7gJbMcHTR36E89s3F5
7kUJQQ9UXf/+GDf5PYBvNjVxLrVZn23KON23ShLftl0VzlkK2jlaVpvKqX7RgdJjZjPgzoz4ZW6M
Zd9OvaxV+wNYwp1V+B5n1dlwVqq388H9x46t1CxynMaxl1+VNjuo8beaRi9pSjdeYhO7RgLeQOvm
QjKofSHjQtx8U1F961B6lZvjm5rZ3y9PkiCk4l2+6lQD7w4qSm5RjdjritzAHClKkC6hdcWGR2Su
ElkqTmaHC6ZZxGqwMeJyldTVAZpeO3UZCEusvVZpV01WbS8PS3DinQ6Lf7GruV1YYw/EEXR+AbMb
oiCKDqyVPF5kVrgFbR3o380JFrQganT7Sp3nyJAEELEJE4qJaIxb8a5nG+I/WmZ10dRg3nQwDI3T
YQxy49UY7v5mun5bWVfv5BbCEiehQw4rqUMmqGAePRpKo5Tg4MKa4E258mPhLcsbaU0z6xegz5jr
9iSbLMef6SSDd60O+2mTnVjhHBo4Gbc0dWW9hBwcd/RN0MRGy22rZsSCIG4n420UO/bvUXGObTht
hnxAiqK81V1ldv1E8691fqvaLVDcMk7hi4MDBx53KhdaA8rTFUKVGTqo/iDVnedEfe2rGwrSamk6
ShjxLbTPrw2SaM3k5hLJIgepIYxtrH2ck+3bmD1ddjxz3SKflgs9drgBQ58HaI1zzxtMd6rAtYQs
bhenYVY4LIjdpPJnRhUyD2X22JeqRcye5iHLGN1AHv11MtqReODqJlrdQoPexuKaHfsFlpGYQLTD
8Jd0KHzsHc+HDvc3K2970mnlc5LMNHCKLAIPqOaSNjHiGO2dINLylnR+9vo68gctTm6WMdaCqkLX
ac1yl5RsaEIkRcAuO9nTUUtAGWGqpRNq8aiQ0mxsUDUYxuby5Iin//fccNOfuIwudRZnxxpMRnUy
BEoseboJowsaxwBuQifeJ+o8RB23R1oW2WzrTouPxrzL1YFYsluXKK2J8+W3nXWkJ/HF7nMnq1TY
sQ+FF4J+SrH8yMRd+ZD+UPZGJZk4YaQ5MccFzWrJUIlw4FTJLeklPFqyKeMcFjTVnR5p+O0KiFHz
pjksb5dXXWaAW3V76Bq7mjFXcRaBKOepGR0/hkBJ9vy/2eECV5kbRt0x2InyQ9dsXSCC22tVl2xw
yWg8LmL1Va9qhYHpip76L+5t+jhJ+maEIfH3WnM3xv84CoQMGJCeKMNqKWlV9Mnuku9jF3qyCRNG
+hNL3HUS2AVDXwpY0vIN2kh70BjFBO2WqqybWrzv/90tPM2zHhszSucwBN0jZ0rJkFxj85DLyy8c
DUoZ1ge7FdRhzrek2Y49Vn9d/ubeA8BKsXvsSpc477aMskI4nvW5jn+Q5+DvMK0Sl1U5lQB+qFtc
f4kxFYTJcGTC8ThgoF1z/pA1X2PCSYjJwWagpBbLju4YGGj8K1uHFE5C0PzHbMl1SehzSH4iaw1u
aTwwzm15DPp1VYWkUFuEWRpOwwYIvKpAY21YyzBOwlh2YmvdYCfjQjp+zJQetqA4C2RaIjkBZD/P
hTN9GYrIHAFh7ntkhVpqOkEfR5IgIHSAkzFwIQ2KI0XjqBhDOX3prHerOtRpIrmLC9cfhCPQUMHz
FPDy83mKUWLAqxWJIWTckwUth7lGmjwhlXocc8n6C88zHaJHtglgMDSAuEWJ617pF1xbjjqKJeE8
LF+ckanbuC21IJ771Edz2rXpzmYw91NNJlerJdFbNKVryRYNw4D7gP32fLhQ4l1JCypM6fIzix+n
v+gRhV7V79/nTgfbTeqSNoBbs7gLSmoTp/zODIlfiHq/oACC1TKQ2EdfMrdoBgNXS2KgIliPV7nK
mI9s9bHrbqcekrI6g9pOCsJgIFiwoLS4y3p3M1odmaxbJ5XpsYhmFDdFtF59yM+p3IxC/cyOpgTf
okE6J0BOiPlVnt8MrewpLDS0kqwAsg/CYp6Xqq28SHdBIH8cFv19iUovNFKlD1Lsu/ByjF8Xib9c
g6jc0EEdA0UGvq6bVt2U1E6PhrOKPg11f6znm1LdJ4vut+1rhVbGpZBsQ1FoxAyC+Bc6XIiQ3Cxa
U0+npp3wkqTxptg1kCdMMn+OdagqxySS0R+Irhen5jg3TYqu0htNQ34tdfaaVzzmdQGQgcZIo6b7
v5jN30PjERmQiAEjwIChudUz2vVJMjak9BYy3Rv6nZEsgSrrPxABakE+gscRql+gpuF9suxYmi0p
2jPLaWNp9KoCW1J+70Kwz/Ug4ZcFyZWd3rB0lFwORKeCg3ZXC0zD1soScB5dSk23B9tEYiNhafwL
+XgIO4+V9hcx7NQKdwVRM2/B6YbRWUO2qw08cbLN0tWby8smcpFTK9y1rci9We1zWHH0+aveElzi
DqAl81NTBnMRbWx044D4CvcPpPm4s7SFcySmiudyhHTBDoyT39GorPppMv1FDQD8Vni2ob8TFxte
129ibjFE6xvBXlxwai40CfKWyYR+hF7w2wqPBNBniIUZJhI2ivFu4k0OWhiJnwlTokCegLgEeBcX
HELnjtaVaH40OlSmLBZ6QPt3m+pJVb6wmEBzzuve+2k//0Q3vDW/ZnHp54tfVHu9vb3sIqK7g4ue
SPSaomUWKN3zrzAWpe8cVqMJmO7TMd4k1Z6lXwZ73hiJrD1X5I6rEAaEoQzgU/ilU5ym6eoGiI4h
KrZD678Veeyn0E68PCRRHD4xw69dorlF7agrruKpp8QeiftTfYuyGypr8hGdMaeGuE08DYbFhh6n
Gf3VvMEUncj9ooR2FMjaC0TbC2VmRCVbRWXgo5Hk5CbsglUeVyHE+pvmAQRyfw578U5/nauhNMAY
5JGFXy+AcVnUI3QsaIN6jfXWRLvLayMaCMj7LKTdcVlF0++5uxVKAZa1tUO7nJp7m1n3SdXtLOX9
L6yg0oCWOcsywbd5bmVO8KsdCICORZeBOpWY44MzDxI3E9ZYUPMF2go0yaAy5c77fqRqO+UA10xN
yFC0MFgfWN4jBWdyUUJVZ955xdZOtmA5IaVxUFRnc3mYov3kubaNfw0gEHjOCao2mT7MmEynyXo0
iXubGtisgBZlQ2IlTv44/YO0K7rRP3r40dXGzerSK1FRe3jKdBPzhw5Ej2zcrYkTq5ZcNz4PDJZw
cMEpXR1SWqsXnbj70ntOzBq0XeEBmIJhBjQzatqEULVA6mx7eRI/e+S5Lc4jl1br2zqDreLZzsmC
ZdQlFsSjwfV6bT8HRyoX6AtXqcvWwvOMjkB7ZpqR7cqqaMlgpx5xHer+j/a47byAKN1qhx64EAUd
Lt4vo/yFHSZlPBFPHJLjIKPCc9Dh3L9rWFwN5ozXuVJ/A3b1tmzzL0qcy/iTBBibD2FsfDbgmajT
rUfYiTdEpVu4ZYzxaHlJ9DjxnUIlNt4mLM5wje+I7WW7vEVrSfutr/dd7YSXXUS0gOha+/cDuJEq
hT7ay4IHYeY9adY1Va6NcJRB9QQXXgwTryLUf9FTDEmE82GqZWsqLR7VxzwNu6YmKIEmYxbErEBk
QQuQmfiDVRKThZYMeytayhPT/J0XKk6Qml57yUr04uVbgDc0WbJF8N5FWVvHrW0l7YU+CrcLoJhX
qPXUYRJ7JbSanftWow8elQ4QgwTJ/GOaA2YNPni7DaxoT0E2BjmPQn+5vJYCVP/5d3C7w87rkTUt
voM+v7e+fWgC6/g9eks29bN3YBvlYN8WD85jHEjsrtHx/EF6bpd77zM2a7NVwokg/l2GpemvOI96
lTjVD2oXoueslOU5Bbka2EQ+CKQXKymsytlUvaIaI4gkHOOyQxe+6bfQaZ5ouGLh7OjQD4wY/TFZ
JA9hQX/Cud3V3052rN10EL/QMMcVUSpyM9jbJDBv2RPQmLjtdffMJXZMEkrGl/m7ZJ5XP/o0z6CS
RD7MBkML3/dSpxRMHAqiralYRG1+eH0SJsm01b1p0yfVddaVtzkEgbQBA8+/WuUsuxau8ejTF0DT
Epf7FdvLU4009RCxLFGRP5rHL2qD9i+v/Y471gtrlet2MN8kIxZ6FpKxgCFCJBTap+ez3S8FWzy6
gB5ArQIg3Q+pMkKsoXbvrSc381v1pZn2FjhdCVUlsy2KjPAte+VBwDnAs+E0DkNRu9dRwryBL5c3
RhnmkiKHcDZPTHC+5OAeE0WOhuifBG5BSdmAf8omStr7TAYW/Pzqg9+e2OLuAoW9GPHsmEhu9+6P
zjMJRCnuL6/WuhifnAOSVwYQJ1gvPlc/l82AZBecAzKhxOiUEMWnagCvmvaeKteu0pNKdrKIoruB
FbIh4QZyJD5ja9jLrCaLjduUhe1vfwXHk6b3kvgmXKYTI+vfT7Z81lQ1mPUdPJgLrwozz47DwVPJ
0q4i0k6XkIYVicSm0PvQKfLBi4GkG3cuN5mL86OwsuOkP5dqQlz67ExfK4AQL6+ZaGwgaMYTC0Iz
K5vD+dhSEMfVeoMNNmEkAXCTw3GOrCEwlyH19ZH+BNuDJrEpjN1rYRo8aOvd49MdOEqGufBwJo/2
FXuZ5lsbuj5NGvtG6flTfnDZXeFI9ppoQk1gAEGqDzeBd54PlJbZMBgutnMCOibFjzKkoJVbCNpJ
DgjhhJ7Y4ZxlofZk5TbsDFPzXa0eWppsvReQV25mJfLI5dUzBTsOJLtAW67pYFxAzgfFlrqiSpfS
o/OigV5Bxhu+Ohm/oU9/nnMOo9b1qRwLemTL1zGOSA0G/Fp56JWD3iX+PL1fHo1oM5+a45aoxu0J
4NcS7WSjRarxzgVVm5TkUxSkTo1w69N6XcLyZgUGDh54qm6jMQ+06c6aAs8NaQzIlxRIv6ZVL00j
t5dLpZumBoq7x7jals0ui59BqksG5JiV5gUiipr1mi3m3eXJFPr7iWtwJ2cNasup6HKKxAf4uLR7
dOQQTbtZkMu5bEh4I0LixnFMSJviqc5llftWp1G3QB0qVbeNDd6xLifx6EF8pE9uZiXdppYdTiNE
xel+UKONVixh9WCBKmxRqys16iU7UORGoISEwNPaYIVa7vmmmLS8sxSrocdZvXbMJzwRpe0Dosn9
SCmilAZFT37IEKgy0ym36BE5CaINv1am67i1ia7JZlfkriilIQEGNRu8Lbgdruqlp7DFpscKFI7J
Ph60q66Mr/K177s8GAt9HBoJIFgUVFAfQG4CCVzQXXOviMExZrU1THpsjIlkeJNKAWgCDP5Kf7te
FQBCQzjmAkvTeNGYMhQF3fgG3fZ+plyvXaJjMBZflyutRneVgdIEXqRq2I6b3v7j8jjs497woQ6w
Nv2duwhLlKku1kch7d1yk9TKU+lFf57YPDfC7UAzgW4a+PHwKozKjdFQ0jiTL+d/Fbn7yVg+DtuT
20ncMq9zDTyE8lbfx9MdcpM7uR8KrQBkuRKSo6OFv9vVtTe6K+LnmC1o1Cg1AHBZqX1TvF5G7yQ6
dJBKQrMsSJLXRrvztam9HoVPFzefWsn9Mfe2kIGF1h5ohwmi0LZvYxUCAcnN5Sgm3NFgWgeNJ9zR
UjmrcWqhRKWu14NmPyvOFUPzR4/lYn81vFW8AXSUKhiD9PPhGViuplyHB9D9LjOcHTi0rAyPm9TY
FNUMPQLZdUu4dCcWuf2som02qSzckRmd9wbb9jMkWyzJ9Uq4ag4eGGg2h+gGz9JhNcyIugH+Qe1X
9M60Gyvaa+Mzq3H4NJK6jjBArZUlAxlqF2HxfAq7JIcyuOshpeOM3W1c6MpNVbA+vOwRwhG5gM7j
2Qln5FPCkJV3gNLC3apHlnGtf0Be90vfgkPnsh3h8pzY4RxCbR2azi6a6PXwTSWSs1Do1mgiWWlI
cUzxMLrBivuKJS7y2jq6LPXF7ybIjiu3VSG5bhiigwpcv5AKh/DDyohzvigqdu0CnXaE9HZ03zqF
WsEcTZ4P7ExyiNZm1WyJkTaIl2PGMt0HsUZCTLO3r+pBCZF7twM1L8wdm7SnRNEgglTq+ab2snyv
zQZ65aN6Cdoma1/SbrI24KlQiZsiQ1ot+f1QNCNxaI9UTKLXN0OG74inXoNgSZ3upnxM/coG5E6t
7DkE+oduh6pIrmL8MjEygKOgeCQTe18jBn/rW7Wj8OwGRR7uRecTApJn5lbWQo+TQh/mznxAKsO+
y6mRB6yOk7dEaSzJagvPVSCcAdPA4wrSRdyR08R2bafGhHvJTBqopBLT9160R+eFvqs/ip+aE2SN
DwTdZQ8Wj/Rfq3xRMi00qhoZrNZB5bWHyXmLm3fFiPej9XTZkmjng+TdQ0sliiggVDifU2qh37ut
MKcmA+CwUeljEzHZJIqu6ygbf1ABgBiCvz8ix9VovTJTNETpu6l7oV5zqwKe5E1b5u2KciRqzkif
Pl4em6DmhnPtxC63eCl+VRk83LuSSqnJqNKnRUvZTW1F6lUxxeVdXMYZ2l7GORhdS9lHuvZaxpoR
THNR7wEZSCTrKnynn3wRz2vnAgXHFLSHQUOJ1Efne6xt9B/DN5X0VeC2EmuiUIX6G3Q3UQPGG50b
vtK2WtcnMBZnaNlr9nmB5t8CQuqy7nqxISB+kARAKYKvWaWJOVMPUfcIqR0V1Qet64jzTab9LNwU
wCyC7gPyV5CDPHfVdm7B/tkgDjnkOwjl/EO+lfiLcDOcWOAOjrlv+qEEMAvVPQMaNHfdDiwmOyP8
mZA5UAIX/EH/o0UuxueWQ7NhHECi7PxoQiT5crN/U8pupyU7QKeRupzda2uoiAF9ACcnQylT/hEd
yisS9L+zus7JyWU3j3trntZZBXlFADrVPd2mj4nMQz7Syp9i94mZ9cw+MTMrrIiyFmYmRFFiQXkR
2lfblMRfkeInm/aIhq00eEEeMEQZIGD7+GYIn96XUAb1E40XSTcUpHGhQdsGN97BGEBYokc4Vdni
Z2DNacAmXrPn2QyL1sbLrJLsQtFtBFdgJMnABI9XJ3e3QpowNbUiy9GGDEUMT01/osHyS0FlaTKh
HQv3BGC70R7Pn45zAxgBACaw095N9cF096BXveyuAhMrrTBmzV7TAXyW0WmXPGfVCH3M0HrJrxIZ
465gh2u4wVtQtEVTPE6jcydByauv02rK17yHCdTAjg3QiPT16M+X5MwOtyStOTil7Q35sah/AWMN
OgQpGl0QEgEnQU88BoJOYF4wN04pdRV7zo917kBD/XptW23VdynCWrgktreCm1Httvkm9yT2FDXv
7fw4alurvR6zEECcv1j1ExNc3I3d3J2aDCaAXGnLA0yAA/+yCVHVfsV4ARajr/RRfJMFcrydkvfA
4ERb6yraZBsc16Tz593PJ1n+R3QrOLPFRXmk0QcjaWEry56c8WCMYAUHSNQzqv8j7Tt7G1eWbX8R
AebwtRkVLFkWHb8Q9ozNnDN//V30Oe9uqcUn4pwLbwz2zABT7FRdXbVqLcIGRiYboK6ucrNPnoTk
z1oKQ1jcGBcjpTx+6LcZU84jZQKi/VETMu78Q7dnnycLKVo92X1xTmMMu8YMrdZoz5GeOKWRP7c2
NI93oyU6lYlCQjgTt57BNLfqqReCtavpoRxkJleFkM7T88IZrDmQacPDmqLLpNI94zV/ZEHz8qKR
wLy/BxZ38sXEUIcfojtTVCA+2ye9Z1eS2bO8rU7WfSOLHubCCHXyhxb61XIBI1LhIrxOmSd2eOX0
UVvZ0L9oKuq+u5rF+UMu7rshVHNRmkfDGS0pD+2Ws9SNrAt4P+R6oEcbzokPhTUZyk42Sp07fNTb
ahOAkc8WDFCnG6whWqBw09sztL94Kzlx0KYNnJHImHmBxEZorXNizmtLf/VcapxTz7gf6SxioXlj
yc9AVuiIV844Gfdnfwm1AigfLl2kGSVQAFNHL/DYVkkYiCkUaOgXyJRaXozO4+alTky/JEVCFDk9
psrKvbV05i7NUmeOl5k6kUIMS4kUqxnQ7BIP/J6T20+5C9YUSxcCDIwRatpz9n4mdL9eeRnb2Bck
jDHm5U1U28iycZlvJY4mWbWyErIu7We8TZHUQ4QBsQjKN4uh50nF3JdaV5UesdkOuW2zzk8hO4DH
+j/PSM39Cv9rjFq9NIFyg9cBti0E40FS6ge/fZeVzgirkrBcbPXimpjY4sJp0K1C1y12pEr5BNVH
zq/I0HQV1YD2jUUJ0mUZ/UpZJXIkQm+Ic3+DLttDQlaCWAUA/dSp1SJQkWkd2pV8bvOxiSLEa0Ox
9hqedxt9yJDCQDEFdVokkigfxIaDz9dzR1LBvbBFYXVI2/DhmS/fAnHTtxufD0iC1l8l/i5FJ61e
749xyc9emqfGOGbhOCVeAQ0FTwZsN0f2ypvOflk93bczvy5vh4kK+Jx2RraHOnQFuI98IGvR+iW8
i6y0E6LGqdIzr36W3GMSpWbXrNFMLA/tH5PU0fOBFgYABKgp9EvUBijWvsUGGL9ULlfGtnTsUIr4
37FR+9IXUmbiUizhGFV2I2tGMXanRi0CXZBLwkBj4P5cLvnlS3vUlplCxkNT2LwvwWQUik+t+ve+
gbWZozYF27ca580GCldqA73Iz6K04oTX9sPsNy9uxDJCi0ZXYt9lLeTJEtDBtrjl2EcQ7wlxAl2l
HwEYr/vDWlwnDi0mOMos1EKpdRqR3WR4ASDk4nFAFOPrce/EAmmKz/t2FqcPCUKkg/EyumEx9Eo2
9qYZwhbVytfodbHucd7DMKxRdi7uAwHviZnEbe5Jvp5DqUwkNWtmuNrwLLcOI53/i3GAXoIVVWgu
QHb7+t8PgzZHSgx4ox5UU6kE5ApwpWy3RjuwVOBGZ9Q/dua9crEXPHaMGblHbYPhYMqz0hhMk2je
/0Eazu4VHrCZUtSTSn1Hd1VDsvpRioHq5od9isX00R17f9xLfp+HM0ZWmZ9R19S4BWYox7ifK2TI
FUobpPOnmKhrQkDLVhB9QsAMNHy0DhADTWFGmjBqIIPr4qvBk1DsH8V4JfZc3Iyglvt/Zihnkfpy
34BWCYUjMCZC4Dge0A+UrOEW5ym5cO94/GsYBfz6b1s8/v96CcWK57AZG+4sVikJzn1ks41IfBE0
IWFpcGm7cpSpUdH26MypN4hR3Eg1dx7kTa2AWdjLyMSu9LasGaHCKQA7Qm8MMSi+18xW1GMgSjz2
+f5mox+7N0Phr6eOZ6Dt0Fewwp7qT+h62U/e38r5Ex1K+I2Vm4rac7Mt9NAh+QRML+QB6Q78tNcE
kPOx3DmvKmmveR735OUS+xXgSW8AUyKtVBKX7QFXMbeXawKdpBUjQQUcCPY6xR6l3ZBzhOEzILUU
Z2UWqXfqv0f2jyVqFnuNzase1/DZz0052ZQawsLsITLE8r1Ojgjd+p5f2YPUFfYvkwjaZrAwfkMX
0kVU6oZcGLlzkU39hq0K1MmqLLM0gG3NpmWnJymqkpGkojg4/iAKm5Uxz/uPOnQoovDQS0AvIzqJ
5v174TfRzhA1cwn8nL5Ef8uaDK506N9SSBA0h2xYGe3CYbgyRvkRpksaOYe1cx0Wu5StzKSJ9XFs
zJVBrdmhYo9UU/JCyGGn72RDCvxjW6rgNpq2JbThGk6PW6hhQQyByEl2LHpto8bxlg1iO/Z5gxs7
+/73LC7yxRxTdwHa7MFr1EsYtj+5vrjl8ukhjEt95IRdmAAVn7EmE9Urs7B4bi6sUu4Uin8ZtNph
tU9aq5F9y/NCI854q+nGFVMr803DWwYmjzSlxyZqwAPTi9ObUh8mUVlLJNF5tn+dln+G9JsMuNis
HYTaAEfBkNj0J1XeuirZtpxKJi43w5wnZcI4Aa4MVp6snBEJOhN0OV7T5FpZzV9ffPERUp13ud9h
czFI9Ye9tEUu8yBG8k5qOkMq202SgBhfWJvjJR+PwzPTuIFIDRWFeREu7PplLDJKyMBVvA8NCmKk
I5O+7ezsVKCRgXTv9zctnVn592T/Y486rGUEDlJkVrGogeoUELItQsHM004fCrQ6iUgeoZyUgklu
ADN0rYXWiv3FTQUiDGXu9wNIkvLGmhZLTdmp3DlrgRsYo4d+jAA56w4Tiiqd1tvSiFzWKO/qCRA/
lO8jKNOGjsxMpBVWkEeLa37xLdTLsxq4ZgAfIHcWEqtn0dMA+jNDGU2UeifkTeP/5soD7xtmF6h5
JEiulxrcumWCPnnuPA7v4NzuJ4uDYtOa0P1vy9ON778wQ40KPb111is5f84SaB0AMwa2xqICVl5k
IygZtQVaP/WorzVS15GnpxIwXnVT9Kag5ppRq1O85evBs4OWGcyOH99DZSh3CjRLthByEs2JB/RD
ifPJQO9Pd/DTItrc3yTU6+V3j4LSEDkxFvJLHF2P7n0N0bzo8+fYK49NlZ/9Vl1rlF/ah6hDgyB6
LrxAKPh6MUI1ajv0f2CW5HF0QsFXNmrNoSXfg/7l/eEsOjg8YxDlQPYSFVTqpsj7UUSevODPSix8
xJFsyYnd8wdeAIMitFZC3kjYz6AM9SSuTWlATjXLNfP+R1AvXDzTgKMBNQqet/gPx+96vMpQTF6o
1LWLvlq81BIdKUHDE34K2Td8/um+sZuYHxIL6LRFBIS3ugRgwbUxJmRGkWO62u3i4syU/CkcoGld
NC0p2GnDTAX2PduzKxcy3Qw4jxFOZWYCmFOq6Im9NuuDLXpKhaF262m01Kazi2RfxSccNKaerGZ8
q1BmY12/MTuus/t6M0HWS2qM+4Ondax+PwPlT/CL4GnFAdF4/RlxDXrrUdVqdwqfp2Mm6IA/JZ2t
tMRD07g52j5jKhnAbfncT7ULZSvlzPZUFGYgbZsRWqyk3AecHQoEdXAvBxu30Q47LiEtc6zPa7kP
uuT+r+/lBfAJogsFMSPllwKlFOq49Gq32Chf6XdodnoJ9b/J8Yxmxz5WpoD7qHYqq7F6p91Dguvc
7xpjOrKH0YlW9il345RneY6Lr6HcF5OLMaOGmD3ebk3kqPXW9AmjI17HxeiRP9+jEZEf31h5Jiyc
Dx58vWAAAQEVlFznv7+4h9N2Kn0tYxuXC41BzvWWf53ltLkcHhO+8/4WufUIEJmAyjFSG6Chxaal
tkhZj73XNNipUVc4Sla5WfyuVYUdBw10oPx9HnPGxEHMQO5/Gua7VV/7ZA2ceht6zB8hzuAxZMzx
Q53SyGv4jink2o2h3ZHLFRCq0ck/SbkRibw+NkbO+KTUOtMr+7nLj3tbmYUFN4FcGEhKgBUA9apK
zbkXZiGrZmHjitGrB7HcPv+OfH4jpBlpFZYoxbGIg83wUlebvngoEt+pgkavBUPy30IOTKK8uBIR
0DC++SwIHLLeIvIi6GxTqGuB6XmpLVOhcYUabGfCPq90xrcHRKNDRHJNMob2JxxsOXos2YGAEsSM
BX4luTDP+9UFjm9AvxTy/iD4wy/UN8h9VmUe7ifXz0tULzQgJdWeX8NQ3EaCsxkJXVmzNpKg3Agl
VMEIZuGuddECXvt6Gpux+hIKB6W0kt71cgN9n237d2XNZ2dyPbhZhGnGsoO+EM6RWvNOA0CUjQLp
rE4OynrjYRx0cQBFqrTTRoKIAHXLYXCm1dfM7ZkD+AHkDyqe48ipARd2fcIZ8CPzSsmrZ4NxrM1X
aKJjmXC6Lu9WXMntBUBZog5WwkuNxFWwNNrFvtpkxkC+M6IaE4q6og7NA93iIDPXOB0KtZ0Z2qoh
Q3COM0Mj2KYWu/Ot6XGt3fC3Rflq5qmvmiOiCw+XS0IrSfAD51Yf9cGI/qrbbJNB2xFyD0TYcU5i
JUaufwNmBfyGgY4Q1JZli7F5S7F5MkL0MbYKO1lpCLnx99RnUQ+SKRHYeu6yO/c6CIJ1xcxIAWDX
miIX3aEPOa7r5ac2HgeWuDyPfu3kL1Bxx6Azw/XJn9fPinik3nuEJSu7/ZcV/WbOkelHshh4R2B8
rudcY5k+lTJJPU9WjzkXHMmZnFDnttFhNFIDpVh9Vh00tphX+/5Jm8dDmZ4FGRCDAPMDZkXKdMaX
DT+EnXYOclflH0roBUbVe1g8JKiQ3je1sIRI8aLBk8fdOae9rkfZC50cVBHaE8OR5KUOwLmPhqwC
cQvyMQa7Jhk4fzk1sktztJLGxAUTtnLJnBUUQMvoK63/46mbq9fQ0QDxmICHGjV1UjkIXAW4nys0
BRGkmqiFBWYAHQGEzvlrTXO3CzWjqkHjOqsxIVNOHQCR8esICRBYA4zYE0DU9c6/ivVuXBPNXTT0
K4SHU46dMf/9hQNIxLHLs0YIXV4tAakwU7dA/qx0ynDlFr3dD5gzoMRBTMNqcLfUBdYi9ykpTBi5
yjmRAUMREzP3GlIyepKTkOVNMP3c34G3j170PsgzsQ8HELN0s2TI9OVFFPuR20DzvH34Erej/sOQ
6JjqaIm0Y+hXvrNGYxf4Ccy1gg0N14ZzgXkwNKIvBnS8cDTXU6uKDdsMQhK58nOpTwYEO53a0tvX
lVHePFopM9QV1nNlVEVBGrkpcLES0LGjWZJA/5oIv6lM3xZJcGiNCgDZBAii9+dC9421e4Sf9+P1
8bseK3U6EgQsSh3iI4o332EIBIP0jrRw3RMEYUVjMB8naASDX50UtkrgXNFldWRJtrLkS7v5csqp
60yOUs6XWUy5QkbuKCi6COnWYhdX5/uTfhOkYs5n7RRkyxVEY7QzqMVRlrO4iVwJiUE1CyD5LLI8
UbhTv4H68H1jv29DenIvrVGjKts2BLlKHbn1Z2wmemdpBNtJV01e53XFAhiCtFZhcmQwJuPrCcBz
WwbEPbTzPYQmAQdrSP0uk3bDksqGxqXd6j8ViRzGiHRI1RuD0RjMRl1ZCxqs+Lv/lZnnj0UHH+46
6rODKOqqmBcjt7MEo9ttJuI7CmlPE0SqeQC1R53dNkaxKe3I8k9PrdVbMsk3rCUkuHs/UyPbDgM5
hwbzuKaPvLh+uJ3gHRQRQFvqaA59g9sinD+t1QAFcpp2MpqSc2TEGZFAUvbp/hIuHQ/0rsgsiG/R
iyVS9ng11lKmK2N04smbbEr03NvIjLJn1hJ9twE8dualJcobVG2JR90AS+xIBMsvrbK1PGWXlLZo
MMgtvLH55v82NuroB5VWCExWYGwtFHWCx3Y4dOFAmhX8GF32x3ZCL8p8+YKGGVVJWkM3TOOMA71C
5PKKUbW7NHF9BKPTBj0qRAAMvxURj067jnF6Oz5z4AL5rtd8+u064hugqTIz7iCOoiGO7NQHEseE
sSuPTqUcvXDnlQ8893V/RheHChGa30YVoDU0KnYa+AEvbzaO3cHSjsJ7aaY/xWNk8JvYVGwAoUzI
keSkXElFr5i9SUD0aGHzoYkQu82+tcVTfqqN1tLMadtarFVsFQOe58ivDPbWZSNAxCmc83TI79JY
9yTx+yTmh9gNGMt7EA917IweUgzcCkqDVkee9w8iD5w+WQZp7E3LNBvi3Vv4bOJO+/r0ppCSINCH
GIoFbmHyZD/u96/29+P3t/fWH+MjU5Bujft6YajILUMEAPlrEDb99mxexFopZOxBoFVmrveRWcwn
Z0JR21jZOrdhFuq7aMQFvEcAPQEddo8FV3pdNWTuuBVf2o/g6H8AX2FLDvM0/m3M/uy9wrE+xCzJ
CyNaO6Ozd7m+qWB95mdCwxgIjekEetULTVoGQuYWxrBHVWDn2wBIQ9kFN33ysAa4/M3d3jNHuVVu
hJxSLMkwt0md9DRAzVpnN9qh2skbqGE6glE+S4fagkyF3djhOXvWXM9knfZViYh6YN6T59UFWJsC
ygGzWhgxhTZ/EwDwhSXrpR1YAKQbvJFb3mFN5HRxvS9mnPK+RdGFVZgrmcswDZnUk5A8SONRbHWt
ehZ6HeTV9zfYbbR5vcLUpV4wnTKABzVzWe/Ad4khlLtQ/A8pkeejig5vdP1LKC4iG0qtayj7o6BU
bODW4OzhXou1NNfCIECagLANkqZ4BAvUILpMA50kzwWupPwdmkcms0NvDXK0cNgR9aOaCX4GxIk0
ZesgpdogynnkHgVDNJ94Uq88qG7TknhbXFqgbgmkJTPGK2CB85/Q90TU6JFLHtjRzqW/Km/lrujv
xL30qUGkCTXc+/tgIXVyaf3mskBFKuX5EdbFD7/U+5f4W7KmXfLVG/4DEZwxMsVNWGyKZ4HIa3LW
C9cwZpUHHRc2CSBkVKZczDKhFaoST56U9HjsONVJXoOozQfn0rcgxEAuHkZAkSlBfIQ6x/XUh7Wc
+7nrjwyJpYOKjOjKFNJnlzZBnd2s9ZTGT2Ei2/c/zB8M56V84T/TbXAO8VaStrFHpp/kkD72LruS
j7xJ9P/LOPr9MJMYI51h6Kq+ytUxgnFX2BWvgR6c5X1iMo84DAFZuxnoE0dbm0/LxdUX50NZDLM1
0AMYQ7NPAqQ1upf7E0pH9bMRxL4cNLCQb7qBSIJBaipbkc3helXZKp/jVB8mtEitkVjfvOxpQ/P+
vBhN2TdpWpRT7grEG3V/lz8nO25bHFRn7YpbNUVNnDyxhcqDmMlldt5DsUmOvu3vg6eIrJEfLq3Q
5eTNk3s5Ji2G25VhSJHwYvf+lug/ie37C7S46VDaEVEFRgAEUZdrI5zMCLHHcbnbb0VQZZLuq3jV
nkGp+6w8ShFJV4omN68hLBSSnRC8QyISiTuRWqgKN00xhySucOQT0j/VJ/WISHMn/ITHNae0sPuu
bFEr1YDe3g+YpHTjXbhtiOeUVvu6RrA4/yOUV7oyQq1SIKsDeP5hJNgkj4LDHvn92pZbHAfQgZDC
xFsSRa/rNQoBQOfjoizd6U//KRyCL6Ei/Kv3eX8r/DZlUiPBFY+iLvTw0BNMF8R5KU4AU89LN3kL
9GH3ZFvWsCOIFA8eedVPTkRa577JhbmDRZVj4e3mei5164PhMG59ti7d9MkvCX9sbGy7FeLyhVM0
q2DgJYPNNvfBXU+enzFxmTNM5bLcQ5RohAUw3fdXLo4lIyjPAT0N9AYLfchrI6AsSbmuCGo35DYR
0GGgNFQBJLg/W7f3H55Lc/YexUC8mGg0v5RoVVmUGbAhSoGCYwItj7xNEvP/ZoUaCtsy6JkHHzXq
jWeGz0k+jCvjuAGAYJowEA0+AKUPPIioi1zK1TCqPZhoue0kfrKMZsm8LstIRz0WIxmtRu9yXfO3
jAAOrU2WrWyJxYkUoUKAvYdnEV1z4WI5lgQ/rd2hg6A5pDdTva1Gbm2Yy2aAqQe0GLVUGuciBa03
jj7gNRU6byVQeuv5pGedDi0WQCT5Nzb+6KYPdM1A4ZJbY7qhA7J5joGymR07WrABJLzekROTAtrn
AZ9RjJUjsa+eHJkj/wJF6JVh3m79a0NUyMQBwgb4u1K7YN3TU/TxdQW6O+z7m/KmKkoPZ/6Ki7uQ
kbhcDnKAICQCuhCrfhi+/O8MFN6bzAFKCTXB0ChsR+nJYFXGiSfbgLREMubsu49E+7nFb+9/09Ly
QlsKVCwztf9NoTqYcilNwcTn1koYPHEaqxnTFNQrLvKmZPI7ciD6cYmAbVCjvbIyjVOgqkyDYoK6
5Xbpk2GxemZxOwWZJ2BQE0feoebLG7q2WbmsfwFg1zcC1vbCNuU727JjAYeFbXB4vD6gGK0XRrWR
t92xtpARtvLNZ26lxgsLLpXEPP+9P8G/zQz3zPPXi550hcC1vt+6gGBaql0cJaSIWLvYeAlBjt2S
7MFR9N5CEeOJ3w+HbLtW9b7BCNCzTx+jPh16VsAM+KqeN1/K61BvPeWtCSzlNRJ1LsAjr7biktSc
nTGTnTZQNTPY7O8ogJo134NMVFZyiIIxRl5H4CHQZcZINfzp9NT6dj58S9Am6UGGnzsaa92fwIVQ
FakBQLZxKYHBGHXP6wmU+kgOwhbYEb/Qw2Jf+6bM7Binfs0etP3aZb50HnDzgQ4K6a7Z91wbK1qO
rUqGbV22/ezEmHB9aNwfz5JPQ1iCwgVwN2jNo2LHMApFZYji1kVPaLIdmjzbgCmw0tlW0wgg8OWK
vYVgFdAv4G+A/kKvDUdD7uoxRnt7krZ4vkjkITpLD84ZkLaf+8P6rTXQ+/zSDL3JlETJmAhmRhvt
tVvpLP3hdpb1wBnyY+V4e1v6IDYhTx152mhm9Gkym9OJJcHHqQXe41zoI/lZGbown6173zSv9oXD
Zat6krQW3ySPJFZ3kQJo2RMbWBqqGKgmIpN4Sp9R1SrcSbLaN8gXgN4IiGzFKJ0RLHO12TwL0Y77
abhNzX9pBi+Rau+NRrCW/7qpdM5n9HL6qLuhSusma+qkdfl4V3cPQqGDVuHHtzJdM/Se9Dv8DnIa
JDIjs7J1/sk4JdzKUftFM9ybL2pv8kPHMryXt26f2mNsA5ies1/Aa/mVrjmMdqqlrZae0v5YFhMR
+l1SbEL2q5ATPVEI6iVpqgvM26Tq8YNSGZpsjNpTB7x7bIp4MIvbnrfSHoyvP8Wm6sFAQDjGruJj
HpuDqkO1nmsPQXEYvMeoBiV0DdVBEHz0JIHSzHec2u1eLcxJtoRN+Cfyw53qA9NM/GGViuc2g8Ir
oBXGfyiqzUX2631Ta3UHuvm2dt8+jl8AzTCk2UDP8pEhX1ApRul5Lj8ju8+AisQHRdX8k+v4f/wh
A1DR4bA1tyzZfibOs2CCExFX+xkiDgBdjUhZ/+undzIdZ+D+MVw67ZAmQceviLAUrISUt2yrKk0H
ZURYqGwSlv0Tyu2D+Bp9Kowja1ZWNa7avkRRtbZ1bk8aygL83NEMDg28h65nTMjDxEPWrnF7qZtI
PZUfYqS9sZH/oIUTu3Kul64EkJCCVR6lI6Rz6RKwEFVh1sozbldIduno1lJtFKxoKMhMy2+RcEw7
UpdrucmlSOLKLHU8SqFkK36GC2tHcM0Uj2JJknO89Z9lowduTTA5nSfMhjU4pNmYTQ1OmtIJ/tNi
CDwFyjlzgnnG19zIg/RKWIgMuC9dnt2GRFMtPvKN5nk8g+RuEABQMPFAPIrFSvQ6+0rKN6CaxkP8
BvghiL1SK5yOUSpWLOIYRnrIeZ/U/Bpm6AY1+TuyCxPU/DJBiZzU4DVuydkFlhIsJR0f2J1vxcy2
0PMC4W//1dl+/3L/1CxkDTCnF5ap5IRcRLyWBhgcHjFWtQEdNU7yd0f+/AG+AcvJ6RUuKd/Q8LOG
w7ipj9LDpmIOXvSzqQ0CgGMfxG2HPk74FH8bwKcAD8+/oTcLlJTWuMbneQMYpO1Sj+Re8SpfZTDd
tVkBqhHoss4BMhjvJaDghRQPEo/kVnaKDQ3AF36lcHpTZ6DM028CLfX8LgedMFKQxZ45KAftaXhV
DsrDYLdf2mPwsJa2+/+sMlK4gFujUYRGIVc+38n+gJPjDSR9iZ+Kc2BNjqbnfwIMPiApNCPeBfdc
m6xPUsM7qOb9fbaQqJz32T9fQC01KwBRkIpY6kIwlUT3bAiOpU4M5s+IeDzxjmxpsv3fFatL1xma
VFA7nbvtwMp27ZxVhvUyoUYYxP0ZNjL6WaF8/8GaomCF/gbt3ewjN+5VPC7PYuK2NRCxvN7EK+s9
+4db//HPR1CxWF9LCRvImHw1aXsz4OCr+1DI9U4uXu+Pd9FTzerMeCuo4KimLGn+oPF5IaG9Yvrm
8we2avT7BuZVuhnKhQHKFWpC0YK0iW3cYc+8SY6Eh9BuepZXJmzxlvtVmf73OCh3yE1Vpgg917jx
j/CHeYu/tWd1L57LY5avDGh5X16MiPJ/05gVUyjA1NQS/gMSgulDEugl4MI7dj88aOC9e78/h9z8
T9KTCKYhlMGgHo5MLeV9FBZkNeDfbNwCFL/vwC29p1tJAuPm8ALBnXqnuOmrn0ElbyXjsXjLXBim
peLEmmUQVmjoBMEjvNrLtvam7SAohCfBT2qFj2uK4UtuZ05h4dJEXIRNSa1jlKELNePx4mvKBzyq
A7mypei5Ep+rcnKawcxRWYKMRgLQ6kgG1hFFvcoEAs3eNt9WqadncebkmZWvURMtTcXVl1HL3vaV
wHkjHh1i5PDlTkL3SfcY8O9ZDGWgg8dY5XvzMG2T6Ov+4t84JA59cwAhzzQdiFXpRuRKDfqmRTh1
Qj+aBqC/rOMSfGrHx9KrTK730NG/hhu/zdcCUzkTDmMFVDB30VwdoV+LKJwX9Slgjv548jTGGMRj
1gCxU23H1wA8ePI+by0BxM+aEY02237fH/VtFgyfAFgAOt9m9jCAva79cF6oQRBqTX1qFbQdEwZc
kuxHwjdmkLMWJzG6rOCtdQjHTVJulMAo00ee+ZnGEa1b5VGDqsxfnwHrrt4yKwty49HmL0MH0kwB
g0uIrkpPUtNW6ButT0IdGJ24L5mfpnb78a2RNUfAdXl/Jm7ugtmcDNJtRPAIA35PzMW7vMlTBuwg
fX2S/RhSCDsNjDByvYY7m6+1Kw9DWeGp6ZbUNBnloT716Y/SdKRpwADflUbNIoPEPsWxFfFO5qV6
2TrZ9AwVgBW3urzgF+Ocv/BinGwbSJKP9udTW+pRkNkK05hRmUGSatzUU25woS7GBZlQoozf34dy
L8YfTfMMShnTCwwv34pKTbToEb1nnJ85/8UiIBmLDcmCOZeOv3I+Y0M5mqCAAQhC6zuDV+tJt/nP
jSDZhaYvgOUh/Ey9pFtVDatG8epTpzJfdR1WTqxMiY2a+hq1w22WE8sNQRE81+fDBQj19WTXQhuA
WI1rTh3bfMihZ/rDwxQCpSzavF/rYJOYO48EJ0uNWnjq2idh2EqtEz6Wu8hD91Ta7KfkHPAWKJCC
j1CPzB79sKl37MpN3tm5QnrwfpR6Wa4hNhb3yRyazQBQaCvQFCr5AMXlSVOaU8xwO3A+mUzfkTEY
n0I0t4i5qKfqI1P/zAKqQY3QVPnCO5zU4WMfAlkMkaA4sfi3Fu+TpjASkTWgc7yyl29DBEyvBm1B
BU0+qMT8JrAu9rI4jlGZSn1zKnsD4iUxbqQ9usg9s6tIeVb+AsI5Gvc3z8I1cWWS8pcNF/mSXMEk
dGPThxZ4I2Z4EsZTh4dK9tmv9gvOm5F2GDMaGPVplFpFutYVwkEi4+S3p/anadAcLxPtKfWexsd+
qAjiVCeUVhrSFhwh2BMgpoJ2krkNk3oPDAJQqpnUDydkcyYjLXr0i/h8DMVLZU2+do4yqMHN3h05
dLQeo8uAiorZXKsCbpyGEzBXRsFD0Erz9bx0Wn+FU29xTBeG5r+/2Chcx/tV0bDDqWtsJSlIE23b
cY316CbGRwBxORoqplLrGndsjdH08asffRXey/2td5tHowxQe2/0ODmMfBiQOMIpTtfqwWihLQJl
T3DjTofupVuJ928XCDwGswdjeVTGMbjreRP5NokVLxhOeR7mdiAV8a7p2dFQpzEHMp1f4/m/vfNR
3kADDRJ26P2Fuu61vcmTIkAyquHkh4rTHBPRJ55Xm+nYGlOMDe9Ha13gt4sGAAOwGTzMIn1H92B3
ImiqUIwbTomqIW0aouU7zpQ1K7cvCzAh/D4sILsOp0VfBGMCtkg1lDCRXalsqiRVLeAYeL1ni9ho
q7RwBoaJnaTC26Ies59ObUczHJSO+BDgMMHi5BO0mHQWIHq+qcZDYgt+tZZknqf3+jziKyE3KsyZ
PBXN+dfTH3ZSqJUgrT1pRU80LdRZoA65XjXU3oq0NRaApam/tEYtdq1ptcSPiHu7Mjf8WnLEOlsB
ji4NiOfReorG9llVgNq/UBgV216Mx5MAsJf3HErYRg+y8MJyT/fPJn8b2ME746CI6OZH7EKrpsaJ
F0pi2o6noMitIPlgKwsK7iRq9OFYPSo+2hvU10DtDagM4dh+hNFT6tuRtgPTQYHe4+6P9J6FClFn
To5hJZS+dX/g4fitpkvIhKOMcL2uPVTCtbHsx1MZ+/tQAhREK0dSBtkaa/vSkgINr+JhiZQsjvC1
ITlvFb5nmvE0qc3BFyuHT4Pn+zO9aAL9k5hm1BNg6NqEwoAOVewxloAL8GTJOHAPl+yq2PYciNNH
YcbC4lKaG2FpaNiYy1xZydJ4yj1IiXjwC7avcI1RSXmjB606vkph3TkZE1R6Oo61CfHVdNtUVa2n
TcQb9we9tIB4n0HDHi92HEzq2ZAkfV5UETeepFo5Stg4SZseQW9k3zez4O5nQV5OBhsXKts0pCtJ
FOwNmR1PYR88ZWDFiKfMrKrPcY1tbOlcylBTwuUyF9HpOH+SapkvhXg61V30XcWakeEXgjqRwU+a
Wzb1WnnmNmzDm/7CIHUCmob3BbX3YbBt7J6LdK74I2ZuwgK4TXj1j9CZ/0Paly3HjStRfhEjAO58
5VJVkqilZEuy9cJw2zJ3cCdIfv0cyHfurUJxiuGe7oh+qQ4lASQSQObJc65P5crdFBZRfQKnClD3
CPrnfrqA4LEsAVQ6ltktHTRfpbeRWYDRrHdjPKtj/dc86Lt5iR8tkt10LN54Sq3tEzQjglJRZI5w
Tz63zzPaaOCyXI7AUC5eq8X1HhS/W2IElwl7HGwW8GYIfI6FF5W0Hec2UcomtZC8sPIDrf1x9tvU
VXs/Kk03+6JZezQtg4VrXyvOvh4aX1vUOzD7dCjNpvk7Nw9Z2dy2vfZlY/4vL874MPTlgMoTfOjY
yefjL9Wub5mBD5uURxMwFlXzEiVQm0f6otW71HjnWznetU2KiQCgCNBsdD5J70pVR6k817UFuycO
lEjbAVNxw4qtF8jaJhUduSDR1MCfLxe9VOiyTgVZluM0jQWayzOwV9hN65oJCJR48uv6PK7cyHD5
BpcTMlRwZFlcr0/q3Jn6mBxp1ZN9leYvdqEYHom1PixZVu7LllrBqE9bjSsrOxaGwSAKyWRkY+W7
CODOtj53CQx/UW/br3yvcm9ht/1vOny/PsSVdTuzJN1DSlJqtM4wRKdkN40Byg9QSyaz9XTdzNqA
UOwQRGiin1IOCHpZLE7Pqvlo3xce9kjz+lwZnpZ4FXGvW1pbs1NL0mkxMxDfRBUstfnOMT8AI/Ra
cszRv03sr924u25tbVxADcHpATy/ZFaLk5rwzGnno0WKwEpiALGor9n+bEPRmjyzGgXS6Ot1m2sj
xKNEQDFBiXPRNQXZeFDylipGiI4E/TijpRvMcQwElbsx2wDrbdmSEmZFbNtR4eDsJR55qIDjB02F
eldtWFkLpGgVAJZaJaBSAEfQebzS+8oq7Uafj7MDAOJQPVac+caU7aLMvMmLMFOCFggU/mSkfM+W
/lVBxiH65ZgPxADVvdceZ/vXsPy8PtErwebsq8TvJw/nSaFcUVJcg6YYHc/2eKNmIMYBP1gO4uDr
plbn+WQCpG0Y2diE0PKcj7GqF27HUPVRYwhH4iUCz804lnhLEXflGoKSK8Tr0R6PICPfd2YW51mx
pIjYPTlG8b6OSOAkN2PxD3TDr49uLcgIokWIWeBkQG/s+URGdMnHVquWI8B1w4FH9rxTdDwFM21p
bq6bWikrAD6LMQnlVRE+JY+tZhNxc6mXY158adXXMv8orJ/9o5356fLQt6+F8sbqu770gakEk122
v25/bai4eACpiP5Y4DKkc5DYSseTYsas6lO+L1n3E2qpcbB0UC+4bmkt9Hxqh+GIsHEeSt6pgrrP
mSlOXD555bP2pZoftbtFTUFwsIuTLQddHZdQKvuPNclB22mpY6Uyl6PRoPY4AiRsp0EzxBtv1kvY
nchG4GBHSwVelOjgOHeVfsYFPdaV5aiPPtTdCdLt9dFxvrO2dssOQK86yIzDqLQez361nR8hO5I/
RZqb5bdNd9OomQvu/6L21OXBmL6mte3m3Lo32cajZG3DIvsKRBpaV9EBIq1zNDX6ZBvRcgRim7ha
qz0NoJ73xrylnpOko9+BDNur7P5fZInQY4CMDfKiUE2R077N3NWdBe68o/UNage62vl2DIj4TdlM
fvl23cVWFh23LJS8cZcEFl3uHczR6TTj8UeOCYgEA5qU1K37Kg3aoagP1019ZiOkNyfKXFDnxqMI
STdTTPhJsM0yh3PT4vRoW/FXsyClX0W4ORcTVb1lbiEmCK5xf2oVNPIvJhgqjYXuhpaUhxiB7LlN
JwYR7LR1l8HM72zcfnfWOPKdlqax2xbOcJ+pOvPtgrYQcKjsgLUDpKQWM6LftHEaAmSbtQBYiPKp
mEnyPCWxDcXZsfIL9HttRKmVkwXcFuJBi5QTCm+Sl9dD32TJwLRjNYRl396X85PdoWRg2xtuuhYO
Ty3J8ahM0qpZxkI7ltYO+AUASBfchNogYdWBpg9WAWYwKMXliVvp8S57n6O7gc2uNSnfry+wjvWT
1lew0OJNSKDsjXrQ+foOqP21joMPIZT5nY4E+xYg7hK3hW1xakK484kL9Uq5TA7LtWNu3JnVg9Wi
wQB3CT6oe2sKp+7BAhIQSdViDntz9lSwE2WBBtRP9vxvxornEE50HHpyTxXNu7zrzUY7GkQJNWX0
oDW+9cQTT+jL+fyfDcmFsnYgtO9r7Th7TPMLc196VeFZ+/Y2b4Mm8otv/19jkh1JHdFeVZQYU4rU
uwFkFiDY1y1c4muADUJLCrYE6HrQiiYNSZvaerGZoh+76WYyf3f6W+/q88cA6ZefjRoou+v2LqMb
zKFlDOUXEXWIdIB2vbq0CQj6jvDMXcoep/JAim7DyKXbQ9GVQN3KRIhE4VW6+kDerjNzsHgeeYLW
9Zn1YOVGVWljm4uZOXcGUA8geIpaEv5jSvkWpSutuFJM49jvzAY08kuoeEp6bI1vLzTbwkeuzBva
KtEDgg5sZDst6SpQ5GPc5WlsHM2mDBtAxxSfaeNfo2qhVmcheSSEsHHKyf7WThbhmtVhSFHd7iBS
3UI3owcLLGSBQjYlaWDqi71rck4PvLZA9TZYyYOl9dW+UePqwI0821hLMTB5ltF1h4QSDn0cidIR
1S4ZmInG2jh2gW19U4jb6D854GbK/rpjCsc7t4P+OniGiRwaqPQuWKT6xQQleUePS+IbRHOrn+a0
M+atFofLddSBEMebS+gPoLdGGk4i6I/m0qR4QTbFHnRqkJBsNSdAPq09XB/RygNP2BL7WkMdEFAb
DPkkNDs4QonRGfRIl7e0c960KQtUlNZz4vMuGK3UG6zORctiby+AXe1TUz3kultVN6kCgNbXVvdz
4G/GX9e/64LdAoUvtPHCkcVM4xotxYDGBO17itrVkYNEqwcT6MCf6uZb1yz/jD31GuQsixFktTHx
tOwxq1IU/h7b5q0i/GsDpIjJ1F/aYm88PC+3M/BQOiYK0RCZfjlo0JHzFkSH6pEqt1ZZuXyuIG/l
2W2yq5bXSXHreSO6r9wThElYE04njtHzBZp4zGiGX47l8zyWAOtHflYVmRuT3FN63BtIZrvjQ+O4
Zq49JjwgRuZFo3UTt8PGNvtMBp37P2iNwA8smr7ATSz7v91U+cjnRD/yNnIC1crLXRPR6TDOTXes
9Jq4daVEQIvpoxvZlXlQgNhGHyoff2+4h4jOF1+C7U6FXhuAq9JjMm+70oyVVD9adHKNJLCU7z06
sDs7cykYhIuH3iN3DYSIreC65UsPwBScGJZuS6TPLa3TMQW5U4NTcq7Q8VLiJeuVzq2SP3XJxrtr
JWMPXmZUPVRDSHYTOZUd2QoFCKo1j0lYJV+HmYMAfK8cM6QgFe6ynrkGdztH25F6A3KxEhtgGuEO
gg+io1lGQ+daGSnxOJhHzUrdtNRcR3/nEUAsCA4kgYpxAZrJXVsHWufGPxEmqjaooZQa1YdZv0+z
mzguAseeNr7rMtqLz0KwB3MKBN9kfIZqpz3LdG4eFUM9aN1NHYMSe6E+q4xd9PcgWGpoFHIUaMXX
4Woyr+2YUJ1rxmwdB7TANmELnlSRTczmXZZ9mYH/fWz5faXfJNl8Z9Gty+TliWNogNkQZE6w/hfp
2YEzlEic0Tr2WsBBc2lGX0Yo0A1fivFX0TxbrxPostmU7RfRB/YG5NY8bbTPi9NG2mpnnyBdlAj6
sNsp5dbRrD2q7NT8FdhTJE/v7f4uA0f49f11efadD1ja2JpNF6Yoi3XE89f0eA3JJquegSWxq60H
+yWoF0uLAhHugbhlInErXc4465ekL3XrOCVoqqxfE5TezDu6AMutV/0NshMZgBeWX0T3+fB0fZyr
C3tiW5pVaPtkYKfVrKNj7dP6qYqeY6jAbwSPzx0qrR2QHRq2CUgT0dktZvvkdAeEwWBdoWXPukLg
IU0R6akfW9EIHgTWZY3vZBSF5L7RgOlIe/D13jcdnd7SOq4bN0MndHSYSJf+aCBY86Y4DlRlUGRh
D1k5gc1hrGZoFTn4n2OfkQJ9GWOasOjQ5xmxvXopFhtiGcDy+mPMrQ+0Jqe1B7beqvTSibYvtsHL
b3oyKz+qRWQDsAsWa59pJU53gy+WeQvCEGXY6XqNNCFNgQn0FKaLPwrBeY/nffGjXzpoE4HxA2Sl
WgSZpKIFEMlM8umNkyHiPkvNEW2aGi09lmno1qn6xmJebpbVt8yaBrzIjEp5KkHnBY4wFEgNb4aO
oP00tbi7f4CiXIMT8AkZDCDA53/aknfMncrIYA8LYt3b0A0FSOTRthHmtCgar26j0gfzGAe94GAX
EyiyeiVciBZDPAoZts43MTe5z42F/2OaSVd6XTmi+DKoauXslcXQ4x+lUyPikMGoml1a6eDXnMtq
1F7mTi/COQJCbSPXL+1zoH/gJABWIdB8El9KHlkUZvEfFU3rd6mOnl2M3vJqTWBjRb4PFXDvr3bA
f+wJkQsRXGH13DfnbkIOTrUg95u/gLkD4fTWBmB0sI/X7UgR5Y8dRDAkL4EiADXeuZ047aLYnh2o
leq/E8X20ZHi9qqycS9YtYJGQ/Bdo45FDOleEOs578ee5WHVgQBw+IihVR4vH9eHIp18f4ZyYkR8
xMl2npuyaYYFKqfwIW9ufpMK6lhPC/gkebvxcBXfexI5LkyJ+HViSkH9fOomjAeVId8OB8hOXB+L
dJG6MCAtC8NLdSBZlYcm195oQtzSHIKp1W+AhPQSot/Y0RSkGbRCr9uVAu+FXbENTgYWTZUzxQwD
i7voV2/lrpFOvxYQJWB/bhGgy4mvP8aEqAYgJSA5ln28BcGiFdswNvaBnhzJ5BHziZU7e3xk8Q8b
HLn2cm9ZiVub9zH5FqMbt1KgSVD8ZfXj4kOko86oHZXrHB9Sp0CZqC+qmbv1sr8+tas+I5hVTcsA
RukTbngytU5eVzwe4Z40jn2rTNykMDe8ZnX1TkxIqzdDgcRURnhN3CUPQEL5VtvtEkv/VUKo7vpo
Vnf0iSnhwCejiZpK56MYTdr9htC7Wycfm6+JdRtIDwH+hiK8jKM2ap1ywvs8bAnzbOWjtUHFv8XJ
vmVEWvvC6ct6wH4L7eWoRDl0xu7H2dqYrdXQBLzN/x2JdHpwoM10NHznoVqiTRSE/spXWoF9HsxO
Vfz936zMJ7Mniu3QxjpfGZWMcwwBOswaxWOkfakt3W23mtFWZw3PCygRAnuKvNK5EXSf8jGpIfVl
dRHeWQYfD/ZURbse0JMNp94yJX4/8TReFZRGFeYuYq9sKH3eHOd8q064ujnB3g1sIjTvION3bmQW
RACRxvOwa60XvtgfShdt+ICcq/gTZZxPWlCKfpnPxpOTgZRWYuolaFRCZD0HsKKND1Qv71hZ+HE/
7NKyf+qxTdUxu1fq3GvGwGRxGnRp4udaHHIz2shVrk7syfdIa6jSfIwScxJjhgYKByvHR52/XnfG
lYgkpLKQFwFSG4kh6Rxr2YhxDvATNgy4K9vZ3lTryk8Ka3Y52erMlt8sYorPzEkBsFbBnBtPWEa0
QICkAuGC/0MX8mIT/sZaiC0UN7l1o3Qa+tLLgNXMT7fYHVYuingrAemEHhcoGV9INk2RbrJ5xFUn
g6p7BzkZZQCUZwkSNX/KpmMy/f25cmZQWsbcTMjstEse9kCFuFMDMVDoh9sbVlYi2JkVaYN0eHXo
TMew5uo3Xhs1+gz33IzdOg+ue4yc0vmzhicTKMUv3DOGrK+whvPwnJjHOuX+oN2DT8B4yrFX9MqN
2vseAlXD1uv6/2EalRUUcgWOTTuPAjopbJID5Rim5pccp3Nc75DbIVBjpmlgG7NnVHjYz8+TqT7g
Brhx91rZj5hidGyoeHI7mpzLRJ6CzAzkluEyln7e43UHFpji+fr0rlwskXu3DNR1LPDMyyTvdl2A
D8UesjD9DbBne4z0uwKafcUSImGJW+bHdXMy18mf1fyfPV16xzRdFbcEcslhUu44u0nC/JAgWeQP
/JG0uVskqNm+d+rXmRUQLgxi/aPtflHjMSo8ZkDE3a2ngD4qe0o3HnSbXyYd/JB7o31uYCZMlNNV
V/se7XGUpYckdL7UX2O8N/f2kSaBAprMxkMDEhKphDyJRs8DqDW+OzfXp2rlCBJ84iiciBTyRd/O
ZGU9UllzFtb678l8r+yNpVjdwTr+gdQPQPgyBlXJBjhfQrJQn+hdwl/T0VUTPzZ+2466kVmR6xN/
Vh21JguSBshEyaSWtRrTXk2NLKTUzZU3XvpUf1V7kDcBD6eVX1WNor/QCpG2AnHDjk2PibFr2sFX
cP03zfdpI5+0/kF43YJ2BqUC8P2c7+wUH5pMDj5oILfOCKYuP38APH8Xq+8Dey6Ku8Zy3NH2Wb1P
9RfVr4f3RT8kqCQ4aIv8FwstVOuwEtDOkuUELTQGLXO6ZKHQ7DSM7066ceiu7vETA9IpuKAbH3hj
eFLUvaLrYc+b6Uazb43mZ6vb3yftFeSpG2NajV0nJsUnndxtaAY/qEeYZMWLnt7GGRJmheZfnzi5
0v7HrYQKNbSr0H8vJ+wQMyualTas1FkVFCg4BjnkUHYqSXDWOn2/gz4niFPJlPuprkT7kabjxkG4
Orkop6LfAkn2i5p1afKGJ4mCAFr/0N7gRQHerYzkQMcvnm1tpGdWbxPYR8hPmlBflSGII9GiuISw
ZjjrxiOilT8hpdjxgzGy2/xpIpAnvj7Hq1HoxKC0USJSJa02IR809vfxggcEJHyvW1idQPAwihq5
aYNp+9xV8rSmRm6nORAmOYh7f5SDRzuP/WPmQcRqTzG27vbrBoV8OZJpJnb6ucGsBscK4BRZaBkJ
4rgeZtMS6FkRxCU0eg1fJ0Gib5Egy9XAP76K5xEwGhioLsMNmh5IqSxO8jDpeQEKBvToQ9Da9Ae1
iPblMDkuRJ4WXymAfTEc8GZYc/s8O3G64a9rO5MCwApwJxraL+QcNeb0aT7gO0pXMEJ56tv15ZSh
j58DPTUgPuBk68eawumEJgMwoGh++SMO+J5+Kw/WLvnZE3f/tfKyJZhDY588AzoPEuMgf8huUITu
HrcYSlcDxOm3SHdHoNm7IkvwLUKGeE8rElDt92jwXdke2+GdRmFSbATb1UvjqU1x7p6Mf1pGhUUU
E3w/F2797X5p/XkJWOpzvOcQFqC+9pddmP+ZclM8vZFLAj7h3CSPnF6fSIGcRW65SfNbNb9fX1SZ
VOvCgrRJq1bRzFxMJPqVd9PN4Pe5R0Mt3aW36QGsrocuctNtcpW16ANQw38GBpzT+cD6mQyt3eVI
xI1uprMfKg+mOzKM31k13ky9YMmPp9eYvcTgclwI+NXMjYC7vpyi30MTAFI81M8/QUeFJyuRxgjN
vv7IR1a71kx3RVYBTzA9Flaxj0GAivquEh+6WL1VmXrYmHxx85Syy8BDoZkf8qTIsMj8YnNWTHXc
Ifev0OQV/TpQKEFsXBSvBLxEbdHToKKsz1pvyJTdpP+beHlqXvKuYiSYABtHgAH9UD2qvcYAH/0v
muge0TzS+pr1l5ieP+52MmLJ3WiWGc1Ui0N1+IGOWmBoc5ziW1zraweBAM191sZB7CFFqpT1FZlp
BKD1Urg9GQENDlr+TYvfSRWWRrPT9HYjx7IakQAPgIIYCDlwrRUefxId8tzJjaQjiEhAAHTat34C
81/2LS0jf2EQh2/vIw722JFvZJvWdhKaCXQQPthoDZftWsmoNrNlIRWcm6494Va79VwVsVT2Ul3w
vUBFSNSopI0ycjp3uYIgVDv3mgLqmfR1mBp3in9f3w4ifl6zI73TykTtEyVGcp7pk1/0UeppBfje
DHXAsYITFu+JnG/cUdauXadjU89XrV/qltg1cqhLvrOb1+mXXb0Pvio4ZMct9qy1lcL1AEV2tGAj
bSTNY9yWGpqxWoTa6rcSNa5p/B2RxufmwrsH/wr2ciKrSToT0OfWgjT68iXr7pUJFPD9FhBERsP8
MeKgdcRG0ESvnBQ0MsLi2CmQvOjTXj2k6JXx57TqfXQkK16naPQw8xg8tyx1PG0sBt/iAKq1RmOg
lbet34sxB2jI9qs4irzE4uK2NLfBVLW2F3VK6TlFrG3skbWrES5FuBPiqwVXy/kq54OWZClRcDXq
Jy/vbmzbNUdzw5VWjaCfFYUf7BF0mp4bURwD1em8KUKwINclnrrvev90fYeseZAgchV5VtE6LO2Q
dIh0G80bRYgmAZeOv1m1hZ1d2w94xSOSoCkZLirfcbqu1hOCQSBX5Cl4e5Rgc+7Me4TrQUWtjG+E
zdVJO7EneRMUtJzJRkoojNVjW+q7seLeZm56bVC4+cN1UZYBiFLaeIkxGky1OrTpqaY75wgpdAkM
MgUOiCCGKgO3xZY+ztpKnZqUVsoYla6C7GwR1vEP5Kl9Yv8tBePnRjw1ITm1QwqjbyNehEODdifQ
HqleShJ+5zRNvGd42YF3v1/2NbGqWyWtkXzR4C5lUtBj0ztkS3Zoa8TSe7JYCmWwDIw4wWsvtwHx
2EIwrJ3qoKkC0wJwpwC9Sae6YXP05FV9EfbVEcdP5NPsHgx8ITqeow1qnTW3xJUQvP7oUQfRlvS8
6E10lZZjXYTGeKcC5jqgq1R5ub6Z145VEFhYqB2A4+9CuzlPjLaNqFi/yvFGxoEzuhmo42/usdV5
w6EjFDFRrJCj39Bq9TwywGWwRbxlWvY6ec+M94QZt1ECpqDZCpLN7r/V6zWOCUD2cG+Aeo/wl5P7
EOiDFKWmVhGqHfA73DhWjAMqqd9W2lc+LoE2v5VW7lkZ6qQJ9yMHbNTXJ3jtPgFEN/AueD4BqyoF
ZBxDIzo7IzHuBGA2bEPoT7DM6yf7drZYoHR/2XQntqSgYwKZELjgAViXotmi86pSpxIVWWUBNvvO
AuWC/jgvuWcW72A1+OvxCQ4JwaCOtUX/2/kMR2xoEl5gXRM1VPM3Nv1sf9TVw7JV2luZR8g7ARCF
jkeBQ5dGlbPcQhnYBC6P3ekRmtiMx7nrXoxhcUHW+eP6oNbSKYLdBHSOn3hbWdo4d1LbGoW1zipV
dxlBW1F34DjJ2wwkJLnztXDK8ZYXVu9VaF3zSKJDZ7lo/7LJ4XMtsT3BSyJo1i7WsqlpS+hQlqHS
Nt5Y/1wG38ZtdNgiMV/ZnSa4j1Cr+Wy3MyUv7aElzaapLsNWR5KTQyLdvmluNMcDAFPXP1i+dZ1f
Xc7/GZTfvbzqWJNQYbDx0ypAhX15I/0t3ZLUWkvFm/AahDhqiRKpdAZir0MBOMIMdtkBAH0V2tGR
7veJZ6tu8Rwj1fC27KffZuoa3gECsVu1gJUAe2ZfOiDrLC2nFGpFIfRgXI18UerUpw5oPbNlI9Ks
XDCQ4MSlGyUQ9AR9zsRJrNNiyi02AvhYRYFCsl2eqcCjm8mOV86BgQYROWt1a6OIA1V6Lpk4BNEh
gqsa+hCkAAvRVXSARn0ZWpRnD1NHvtPIBHjCiRLH5UVVe3aNzoSosI2HIV7qvWpP7GXKWQK4K18C
yAzh8X19966cmxDDASxdNKugvigtuc4jptpRXoYsHksQyxSDlyYISNaobsF51twYl9TP4Acoh4yy
anNwLiWZU4TW8mG28+1IQAWNx9x+VLaAKWv4NZwhaNZHnwUuBTIVQU21lI4pK0PatvxhTKwoiNAp
COxhEgeGSlNwW6JjNwUiwJspB+YDp0Qw8aEOCt52AeVsBBSC8LtpYdOOdE21MfGrsyGa6xwgnIWO
6vlZ0GusJPPclqi+VtU+r2ptb7DE2eWVWaAVWU+f9ChiN9dXe22DAegpgH1o9L5IeXR9qi090Jjh
Yg0PsaU9zfO3FtKdLgEP6nVTK7dLoSIBCVzts1FLuvvRArhoANXLsG5vDfNYVFtbeGUsFngURU/T
J3OZ+P1kC6O/wO6XGEtcG89j+qxELqfor9IP18exsk6frYngLRNFeRkJ2acxEil0xjolOE/thwLt
ZAYapmYVgjHTz+vGViYN7LC41Qn1RPT6SruRstKJzYRiN7LHrL8v2RaXzZoBDfFOUGag1ioj0KaO
QTwzw2g6UFUHuUbRBdT11v76MNaWBv2pgiYKb15UWc6XJjdBiD5GsPIOJJ1TgmfSLXT/uo21dTm1
IS2/yeo0biYxEqCFBLtyUDKvAw7gL+VtxbVCNNv+dzDSRp3hxuBPh6EBJQNtWjw6vSCBubFdtoYj
XdlIN85lVMGKMuyn+raFfoN9s1ReWv1dE9LFcKTbS6SajcJ1GOLzfkEP4u/6nc++ubU7Vx0NUBY0
KFMTaQnx+8nuRGMdOMiZXYaOjkp9i0digCraFkfsmqMJqnUNFD9A7cn93R2aOSqU66uQdNEPJ3qK
EgtSVPYBdB0bLr1yTgKWg2wqngloS5GF33utTbVm0bE+dWPdtXrXuVail4dUj7XgumevDAoIBJgQ
qH/kpaR3edPaU8IUpwxtpfDn5qUuf2tdBr7SjdfI2oMPxV4VgrbQcxJieOdrZJSstvJaLUORd3xW
9NfB/KddQmYQlyt3trdoHofGfb+xc9cS72gP1hC80ZKKMUpRLpkicbvQypBUPUTYIB02PjuM33FQ
KZhTfF8ZLTJYdxYkCP9+ZoHvBngd4Q9d0Or5gOPBiVDCglOKF26va25cfZ8ml6gv/8IOdEsNcL+C
fUZ+f9VKa04NxQrGDaTmJrfqbof2nm3h8dZ88rOrF00oiFHy0RR3gGbXQ8rCQv3d8HtneqdblNLr
JoBxgJ4CkhEy7d+w4L5KrJKFk/LOrPcEuDBeHK/P1kqosCETgQNPtKbjaDpflaSc7CQzwTWOYRgo
I3blv1mOEwNSBK9qMrUmSPnD1rkHwntZcrdp7zerIWv7VlSwsKcAQgHpxPk46pjW6NOqWdjQe2B2
NcvHCy3aCkRrVpBDAL+WBtzAhTAaI/PYmjRjIR3vahuC6/k/Y/wtrb5dX5RVM0jzIgePrDKwYueD
UWYVKpnDwEKgh/dl0KEDrFF7b5PTX6ZyFucRmNH/a+gzWJwcFLOV561SjfCwwQHzYh/A4K7I0yMu
jd14J949KYcKm/E1K/x0t8RmaHfO7TKBlOKDOF//etiA83xej4FjwkXsfNhgAKrnPkHljLF3ffwe
mc+K+ZQaf3+YnFmRDvu4HnhFGQrZhcNvncDIZ7BQbXG0roVZoemsQ4pdeKXMNYnOMjW1dFSvgLio
oC3G95jLhhAvKiDDA+lH01W1Lc3qlYAh2KFtEfmAilIlv8nKmjaZCjBySvaJaMVUnmi/cXCt+Ca6
qNFviGuWiaKZCCgnLoNyrWWxYUaLlz77I4+9uap2ORquIjA6XPcH8bnSk/3MlBjuiSmnBTy9sWFq
JvdmNt6lRY/LzA1yXujn/Eg6dohpcN2kcLFrJsXoT0xGGiPd1AP7b08vDXrD78Ao73bG4tO53rh0
bo1O8vakXYiqWDBVG0H0OjfVU2beseG9NZ+a/Hvk1BuzuZYqBBcj+iyEMBA0GKQDGJsiamdw94VL
ByIA1W2VxJ3rJlh0zZ+TxNVTiBF7qoUHQ9nYf18iODMu3atAJlJStcZaquw3V8H5rx3NTYEJMQJ5
9U5HKPmm1SdGYttihMifZb75Q6GeBa094oLn0iHurLis2DfGltSf+LvX7EqOikdyPHOGwVHwi431
4MdmszF/IipdMyE55twvUUwi4CW6xON7ABBNr/O7m60C/9ZIJKeEugVwYjHNQ36722JgWP/b5ucL
GPz1coEBHZRdFTmYJeRo1XDr8Fg7y+Bh//3zshRO1ZkjjUSlvbiZX/R9+VHeOl7xBQiWxza4rRRv
DpybHuKw1yPGxqgc6eIBReau5joyiUrfdg9dDImHiCrWzXUrq+fJ6eikzVs6XQGlBYwOOHG39ye3
cCtPd4tgi/Z+LSwJ/K6QcEMuTm58VhjpaZwbyIzeo+Cj3CUKIAA+yv/IvmxM3ZYp6SRGmUYDax9M
cbVyNYd7cWL7tEXaWf3W9Tf58MzAlHN9Irdsit9PArxCZtDaN7BZoZbd8h1AbW6b7boZGlXO3UA+
HOXmusVVB/nfhF48FNREQVDWMUq6z/s9GnWv//21dCtg0Lho4CFi0wt6Oog0dBGL0J1jaZ4TPtd3
+a0SWP9U+879qTVu/wzJu13qX7e6dtU4NSrNo824MowWjLZ+HDxvKUCuHcPgkAHHFGhMhMDX+Sqp
KV7Oiu4AbKh+p5CYJORgli94/BTZBkZk7TpzaknywchKKE0yYF2sxq/Syf2nQWzVy9312Vr1upPx
SLOFB9aIoyESB9PkcV57k3G3dHdx/qIyir4tgbPYSmpd+p2g38P9Hu87vEUNaWRMjVNbMYB+6QB4
2FHKwb9Ettxg5VIhrCA3SyAucamHbc5FM2lFUaA8Bj2nQtllo9doxl4dqdvFP+cBXbBTeje+RsbG
vrpcOVhGGv0zmQoIuzSnuF+bg82AvRmp4+5AJQ9KL39LDXrDyCe86yRcmF2d4j4NZIOu3nOQa+Lp
2mkvkb6B61npgT0bjFz8K6aUFIsKYE/RkEMVf8uGGo/LPMgBK237N7V5ociaOFMIrcJyPzIL+AcK
wiSl3mj/WvUaZPRQkyfotbrog1NazYSETxGa5YOG4qOxvFzfChsG5MY3rXTauikq4Disxo3Ye7bV
97lyVGIuBTmIgHiKsvh58MhtbShbC3OpJvoh74xd3T0xcj+yp2weXDC+FBNx4znbOFkub2gwK3Dn
SLsLfilpv82GI24gE8wWAZ5g7S8V9DBpGfTE9jexi6uzCA0DARkR20+6dUwg4MnHSRhLLNdSnvCY
3hjOZYDHcETxBY1qeFJ+igSdeH4WGWqyJLCQJyZu0LM7oA+yqrZkBbfMiIGemEECDTBPYaYExEoQ
JnTsfjaGfzUYgVy1oaSBFOS5laxFf/QQLaghleAb40e0UyrxRm5/pckaMoxwOVC9IV+HXlnJSIGy
p05Ab18+6KWLpgenw7PxIRv2uvpudJoXR5DbmXPwk8SAqm/sq9UQcmpemklw7NE0KrGx7NnDG/2h
NL+okNy0yb1SULccfQVMe+XwbmdG0KvNwapAQ6YI0sNNSo/L41sIUiJjjwwW+M9k6TO7q+yo1LED
9X3T/ozTFu3kHxk6y7cnXYARz99F56akXTfFhaFkDUadtWwfNbskfpjTfFfx2StTv4JuA+Ue+/n3
Mex0fFKEqSOzH+e5LERi1tJfqnHr7BZ/4HJUNroccPvBGS6NqmlJRcgCdCAhWEEraNLnOH6J9YO5
n14UZWN3rEUuDdpF0NdB2xnan88dt1hIzfQZ1tJ4THa0BvtGNCszDHf/h7Tr2pEcV5ZfJEDevJKS
yle7avsi9JiS915ff0N9zFSxdYvYOTsLzAANdIoumcyMjIg3emskpGvRoA/xHfv2PHIMs9gao1Iy
zfRhOJ3rHWu/txNIqGsrLX4KgAK9bWze/9/m9M8oWZdpVnIR6TGM9eEvMz14I+f3L4UKF7PIwsmj
BEDSOp3jkdwkmvrsaz4IgjMiZZxgctnRzBo2c6pvZtW/Xi8D7DWGCMGc/YgsYt+cU785FsGh/pkL
WxlS5spKVjxHBGtap2x1HlZ3cdGgjgIeB2TCkTW6tj6j9tK2hcdW0Mvqb5BMkR6hAkvL/vftBVv0
IheGmGF2kaAWsQbEZzX87lSq76PMqVuSoAX9fzPEnLYoHYd2ajCi6D2AWA4Z7RBNKJxn2tJFBzAG
0qYoZIKLd96eFxedXBpRoRQYzZB+oI09rA9ZcL49jsUdiKLlDKnHBcTSNJh5MBRQkkHE7wgkpRLl
hTiLK3JhgBlDB7BMPMgwUGwkG3KOFKqKnPjzqz3m2zG9sMFc1YJoJEOuwEa+1cmzSuItgNrbe8sp
1r/B8E49AsJWp6K/MrxuKTXpm+KWzlldC5wvWVywiw9h9rk4RUmkjPgQRdtEzVHsXbF8ur1gX2+U
W4Nltjior6qozmGj2kMxtt6Vu/gz+Kmc64EMDmhR3Y5qFSkehSdzXdoth46AlXTGXsTleTFEZuPP
JIupNMF86xgu9j2dSLoFKUEKktqdSgRi0NwFYs4n0UvhVCTEwahs6S50pVX2Ob3IP9IfkiNtZPzk
9swsOhlAcGYaAEAYWC6ANo2VqBUUOOtPxdYAedxLa31jhOv/zQwzAXok+rJfwkycbNPgoPTnClQx
2VopfwFV+zce4GJMzDU7DZU5eTOwXBt8AnJqsF7SXuGUZxZ3LaRyINMHpmlwmVy7GdWzEsFsYcQI
ntG2R3Thpa54MlkL4AVsnAsrzL6VUrRtRzLQ6gbWJmzt1lsr6r7X3jvjA6XXsjEpaPFiwFbB4nl7
yRadHFTH0LAIgDWoBq4HqEDDMoQgHYIVqR1W/qSoZDQryZbSqsxIaSo8APBCzy8GixI8XsNf9y3j
9VTTb6ADbuJtrk52W6KTiCR23NqacuiLliD6pBWCfe0h9lG8iYGiUDk7Z/E0XHwB4xMlkKSB0BRf
INJee62gnxtlq2QL8IYR8YLB5fn9M1pmA1l60OMl4cElTeAoCX4P8ZPggQMkerm9jkshLog+pJnU
Z8aDsKfB0IDta6J0r70FEIA37Np4zcLxXvPvZKiDyyVPH2KhIR+U37gV5zQVaP9ZVYVB1sCTlAQA
oFiVuq17kLo2ShM5IXRlQCcWp+CH0icXT/xw04554KB5T1hbTd3e9XGh0FksYNs3nnDKLe8zM9IW
5XJkrDWI+NAMfaUkA7GD06Ut+ouy1tzGQaUCozRYB1MKrR1grP7m9iQuLRYI/0FXBFAzhLKYVq0E
KhE1IKTJXjBrF9lY6PmEtBFjpzL/OZMJZg8SRV89PnjlytfnDnLKfayD7XWv4XKSK8fPSiKI7u3x
LOZuZmTk3OUDrniWBGNuCvTqAI5l+Nl+oLc+X6FAOSDCBKdszXGVi5P3xxbLK5U3kRrGMk4VEvNZ
udXyrSZtRI2X2lt6oYJXCDEZ3nNoWmc2uqhOuuHPuPrJlz069aNvF2b3rmZTSK28/4ziNnGlKqGq
moKQshsdzpzOHpENMi4+4Ns4i65BXwhQ5oWNNA76X04ytV67H35HhN7u/iajA2ojyIZC1Ao4AcZZ
yRD+y32Ibe/TZA0E6uhqFm9Ei1MKDDX4WNBWi7LY9V4MVb2oy16Aj6psMLpN0H9zE/UQKA/ma5yR
7v32DC6FvTNk+z/mmNsuGpIQeG64RBTpf1XJs+R1K18uHD2N7KbhBGXzdvi2Wtj5qLzp0FdiSQ4G
iABVFjQSQAMDjVBX+JnUwzEyN5oZ3QGl+jqAr/4vhjcLU2B/zpBhxomMnlF2ddCl+zhtbL/c6S3a
y9ACgupfEHNusnnxv40OgCO0GoGe4xu1eNXG8ijFwMDnZeWWQuGIubXNC96dvbhiF2aYDWJMyEql
UTubQYdQHqw68JwAWWTL3rQNIejNeUEulkFmxNLcNGjMJavrHSkGHrg+DXQJyfnL0KwjEFhWWbVW
oTSpibTK8hWKV0H51tQqx/RSbHBpmT1uSYASqp6n+863QSZuQ2lN84dVUwtbLAy1+ofbu2VpBcHH
JqM6jIAIYjPXI5USIZJLFa0TUv2Q6SHNwgM0yTjbZGn9Lo0w06kP0FUwPGyTxFgHuUSiKLf7llrx
qk15mL7FAeH6hG4bOlcB7WMGpFe52gYaEL96qtJOGjM6CaC/hKwGb1iLpiC0NPd4YgQs/Zsx1ZLR
dj22pdLpu0iaRjsXzY0MwD7nTM8bnD1naGOYOxDxEkCh9npQuTLq01h4QPmaBVTTBrsNXkRQkMU8
9fOlIWHTYyzYC/BazHYosgQC8mDJ34/xNgehLkTI/2YoFxaYvdC0WWOOCoDSQX3IY6eDRr23yXjZ
+6VjdDmOeZwX6ZkoFjtQQ2IcoeYKE1j2u0dRJeWz6WWO2Xan24docXkuxjT//MJaAEb41pgB7XgK
Ds4UKmiUbA06FEbgqgYeVLfNLQwO+wBarRKaeyHrwJjTo16D9gnulDoYyDhte/0HSC7lZpuVxzTm
OIiFsSHpD/zmv8RWWBImK2/zom9nh1Sux3qPfvBA92hnOrfHtLDxUMnB7Q985Zc3up7CGO0PfgZU
2V5EN7Rm0rLdagLvwC74oSsjzMShuDBoytwNEGdOW9GxO4BqOytBucLx4kuGUGeDfu9M3wfvcD0a
ZdSm0YpxXlE5DHzVEYYPXUhIq38AbczZDUsLBJAtAN8o7gEwzWx1WR5TIfIENKFIKy92onwLgseJ
p/jGs8JMnVFosVRPsJJKWy0DrRCRy4eIF2wugF/QPwrmSiD9kSfCA/164lqhBFdKFWf7VEZRVzmZ
JjJWrYpb38j3Vq3ulfosAHAmopbtq+Y5FtVVsPJQ0giknZLxigBLmRFwyQBvAXKhmXSBeSY12dhk
KhoYUY9ygiEgpgkYqVAdpNwngX+vJlSx7LZ7860MypXS79uH4otOhvH7MA9cLnDA0KrUGGepCs04
+DUA3VkcQgJ62/ebUthVgYCSX/eAW8f16xH5mZpWQytSLXvuxRLqAYdBB6nCThN+e4bbxqu+PWbA
9PZQa1F+Z0hqCPIulFdpA+Vqzl2/QJEDOocZbIDOSBGYYmbKqlQU2mCqAd2HaE6I2onurxNLpWjw
CajxK9VI4Y+OIE3UEDqCr+pEkofHuD9IQ0RqaL/guXrX17wX7zxX3+ZSVlDPR1s2qKKYrSUOeoc3
L0Dagpz7zoAgeVWoZcMpGy+cfFNEvh4Ex8rc6DH//OIq8Ae1CqwiBCAt2YogNlY+8V6yjHteCXyh
vxw4fyTO5nfMzL/NGGolr1a1CmwL1lPQb7vgp5G9ZyDGyZWIJqJd9dNuqP076zOqfkOcDKLHTy00
VXH3GWK8Rms6Z90XHMRcCEFLMsBDaOtivqfHVjAAJZ/5+GPaJO25neTVFBmPfcFz40umwPA4q5Ci
ewyTcD3HnRdOXjlrGaRhbJvBRtYikg8RtTIeamLZEh42aNjBkn4jrVKn0FQLwP7fGmvVl8dCfxt5
wKelqgEYO/8YYYI7lHCFrG9LwPxlEzJTFhWSH4KZUc3Xjsbwq15FGrIJY+eaSvMUeLUdQFxJ6Vwf
+WAsJ5Bgwr7550A6yE7OXa0obc1tK8xyRoKpQ+8VgMCpepM8N+y3evE+8NrXFs7klRXmTGZioTXo
EURLwKpYczbk/IXMeYdkIrA0aMdDooltkdekrp4aDxDbpt6iETTdatauMnfn2y56IW6Bm0P3Nx6J
6M5l89cj6JVQ2wcBHeqA5lQQYLmI9/gXNnAdWijumEBaM0G5XgHpD70a5MjlkzbtUx9dwLx2gqWd
PneX/scGc9OMYpJ6ZQUbSO4CMKnSKHZx1sF+adm3R7O05thWiF6B6AKuitlZcBRdoQcAg4b5UQ3B
P+7zqHcX4mPz0gKzqzwL+P00hYVxWosDAFWWCxYotA2gMULTOMNZnDi0ZUPpAk2t6KO5dkaQRcbE
dYAJhY9a6IwqkqnbwLk9ZUtbGSwD+P1zthsEv9c2gOqp5NGDDenNMH9A8a99Ln10fHKi1sV5uzDD
pDaNDE9Po52Rdh8C0J7QGQQbvHgSjceaFyUspMUQI0D4aMbdAPPJbLdcznxzyoDbzpL6zlDrJ8sX
j4mO+osZ6SdJEFfo3UcDSzpwzuvCcl0ZZqJlAcwgSVjA48j+YNeqjPx+TUDVSlSx4jigpTEijJVn
DQJAudlMsQ8ZO1/owG86IWacpI3V/yruZgm7Z0WsaaLL7u1dshQSoGrwX4PsqwO5lDZOGoQEXl5K
95rRQDJeyeKjPzSpk1Zt5FaJ3EA3T0L3hAcNKAWoE2oN1UhDEIGRvgs7d0TC/pT2SaijQVHLclcG
SaQL0bGBU5BfSrJdfS57ckC+qpg+CFjNVNkH1nNQhvcRJGUVbxdapEbtJkp9ux1GYmr//FFrza4H
GxqgrG/yEDE6E2M5wExpeAk20kg66YcporyqCxzfLc/OmbmGZvUghESmCfdgMYfKy7LSKGQEK0oN
iuHSMaOGDJppgywVuqU7Jd350KJDTZDWZraKAiIZblb+zMJ141m2WKwsneYD0scgKR8bElnFm9Ly
Tv7SO+fiK7+xczZj7Sde3qIfJXW6+h0ZMzKOd53SugJIcgEEfw366S2rNnV3VNr4/vbOXXA8wLR/
yVOCfwBP9Gv/Jk+FUAYxwqxkZg570L2MCtAZ7Ubie4oNWOv/aI/ZeUnRx8LUY02acI8eI6L06sa3
NkWTkg7FP+GvzAGNB4Z01PC/Hr0Xb4JQCMwhNjC5oCglgvksKDXRjZ4IEP0Q5FPr15w76Qtf/m3T
fRGfzO35uNevJ7SAM8u0EeIyWo+qbxejJTEKSaA020rQ7QJ0e0q2HrPnKqrWSS+6oWdQs5ye09Hb
eNJjOu0LRQEpcnTX5G5uub5ivtxe8iU/rCCthEAARQpoa11/oamXvlGFaKORuw74DAGN/bLRuIU8
OvqkjJx2uyVXjKmfpx+hNjAo19aCwmjlHHIJ+zjPHTVRIOWFw46eMsW/L2uN1LX8e8r09e0xLsSG
85oDoDwTNmIdrq02TQY2JiCEQZx0EoyMTMPamN5u21icR7Ttzv1dwMazCZNcLNGPXyL+NKLPptHn
joaZqjTkKTQs2cFDAJRwM04EYMHrsXipX/2LRFaOtoU1EuiY0qx1dZ+Xzpp/Ebt1Lw0x/lKQayXz
dQSiddC6aemfBvMBCiad2qyGynOU2l/dnsGF4AqcVgBPoVd9BuAzewPglrxrvtC/3vPgq4dMPYgd
LUxjm8o8urtFW2BhRUUcREsgL7ueRejSd34joR3DDFVwvPetk4OutLCOTRyuodzF4ytevGORhPiv
QWYLVl6TjKkOPHWY/poENwnUZ0n8AcUGO2/p4D9MkWp7OOZgI/6LWdVRgpzpKCBiwrxZssTqasjq
oq88sxOiKnQM7JT3lFiCzlp4fSGZg5478JUyawcqZq2OVEA9K8Py150ww+LrcrKNqVVRXjKFVaZ7
yS6LS3+n6+XgRGb3EEi+9RSWsnaQwI3Acb1LZx7auXM6FpAqNI5cr3BtdIFVJj2w8jV6LKyzWT0M
Pi+yXFxWlOvmZBb+QsPbtZWyMfSuVSQgiNT+2EOQMB8MW+vSreTr+LtZyaFl14K61dqHuJnc22u7
PO1g05n7L+BN2abSbFIyY+gNPBT8BMpvntzZ5RgmjlgEeDz2ZUfh+hqqxplnR+1goudpyGij4+Ha
tYWwFydIC9/+psV5B4YNOSYdOXD2VSmmQ56E2owjg2ByHBlkGj/ilsdyvXR+sbKmBMLBWeyPOb+m
ldVt3s+ko3VpTwB/OGJUWMQL22hVtumxTh9uD2vJIJJc2EczjStu8uuFtnSQFXcd+vHqSD+k/bsk
ovX5oE7VVg/jzW1b88eznvfSFrOpJkv3hmlutKqDWRhW9gTHH1WDcyku7l3oQgLLiPc/Xs3zTXMR
DeWqmfS+hTMbWWXhgrAmcoLA9FxwwkHJdeyHtSa2o6MMUuboyWRJJMu8aj+aqb66PeClq2ZuiYJ+
AKpOWM/rL1HyatQ79GHv1akAD28HwKEPYmy38+OBJkrQQMLAOvVh03GcxNJlijAQBFjohTXwCrk2
nPlloEYeZrpTzhUS9pZ6qNvINv8C84z8lwUzyE3o35QgCjmuB9XDAAEZQpBjqvEadYLSbkaf96Bf
HBIybTqghiJYIhl/P3a4BOoCN5umAN5bNYdYgfRvfMbzn+N9lk46kqWAIs3yVPD615OnFqrX13PD
Qlo9okmfhFD5ktPxL/wJhJsUMP9iZyDXfG0FLeUgiu1QY80RpR/wXHhulMBYT5bvkdu7cGnmECMi
ly1/QfKYIy7ngeVrJgqs0ezOS2LkxyH5qQWc5/bitF2YYU73OGVdmJigeEQFVw7Pfq8Ri1d1XxzK
XAVA8QdCA2znEYD+cfOFX7Sqh8ArbNDuGdCVC9LP21O2OJY/dtj3Iop1WWVmuP7CupqFrAOIfxQx
xzssuUM82VHGnWnQNZalDo6piHGRwB1KCqiSUtvDZrs9juX5+mNi/vmFK+xHIROaDCDMwltlnmmr
8j0aCcW/AJHjYfDHDLOXTcR/lVxhJAmQFtJza20q7/ftkfAmi3GlQ1W1uY+Osr0UmEQoS+qLBsdp
Li/6n1Ew594DMkVQy5kaWzLA5VgFtolmM/DG/42DsRDc4MrV0fLIanwAfW75hgdDrRq7ivypxOiP
Mc+3J2xp6VEeBL8ZGB3RdTVP6MXS53qQ+XEPSBSOo2V81JpA0O5jD1HD2cbztLC3+sw6hsevBaQ0
6y5DvRi9yQJBoI7IMHkIu0/01+dQGgmE12rwHWn4xyELcOBARAE4h/+/4RHKGCgPo8fhjAe0eIz3
k1kT0QeWX443ffX+T6cRjWtoevmirARwgNl38VCCcCQDXqDOIHR5HvN90X/44Mq6beZ7pABKZ6Qq
Zn5hCavFOE8hkadJrpCgklehg83tFI5EE84Z+r5SMIJwHm0Q0LBRWfS3mBupZVVAjPTg99BF2xRT
t+oKXHAjaI90ihsEKsvj+vbQFuKxma4aTI6gZTWQPWbOlab0Y58GSMWDujYKV5pyVnovIgC3UQEU
OLEakyHMaTyNe9H7x2catpF4xKnG1KJr+/oUhImILFCCSg0u102hgCa6H9A6yjsD3w/btRnGz6p5
2KhmMT9Gy5pEqdsg569Lj7rp3p7L2ZFen7VrO4yj1bVSyiY0Ye/NPnXiEvDb/tArDR3GUy/yZEK/
+8PZ2Kx2iA2D2IGJuKRyiiKhDxBxZXdJcifVDVgQ9rcHxL70zJl8TpvZDxR0LUO9iQlOtLo1cyvy
+tNOpKVP2mPgQk/X9SkkxR6G1fm2uS9ZjIsJ/GaOOWeNOImZXsJcT3M03pADRIvTilYO2jVexL0j
vx8rpGcrQvcGdZ5D99yT1I3tLS99wdZSvn0JM7t5ngMBPAr96WAa9of5O36w3MEjj0axo8/n5nPc
0wCti7fHz7XK3ApW0jZdWsCq7T+6KanXGrr4ZCcACP5MAOyQO5KtgoPBWWa2SPFttMw57BKtKkUT
8z4+I2xvhI0O0Rzo2NChI7r4lt8PJQ3fm5fmXI4+hWZB6FqnSX2NjjoErGkV/bg9EYwr/PY9zIEN
IiOI6xrzkCJRTVaia64LWlBOSPz1XL+13ZjzWqNqU3cVzHR2PNFsI26NlvjHl4h8dg55aol216MG
8SjTYTOhe9L4CFfpQX47iu7q3fqsSLXyCKXdWXR7+/guugp94NWX2R6af88FJFzmEgmy+cxOhBRP
HGeiP5xiAv9IgXtzwMmz8ek/JSX7ZonZfaHXp3kxwtLk2sMpQt4uvm9o7HKmnb1xvtlhdpuhDmaI
esRwaivy0W0K9KbWIdnG9pqnyMCdPGYjKWPdFlqCIemH+Nge28N0tFZFTZIV7+yyuLdvo2I2U6Xr
qRVVGFVhC6i3GCJEdzoyyBvJINn5aQjWaLEqtmlKUQUqTVLqmyikFUSkgU7gXERsAejfH4PqgwY2
6hmYcH2xWhmyAbKBnV3sD+ZEUc5/lAISH+6NkeTu2VzTyak30a469GvOnf7/3Bl/bDMxmT61eFSX
mIihss3Pod1V95VKy4o2jn7KHzS3ASoaKcPbLmPZLHSAEEagToHk6/WQh1hXOhBS96c4hmLpg9E8
Rb9SX1kp4LTvoEEC6tafCoBUWrHhNVEw4eG/ZvvCNDNis8jCSh3na8s6Ci01IzKMtqXtxgIqXZxx
LtvSZ6pxZI8Q2V8PU/NBszZ0WNnGbbcTlCJJuUntX7cnk2eEufZVy2sgS4gByVtvZe0S8i69pJyB
LJ9NtAb+ZyTMZR+3ea5Ps/eV+xPutgGwwTt1XDXpdhz3Rv5s+pzrdT7s39z9hUHGk05WFSh5i1GV
TvFL2UqUxzbPHZJ6vTjNZMkVtDv7k0bs8hGxJnzo4AyrmHO+WXagf++4P3PHuFCvUGqUMWHIXGlo
13fQ5dJm9F0m2wjt2689MR2T3t4TbOP0v20CCAL5JPTXmMx6pei1QUIfNntqtNQ7o1c8eI+d++Qz
K3apnThPtw3OB/b7cv2xxyzXGIix1wWw12i/UC5/Lj6gJNs9W03JMfT/uI4/lphlC9C8GmddMJze
fvgoRNN71X5P1v26XvNUmXhjYtbNysIoMCMLAZ72GuZACnq05iCQ/59N+Gc07J0nqrnazAGDeI6f
g4ZkRLTbnW8LHCexfI8jSfKfDcF43DSq5GYaMW3h+Q1O1t1A2Ge0ZbL7K08B6AykD+eNx7IgjKII
mgAvn69WoJnWdwZ9TU8RWd/eb8uX5oUZZjyd4qtNZMJMq4FhmGqJK5B8pZ9e41+Nk77VAtH3oBsi
3UrYntFSWe54youLce/FFzAXSTdVsl9p+IIIzx86kBrMHCb59HkTOvvvb0frwg7z5o8iv2jMspgn
NKCR690j97h5Tx76NQ9qwxkRe11JZhwpXg1LueMfA/roreMNyMU5volnhbmvpjyJoraCFeUpOOk0
sktbdKfz+fYGWfaAf6aN9YBoC42KKYYZ77dylxOAin9bjml7rvCQOMVhy6NvXnZMFwYZF5inRe3r
KQx2rkHu8kOz9lfK9jgSa7OTNrdHx5tDxgmKsdhLrQ9b1hqsNdh8mrNX33iiSTwrjAPUQlBgGfNR
lg9CSyziE/HJOJgk52zx+fewOxxtaxB/AW3knCG5vol7qakVdYzHUyN2Cng3vcruwjBfdUVvccKK
xVc7Kv5oz0E9HJxh85gvcrmZNnWJCOmNk0H8XXdf3IHsPbJVYqwkJ/eIR3Q3IDsTgs8ff/XAubDN
dnsb6AxT1QS23eQuuPOC+85pX0XLNh0vd25vkMXtf2mLOWWaPoa1VcBWm+/U6SPxSBLaY7tJHNOz
Y/FeB6o13tS2jNOnrv5H40z00XioTIM1G47k7B12tg7adB9P8jm+AjLIsR449paCxcvBMkdvFKOk
U1PYq2xkyd9CR6DiRnvIdomHfNS7T8+5R3lkbItx3dxqgn4T8HXiDXW9lUpzhhIk8xX0eHBDaGDS
R52EHZXtp6czT8JnMVK4tMZECiEk5ZE2hDVoIx2LmNYrHwmN7TTyQpJ5sr6dxothMTdrlftRrOvZ
cLKVya4cmchkvT57jn7kPcNZJOtXlHo5JubgFyLYQcMaY3rL9gaJj+qnktom6RzeBuGNiTn1sR4G
8DIwtHMD2r0au3DTfKxtjwLDTm9vxiWneTEmlmQXmvPQqxhhyn/xS1LvBdvmzhvPBnO4xzpIwqSH
jZeevu3i44diu4EdPmtOWhD6hGTYy+1BfeWOb2wKlTnRk2/qSdvBnezuaho7P36UZHNwP5TAOal2
NDrtHnR0T769psOBrjOk1ja/eLrdvAOnMsfcAwhc8aR5FQ+FG/vU3wBvTtdr3/217nikgYsR8+VC
MndsVVZK1U4Y8kjfDJLc6bZOZl4/w+ZB43jLyTgSzUsasSxhKSZ2eFRtf2OSXwrn5mP7U/912Awd
HIhz1UplmVvMvkiSspJwrtXP5i6Rnfa9+4FW9D0eoI8K0Z21/VTfPdF+h+QTKOl6gnnlpRMXr/qL
j2CcSzNUUg7ed+xc+1Dtg3vJddvPknSbx1ck23wewm8xKNMv7DEeJs67qjYi2Cvslzcg32j580jp
A29c86/5djzQ3ohCtAXuN3Zu03GslSLVMLcILJx+ExDKK6kv7/4LG8zUFXEUjjm64k92+pkaTre2
HN3eS8/bluwOOXIyHCT8YsYdMNv/DoqZO6uxqkEMYVD8+DCIvI191yePj48TQVV1m67uNqfALkGp
tC2fzuuH/MfDOnDoM3WGc+f49HlNnx7g+3gbeR7nrblmfHkSmwAWlCouDTDy7sbNbU+3fCf9GfXX
PXwRICZBrhlpgV+PBlx/pT5tt+uHhwdOxLt44i+MMA487QwJcocwYqclVW1w2FHsytsjmf0TO0+G
CJp+EEGDsoWNdMVKQu+JPmHrB49KLNlFLHOuuqWwC4rZQICj0w2xOxOS+HlcqNGQjqesj1xoe1Gt
hJCIDnA078ZjqUm/nJcBQfeZQgMCsWy9HQxvba2jyHc6/FD0VUiMhqS/HwGMcC1HvV+tqPMkvp6r
j/gnrVaRc4aoIhTZnV+cdftqCf82qRffwSxc2wRdW3aoEb/Zh5yU5C7eosCmEnyKIFKyohV5grQT
/pyTQ0+GztlxllX6Pus6mlchtYfeeMSe7C3YQyO8U72mP0FDCqjebbcHe15Eil24bxwL4TUQxWv0
YXEW+/uWvTbLXIeeXnVTr8GsRjwsgLnZo9XI4V2FXxpm1xMMMzgZcNpI0mtsj4QELgHFa8f+pK8g
x+lt/cyxSPY02SgHWMT6EUGhy1Zpsc8sWweX56f/M/NJVRO1PHQvEU84acEdXH8P422EZmogDxHh
KRNbWmfnRmltpFbrz4VYqKDMl4whJ5VUlidr7ExQ1SpGSMS+lUPiqTkaSXo1zXgukBVcwnGYv0oH
nB5He5aCw9m/cFKpEckemA2Qiyc5ESww9VbomD3Kd7V9PGf0uTs8RYf89bZD+X7JXRtlwi9RAYeF
Z0ioAazK59r17p4QCq1v21jaZV+y2ZDUmQ89UzGxZLMX0CIz77LRiZ3A1laQuSO8bbYQ3On/kuf+
tx3mHCdpE9ZlATstbdzwZXKrV+mYbgrSUF5iSP0e81zbYhZLikcjsnLY6rfZ/gRZ6LsSiAnDBoeo
snmD+9jufKKBX7mF9mxj61s5tUcnf9ys/MCOPidHdSfqhHvLiTzbeOj3IwH42oYy7sHm5ii+3xrX
H8sscjvEajJif2NnJZvSOZxM23DkjU62xcqjHHe6tKMuV5vxKZU4aQlww/Nqv+GEHz4zyh3QPLus
Q7m0wQTXXtROlqBi9ud1BtkoSvLN2qDCQdgW9J/nNq9nj7kRS2Msg77/mr2c3DU7z3VADccJopcu
gMsRMYGgV+o5oIowUh6kFZAFPBTD8hkEgAitQMDRsUCvxO+bHjxFM6Djzv/tfJ7r3cvfnPI/Fphp
autBGOMBFgyc8sgu1iZJbd/musl5s35f+z92mJkaW92ohBkqo7l3bwl9y4lrvncvqcsNzmd/ccsS
Eyv7XqBVQ/I1ortwFdkpzQiewf2a+whePqB/xsRcSLUoRooFKfNT7USnkiAY74n6pBNAbqKVb5c7
HtvEQuZp3tT/tcimLccyLbTIwiy+1A8l/T3RY3rn25zwYvGivbTCeOQoUOPO0lEJ08jk/ghs8d3b
SxSwMcOOORcZd0SMRw71LBC9ebVS0jouKrK/joLdrv9u5mYxJIRrM28j40x1UfBrTf6CmXz4D7if
CwLENdKvhIcKW3gdYpEuTDGutM8Go4ylL1PIVrg5DV7Rz+UKR39Ds1Va05JzUy9foRcWGcda6+Bv
LzJUFKPNYP+ID8N2AszOdx94wf+iP7owxHgLw6uzWo2R3S2dNzCEkNgGk9fmtkeaPcG383thg/UU
QleFkRUPqJe/JThNyZYzXbxBMA5CywHq9wpkVXfJZlp3JN6gMsQj5vvq7L01DMY5SMqktUKLqcre
KnekH8HToaYAzCHaAKpmK1JpA81FOycFMHLyL/XdoDpRXdN13vUW/6jt8T7ebLVNz8NzzOO78WXs
s7qV9CAvS+yWg7qd8LCehT54opZfT9pbRhgfYg1N26QqjLx0GTl8eDRBzKJBN+Fg3nuqPVCRBM5x
+0gsJ1yJJzv7nay4h56z0l+O7iI2r4zQS2Lry5FZRDwcUDdDh976Pd0cn2kOjk79kReZL5icFQfQ
Vjszz5nfeB+ToYacQtuf3iYXCe5mXdv5EyfqWPIwc80M/0HiembAwgpfjMsAqVHozTAW6Dq5SCe4
3Q53ARVWiROQs0d/3T6RLNXW/MYB9xuMAWgPLblvvd5xpgpjhr28q3Wa4sl5cHOgKhGQ+iC8cCWa
2tnKfEwbIj7eNv3FO8vsoyvTzFAFOQu1TIUzLc9oUka6a9iDC2b+grfgUNgfANgS4VgS/COwDdq7
8r36NNDP+Gk4qjtK8/3W2sw7z3eTlXHPiZ4WapjXM8NcK7LWVSA1x8wA500lPB3AEXjUnD4irftk
Hp2jd9Q2vJLzAuJitgoSFrQNoiHyq+J4sf6ZVkPlIYQHU2ARqiWo17gJFEgBBzMoCqjbJ+hNbgUb
nIF4sfF2w0LYc2WduW20FA/tykOOXFzJq4PsSGtE8c6wLYjxka3y15y33ec1ZveAjvY4CbktsJ3o
zEs09oqu9VQMVyMVJHfaFd4NRNsK2/mO470b5PkO+2YNdCozNzcuco1x3FXSDl1soLSBJ5exc13F
lbcGie6qXUijo7AqHGf9ADg5cej7SKAvQm5v+cXTPfO5/PsD2OEiqMyDZq6tNHh7Sogc0hXUbA95
T46gqgXrCkH97y9iPnTsAS6NZBa0FNmO6WHS06BQTKRB5S26iF0Xib3jPaqa/s/bw1sofuhXlpgT
XaOlJgoVDyWW9QAsSIIrcHJLKDUpPgmpf8oAn57ofeg4wkdEfVv2SUoiujZO0j23Nj9vHXaxL4fN
nF9tFMdM7arxZHnDsM3AcPWhxqVKirILdlVkhNQzUzRviGm1UotCXXs9IO+cGeF9BBMwooM97PwS
c688RdYmQct/RyD11bmtZiea670bUKEj7f+R9l3NbStLt7+IVYgE8DoIBKPEIInSC8pWAJEzEX79
XcPvnC1oDHNu7VMuV9kvaPZMd0/H1bGZo5vUQHu5AyAkAUbturz/SyYN/fg4GNVuJFmLm0ZD5aSw
ZhulMzN5oWWuEplzS+hW2/Bi9v1O85dBvY5NaSGY/W9Ntji/YsID/CEhjJdZ1hIgCEQDDgok0Zpb
GCrYeNi0dTXna3gQe155ZerNHnPNeJxpUiqhDmgGKFwGj+jl9broCY+pCa/rB1OM15kiX4uoAEzJ
EgGSjiTmAA6zg2WlmViSmSQRUYZH0XhpjI/w6syDQ1CfBMEq6n2iNpztChO58586yNi4CKPoapxS
bR8ysk3I0JhvwS5cbtNluCw/fFuzc80KltqisVLyikXGlq0npsXLb0x0/+OHYMcJQDkA/qr+MSHo
1YKnBn5/eu7Ob/r2DbVz41e82FkE3jD1iAOLlwScytj+oMnofO6F2lUIQVPYqzAs4nEbuIqNPTiP
F6t2W1wPpqU8k5cumHKJf9Bl1HzW9v8Raw3Aq1rlzgxXO2rpGzBSFUDTlw46J69oknSSyCzitZ46
sk5K6UkWV7OQyMkLBogulWO0RBjWWl6Rot7W0TIvTf94XwMnFZDClGCEzaAwuT/9y0qYo7JSBP1J
dhRzZhqrHS9Lw6PAaMOQV9dZ1176U+KGlmHGO9P4uM/D1DOO4tQ/PDAiLgIMwxBKygORf5vdgidG
k0bjn++j6+jnGXmhkEl1Dw6sAYeUP9Tk1fR+3+fh5sgxzxNgIWjpELAfwHxk7HFcoDaDQKA/VStp
odgqKB0AXWx+ztEed91zXY+Ja/lBj7G8g1KrijQDPeNIs/HIjlfoCp0v/UXrGAtATDsC2iFO97mc
sIyA4cLmJrR4INRgh24iEbjvZY9CXiPt0xmGjIydUoqkqd3UR3495yw8mri4H+QY0SsqPzPqEORk
qOFM14iS7htdN0MxI0by4hmNmQfP91mcSqn9IMpIoy8W8wtaPno0P2TPzaLZJggN36uN/BSg5/A+
MWpHWKEZnefN5o6ig35WJ0YcoUB78ctTlF2ssr+4/xsJJrpXml7CTkiQSBrsPil/h/HyXxDAYkaM
7kH2IRs/tcvQsspvqEzoERxRLcP6Gus+Bao6f5zSiALzCuizQAsCr+9PPprVL1bLUV3e5+kljS4h
lvVG7mQwEAAVVoosAw9toPEUdkpfxRETjH2oZk3ua/Qe1Bg4OE1KJA/jQKlhGoBCqThew8SYMZCU
RtQY6xCLsRYMidif1uvtreSOnPcpfj9lJlmS983V3kQb8oqRTjO1V8dym5rp9gM5Y/K/3RzzOnkz
qcvCAD9DGK6kkt9bLJ6uC14cOKlFI2YZM1HFKkaqY6E/oVsaFUG/dbq5xBGS27q4e0LImIXQCLBi
DzEI2ui2TnsIsFLRJ8auI+HxcJArxEOblKzIMUhJ8nD80g9fa+P0se4X9090Kgs/utk/cEy1WR1d
uwTSKuwvj90yOVwfRDf58JEk52GmTp4rVh3Q3jcgSt6OZKQYSpA0giTh9rwyJbr8cWm4jtbkgzIi
wai2GurBPOlBAi4VivLbh2F5Sp1Tt0bub7GwN62Vo5O2Rgh/NJZfHxxbP6n5I+qM5l8AT6KGGu7U
KM9q8ZKmdlJx7muSQZweEoDo+ME6xZ/GpetDtQuuwXDCFpN3KQysxuhMv6s+mkKobTHCPggPq9/v
C8kkX9h1PUduYk4BuH4SVQo0eg1BNJzKYutFu7J+FAGu+7/RYBhrsloMsioeTqH+O2uuxJBWM5+3
v5nHCKN0ihF7sWCEMF3l1ZTl5TUX7QLu/31WJn03rLMAmAuw/oDsJf08r0HLh0YcsuFWRVvrixkR
ycz0nJTMFpkFlEMOwanEFV11e8OHQyTF4qYiMdFrepcP8Hi3V6RxsK50U56k598P2d4hhbXRSvJa
HpLHkvTLY2q6+/scT2V2fvwA5n1Q1K4ukrgaTutzFxAfntxjb29/546TmIfALCy7sfLCTH/ZK8kq
UaEKHlCU5eV0bkXxP4zq6BwYQa2UwZ/LgLM8PT9v881bRX73memTxcxcYKjPf9xJGEWLrAvaakOE
BRz1n9TNEXVGhPVhNsNOmXI4XfO94h9b7EkS8idPzW3pCqfWE23OqdNTvccuI86dYHi9UIPdNVo3
evvtwXB+V9uOLD8Dc2GHyEGXZnY87mfWnvcSy5Oq9M0siyimNlGTSAalvT7ri7fw4015GuBPLcnC
vtqt9br6dVy17tdKIObr1bafQsIrhky+JzeAaCxtBOAjY25rpfUvSZ/ivKXPbHYoldP98+V9nx7B
6L3yg1aZ5VeocZi8RfrTnAc2OPV9SQDeNF0CA8g0xpUuQ6kSu3o+nLR5dpYv5dnIun9huYFhRZHl
0MwH1MafLLTRdRiKizCcvCIgRr9s1Oest+4f01RWBef/TYTyOTqnQTGqMFQHaJ3qzE0hxiBmeTy9
JJLlP9Z266Abs0mIduKQpVaUlX4KiI2yvmIAh4lRdkELEylr8Na3YTcLzdZA/7fp+0adAVFVKTwy
JFXgmYkMY7ye94axDUJRi0ndoXOTNEEeO0WcYcnz/d8lTfwuAFViWzZdyoURb+Z3BfO2TNFCIcL6
zyTzghYup9gm29OASsLsCSXXkKyMFaBQVq7buM/uffJT8SaagLHsDli6+AcLXybrQZL44SCerPNW
MYMVVinYq689x9ZNNR6MybArhQo9KnV1AJeFnRD09CRvWIn8yu+0oTaMueUfdBgl8dT40ict6Mxc
+HPbh98dIIXMYWHDuJHj3uW9IVOPN1pF0MZBHzRsOmBURvb9or8WqnhC22hGLg/LBYzpRnDsFUc3
/3wuNEgHZiDRF45daQKjNjr2WRRBg4FLy6lI/7oxB567M+Hc/yTBWDBP79OuLWM496thTezNanfs
OeI+IQg/aTBPv18Ewwxw6pgbRWW4MJdk01s256gmhPonEUanpADuxQXI3Kf1jCivO7QQmBZaXHiv
GvfAmCd8JqBJEV4oktJbGXMq6YE3mc+7dObJ9vo6y5uSXnq178/H+YFjjDnfvzE4ssUGdrYNQ4bv
VwglU2LWiyPHvlD5/6mQP67iJg8jCoF8RUfAFRRUQifhA/Piuu4H7yZ4fFAjO6Li50NSXFVcRPTL
+AXUMt7sx0Sp9ScblM0RgUuINR0DuoIRf6tutsBRrSBVPdnz0H0mmul/UmL0XA0z5KMVUBoetufG
PJ/fLqb7kJm/H7ZOjmGeDtOWD/DSOD45T2fYDLKQ+2WlUuUXz2+PV0I2th2SJ45m/mmeKXOYggDg
K12qxyhMGs7rwCszjISgGQOGGQEGGV7vi9wE2NpPIozSDEYhzSoxvVnKp8MDgLY693Dwt01tHTb7
aLCMnPhoXUVWl0OZw57CpPovVzoHL4HyZdMc0POyqQpycYJF7eo4UvGwIS92tsR47hP6TLXXL3/A
rJVuylx9mCiX/TiDW7fMSF7zGXCcSgEH/aw/PW/xYjhL8qiZm9J+sXcmT2j/Ygj/uVd21LTSK8O/
pCBXFKhuoBS33lv/ylR9k2A0sFPmmGyjiXGrIFFmvgAWL+StlZ0oa/88Nkb5jBrLgFssJT1tLcdx
PqXHxePGpmNeofmccLpVuHfEPLeddtG0PsehIac3OA+OiEtalG7qblCzydEByscY+jMM+8kf8/pe
hbhsc9RQTsO6cUzjdF/+/2Ilv++IeXfVa4oVsUkFjs7Rboup4xNKs+Ti5juL24fyZzT7kxXGlETo
rQulDKdnbTugQYQOhh5MYh8DdJgZFu8BmCiE/yTHGJUsVCpPUCAZ63VCrC2ua7l8vJqLz9o9wLtc
YcDYwIAH72H7i7/0z5GywzW9UGEWaQY2E99U31YQRR2NYpXLEcbpB/SbDOM3Z9i5qmJMG5nQjAjL
+YPltrzGBol+409X4JsG80j3SR+UxoXKu3V2KhPdrMi1zC1i2+YxX2Bikxd08JhiTIbaX9qoL4r+
NH9SEWU6y8T8VKwFhuBeMfLKO0LuVTHGQ56LtZapEJE0AzCZv63OK0zX7/ecq5poJfwhiux2A/Ei
575P6UAMYTNQB0Bn7MI2bddYYlkyL0/Fe09VxmiEWjEYQpzjLUnQoHt7S06f5B35ccRUputb1gfH
jvzZ5/STQ8aOGBdFCeY+KEZka7XbysGb8mBxiHAea3ZDVughFdvkkI6zhR62E1ki54+RXswOr3Wb
p8cTOdefLDH2o4oqqRV1sLQGuTfQuzgH8uk5CztFfyD0+mv/8SFw1nJNmntJ0rGgTMDOnFvwOvIC
MERVwb+HpGgNyc6AUr1/hNMaPfo+84LlbZ962M9KWyeeMcHw9vawREJPIWgG0nGUrsvTaKqxf5iQ
EUFGFDugBohI/EPFUP4CShkN7E1Ht6+v9zmjqnqPDiOAsYq1PNcGB6e6itW+3P/4RAYMsjDignm6
8nmZaFiUSY8NAJ4Yhd6IK9lcucZjS7iu4KQRHBFjBK/R+mqOxU0oX8dIG6BIyEtMTNujbwpsG4Hf
+LNMC8FOjhzSA8z6JzVHSB4AUoRn+yYtw4gW805d5R5NkB4uxnDCh9xFtfNC9h8854KjN7ec3Uhv
6vi/1y8fAdi+uH/9E9WPH9d/s7ejr/uVcG1i6iw/r/+vo/Utcp1TsVgukIjfDGZr2btdYiWOiyiP
x9pEvvEndeaV0vS+riUDJ7hG0/KwjEVMoZcYfndq06x+Ay7R/XCPT8KaOxJEdeaOTrEjiklcYms5
DY7Cxoy915qUWIApOReZY/Q4An+zxKPjNdJZGvnAWT5pD/pSRdaUI4PTfvtIBhnjUIrDLKozeoIW
ahnwch8QW9UoZLSWuepdXt2CZy5u8jRiqLwCnRoQ1TRlpmGcwfk/I2vZqrmy/lUWYMQbYy1UI1W0
VKfwEJgS0Exx8Wqu9vuaY16n48VvMux4YolNCXlEjzDoiABRaIFYiBl4SeNE5BNYMj+kncXXb43i
P0K3tgRbdb3VQ3F+ur5hjIn7wk+6tyOeGPe2C8RMTAoqFgl5Lki9cdQNvAoN6WAAPNnRecUNu+kn
76gUm3zuAYUL+FDcFrJSxKpIty6PBrYr0uXS943WdGQ84o4xG1UhNYkaQqsQ/dDg5xNoZnBebNP9
Wu95iALTSbARNcaxEPRwkFQPjFmoFWydxEbr0PJQWYvXlb3qydFFeLL+uM/itJ+LrBTAShQdO+2Z
t0W6dvM6FxG9ysBNfMiPpyXiE2lJbFyfi7Hgr6/2lvHjkJ1+bL7JMnKTX+RZrks3sufzA5YRYwuB
DafeVHfUqTe/0Mebo89ccFGW4RUVJ+oXVEG+qTMxUoAm/lgqa5TFzHoTnt62S9KZoH/a7XjoXH9x
F79pMTIUYnuVrw6gtX5e1xbtDAuIc1jUKDXAdtpwvO8f7V+E9psgI0aFrxRCSYNnGnHCbAKGdW4t
kP/az3ccWlzpYVxTOTEqLJChr7qwOGOmb0udYc95Wdi7Xza8YdtyOdzRL/6p/d/cMe/QVb+GYUe9
b7zkJIHIoHVj8atccFH+/+IzfFNiHNYiEbB6bgbT9ly/a0SGdiwXqTvA03/BnpDBVBzARnHY+8sz
+02UeYq0S/WfZGpl19b6gg4VfUMWmHVtTPNDXe596+OZ1xHGUQfU2XHmo7e2ri/K1aC+bGlZZ8Hc
au4D+qgrq1s0HP7+8qz/lz+N3a0qXbQkSWgs82Y8eNaSKMi5m7eImtdoJtOj+rukaAJjYuqgBdTB
hQaflmM9UBf9kCycYP2GJCcyMOBvs7Fd0TSPrgWcNTew9vETL4U2nR38x9Ro7GQ9TLqWlBp9IKH7
zikgyMeQYYX8Afdsp9/i77NlLM11ps1kraQCC2QCDFqmLgJsfcd5MeY8Mox90WVfbssWZPSIGBdM
n517U35PSG3FAf5HR18xsFaRZarjZyzfF4vN62qFuOho22R5cTzr/f0FAyxn9MMa+2xjfngImlcr
G+EzdtBzwvXpBNXoAhgTNZt7VejR7LYFWL18iSnnGdyGPccsTYdo32fPmKUAU5idR5MOGUZuzdmb
4Jh7lwfqRS3OPYlmLJImppnu0xB6WBaWRyjW6X02phM2o8NizM/Vl2qp6sBGRJA83J/Rq0Kx8w6Y
MiM1VHVnm8EjoCWP+zUXpXY6zfHPEbJl2TBXPUOgEeIWVCvTsIV3c+XXHJ+OY9axofunsYv0Kgqx
hRFagkwifCx4q4sr2SAhW5pHgELwSjgck47VsD8JZn2HyDdEym39VtBRbDhYh8c5EJwk8rXCboVj
uLh/izyRv8UHI3ve5B3amW61wPnKa4m4hx1QW8Qb1v9IiLE49UXI+5qG1dnCe8Vzj+0G7pErGPd9
RY0t0oZCF+lyB8F4XufAQDF2wmtwjM39zTe8z9EtHr+jYjdMu9HRXWeSH6gzKh3P262IJx+Ldcgi
MlMXteGj6cqvGk9AOO/U7ckckYxUvRWNFIe4vqCl16ws/7Tnmaf7XhOWvPyUQR9I9nWUgK2tFbhI
fTwk56/iBcs1EFJw4W9vS3HuHSJjRS613KZiConvHOttjbnJ7cNpeQi2n6f44YDepF4mn5+EmBVa
zIEkZmzWx+jYuy7vZDmusMYm6cIK0WlKVa+01ue3B+f0iJ09ePSPe20ZmxxnmKd2t0hgdJG9HAxx
QdmeuU5+IZ4r2ybFpuVcJucVYPN0ahBinzStcgMK92opWz0nQ2wJPN3mkWFipLDx/lNwcRzVRSHd
MA/E/LVCDR+6x3NBOTpwC41HRzf4/zUk6y0q3d4jAOPuKzbP8WQTcdcaWZ5qDi3rFxYSSg/L0KnX
77D6dNCB1+vNsVhsNq6Lc3XQO0hCsPrEqPgHhxfe1TDOhponsl/QGrqF9m36nKB9fGHTm0Hl7ZlD
jH7sjjKzibhLF7d4LcELkAjeTsibepvNrcyxTn7z0kl/yVz94wOwULB9bgRyTmW7SSxBJencDVU3
7jaxcZQLyHqhLNL60GPgjbdqnHOmbHIuvUaicBXB5rr9kl7L3RdHayfmm8c5hz+WXjZNEIcpdZuT
X1t0n0fmYulslYUDUTz4C5Sfyc7GIFNLvtBgxZF+LnHGB8ln6H0uK3CX2WeUK05vjrVWtmJhteaQ
216z1x/M/sXau1/HeBtmMFvr/9E6smm7ugnng45OCVr/ASgzvGS0e8T4w+H1L2nWf2ToNqc3siVl
KotdpdCbDH6hjUwzpTO61jhUeOLCBEGI6sIMC2zR+5OZuTsn2ann9YxzbKLMBC79RdMDIULbCqLy
YKUtXJ6V4sX97HI7MTVC1a9A4bxNdoL5RnLkpAAIvpgtOUaEYxDZFrhGVupmToFEWhObLzY+iRaH
xeOuPKByzyFF/fc79uqWFhhdvx81UdviOTlZVjsnA3rIyS9kMi8cJ5sjAAqTM4lnRVMHAzhCMJkB
1hbBisKp6XCyawBR/um1yTMh1+MeSdLWBLCN9YCNrT75RDxNMEW6C29tCBXWsvFA4qdDFhkb2QwV
Q3T6TXBGZyj5oqf51Awb7rMT2ae59YlEjY2qPc2W8HuKJ93TET1Gm7xudqnCFHemknXnGk/R7/tC
MR30jQgwulRjNCLGhDkkHVNAzttvBH2oOsaEvO5QK9uv/50UjggyT3Qqa5HeePQEyXK58Bx0TRHP
7g/3+ZpUqxEVKqSje9LzJO2ygLr1gwWcOJ7JnkxqjD7P+vF+HF+MgqrSfB8sYnIrCXAMKU/WWB8d
GyX+Eyyc10Dpos3xnwjHN2Zpukdkhng8TWYZvnlinfR2kPVLS7Pjl81vXI2GPdDrObBcDEt8rXiV
uEkTPiLGPLuqYKSS9H/ErG3sCO+uxeNn0tyNSDBuejyPDCO4ZTkVUzy8IMuPAJXnnt/C3j+M6oiK
8lPQmvhaJYGMU4utN6zz+ewAf0UAz4MWHj+37ws1lxhjDQq/7XtZBzHrfC43CVm3poLOUEd5FfSH
YulWjcOhSH/+PfZY81CkEmD0QDECUn62IMgOExRMXHXJk3bedTF2Afu+4ErThl4U0TGog5aohYqS
8wbFEoSlxrLF4Ovzfe54QsgYiRmaR9KsplqslGQWYfaEW3LinR9jKOTAyK8GFcJ0GWy7tWF26B/+
os5diL8ckZ/O0XwLI+uqN0M3LwwD1J63yOvjCIEhax0AgIU/qDxRhAWsFWiIgJL0/aOcLtGOSDMv
ciRFs7A3ICglYEopUKmGPGlrGsf8wSf943vrXFfDSt76EVxo171PfXpaYUSdNSdRkV0T2q+6fks+
K0eFhO51+5kHmzGdyBjRYWyKMvS+lA04YJl4gLTfJS2W76zcY8BLxk4naEaUGLsSSLXRhgqVzS1t
DwSSfARdWKGu5vJwX6Y7tka0GLOiJHKiChf4AKV1bmyUufAw1wSrKDAmhxIQ5644WveH9575WABL
Tb+F1sffPhy35QGFELQOYOM81z5zXmrWk1fnqjere1BrzG1BfFtcYMENR++mS1mjA2QMiQaGmoJm
zptVvMHagy95rSbEx8K+HXbofHF9KB5TjFXpGk8QAg30btPTsWW8zR7v3xLPL2S9+CGSKVMg4Twk
NpJcV/KOFl+d7JDq3bvy6T45jkyw/jxwZFNd9ihD29gSdymZH7gZFI5LyA6lNEHbSzU9NHTZkcMn
HUWw0a1s70vOo8kjxBiJbG5UmpaD0BYbbJcBB02H93XGMOShLMk6TViv58AzrZb3L4JnSW+bMEaO
cywZeVpJ+HxjtiurowvP34dVsTTXPBedKsWfrsUckZRi0AXXjM0OVHRIFSFiOP2zsczMwi4H3sbF
yQyd/E2CuQlvNpcyPQUJR1xLjzGRuOaFxwRzG9WAed/Eg9eClufttnkLLRmADS89SRfYxIZuKOSL
ODc07Sh9M8VYa12P2lLuQVJ6i7FGePNov65MzoM6HXsoWAoFNFkA57JzJuKgX8Rr3lC/LyG9uYU/
hn6ZmmD+CXOAeIY4/sOkARjRY9wHsZWTmo46nob3GIM78gp2k3NuPBKMvMnlNSiuxpVeFfAE0Eb2
gFmJJbKNyLfhYY141Yhpbwz7fWRDNgC2zGKRqVWvZAOFB23MhAQVGVwKJ0K9sreLpQdr7311xIxG
4KRbOVzveQ1sk6I5Is8Ifz/30mtzAfkHfw8X5cvnPOTTSZgRAUb2Z5e5fhU9ikxKLpvtxXxwQqt5
WpKD8IFOwG5xxPBV/MRLwUxnMUdkGfnHYWt+P8y7U2cNJHkKFuizrWp4tRz+JuVlRGf+M7JLjW4m
JDp25z0/a7g13eofiheOTE4+5CMaTNBDWwxrrQAva8sDYhHaX1D2Vl8/OGToTfxhakdkqKiMjDr2
s5YXhe4dLA4BlrUcbj2MKFkdex5DVInuUaKHOqKEclUbawkYCq/AJKsrkzjRp7/w1SUvtLqViv5O
SmJ7syRVvxTzAeK3RlPo/DOSgHetBIvSR/Y8uxBsbqEo3xdH2H1Yey3EbPZa5YjItOP3z8FKbNNW
GtRV1Ys4WMuKc0LQ4JeS9HA8ctftcKReYnu2cmCxRIaHdYPr/LpG5SyB7XC15Z4jKZPexYghxmi0
YdzOIqCCncLY8VOfVNeYhIDxvS4VgYjiKrDk+dqrz0+z4bGWnVZfcn7AfVH9E9dCri9DGtJb3Qpm
/loFuxj4I72GHKFnazkvbp2ufo4YZqzJgIJhKRo4VyVY6kJKxMhsFtJ7+dzIpqCQoCDdYiV9dOvB
Vi/nOS/Om/RQRuQZI2O0mjdvFQAqJ19BRILHlc97yqcjyREJxsb42BOtVSFkFHPFgHmK1njKCZbY
aKtfsn20uENZPJYYYxOpqS9oMb1Bq/2FHcM0Pd5anV0S1+QYNolHizE3Vx9Lc/QAtJ4tuuchs7H7
xcp227dmMPUjyZabTW43zvxBLQFeEFm8xAOHPtuZFZRzgGxXkJ7Uqn/vbDxD99WBxyDbk9UkRd4a
EX2EzmdvtQxs2G9HWqJwR1McVuau3dXccU2Lm+qgknfHvLLNWR3AroOMKoa1zT+WHTk1nz5xctdT
TEBru+rpPqfTgce3mLKtWXoUosOou9HLSGtfsBcj2sydFGkyDqX7D7vE1nDyQMXeVmrjqF/Wm1hB
u8nd95jQjtvdrwwLsC2OdzudNxoxx1iZLJtnuRJAzTP7WfmqV3lMVtxZrvsOn3TLHo/e3tgIqkYZ
4PBhAn72rpjdKrliL/T90+M8EDd7OiLSXfUhD6l2O4ev+1+ebnEYHRJjOPKmjYucrjMorUaz+sCM
DpqyKD37WpD82diiKapxMx4OHlfwGBuiF7MsvdY4tssFTh5ZwFyh9wuJPd7QDEej2HpOI5ddF9H7
iX6Fx+GXe//4OKaILd/I6TyQhR4Xs/UWjuYkHFPLES62t0rXoiJQ6Cmh7y9CYf8VoGz3GeBI1i3c
GEmW2s9EP8/AgLfE9Ee1uv91TjQGANSfnql4ba691lLtOG/bFe3Grjdp4FSxCUBJtJruj6Zpv+4O
i1zlGZzJiP1bsNkOK6whkgy1pgZnddb3iJTy1vrgzcJOh+wjKlT8Ruen5FeMfyVgECjLovNGAQ4W
AFVG+QT7bkxuByE9rzvvw+3lGpEDdEjQBhE9z9gqa2JKBOeIbDEKk1w3m3eAjGUQZz7msGawDE1J
zucsOeZu+Dx4xwsv5uMZarbNKprN67Kh5q10qq2HZEe54ANR3I/6sN37501JYub5Mt2W0mPR0kux
La7E3PPJcFSWHXZMu0rSGwmxWLvazk39MTKvqN9hnqu3cHJr+ZHb38qLh1jsWiGShThRQFJzkTG2
CaYZXNN3PnhtW7y3gu2ZMlQhFCuqUq1qZVijuzt+qB8oqNE64f8YE7FtU2orC0NRQ/oiFLSC5yu2
8l2tK1aJ9cB4K4ler2zBuW+tbj7IHe26AaiOtCsKosz3YtCUG4CHHGLyXgOqCdBDnFeDY3TZYkzW
yJIyC7FUyahJ4JGKZ9T/El+hiwSbWnRDYad8iuB6TSUDS1OAFmKlzuwQbV9N7H1bHQPH4uIvTpct
AOr5X3KMlW+0TG+w4Z0WEuhE4T5an/Sl8h5gVaFhuauQuEd3z3ka/3JZ30QZ767JBdFI6FKS4WHt
LJ2ZORywzP6La+Fp8P2nUHzTYSx81SdX+TqjZ7kGOOfD0rPQMk4RqUpsawOOHpfgdDbnmyD1OUZS
WAPKMr94IFiiHZLOv2FAkwJoUk8Z7wqeFYzTWxzRn3Zkvokyxl7ATFIj6xDJ5zVIOtu2xa7NR+8o
WQLg9M19seZtDv2L1f8mybiAhVDUl1bABQJgpiL644ZC3QHki8PZ9JP5Dxk2WrwAUW8oaeDxHG+2
vTk4yBdl2z6ga4a546AcYbnxPLo7o5rJqhTO6HIwx3lLT8qvKCKe8ytrbA5fPKVjQ0U/EupUoSuq
MDfkr1XHwei5uyQr9Bocn3bNUoZnwGvvmXamv8+Ssj9ib5aLnqJnkJJEszysn74EHK54losNEzUP
q6e1KzUl2LUqkbOyQGX3udUXcwfpdIvzyvBkg7EhmRH5LYpvMMRrjPoFL/dF7/bW3zEdbGx49WQ/
jdSbibLO0gpbtLFk9DeF3OowcRKYNcbLN8kSvT0x4LeseIG5z/s/gXuejDHJayUPog4c5ptk9zu1
YEOqzeZlg+fA5bXVTob4mqZjy6WORaess19gzaqU5yH6Qyvgl2GTggNIE2SA77M06WCNqDB3Fnet
krQSMDJntRmrdpHZKpaAhcswXyc1RxwnG9XVuazRbUfYssai9AOJoLjMezotb8FGXX9nJuDLYP+N
3efcekR7su80a9+Z7z58AJ7qNuf6pvRtTJ55e1K10FHnAnnsUM3QmXX5vH+Wk9WkMQFGPEQv6AE2
jgrgeuv8dj7ny9qlDb0obaYQxo/nmXOf4GRGfUyQeWdELUnnbYJ6IHCK1oqdu8Gju36+T2RKQsY0
mIel62rFEALQOJ8dqwM+VVhwoubJ9MWIBAulH9VlG8r0Ytbb/Bi+FO/oz/Ar84O7FHnqXR4TokHa
yOJeG/GqBxSuAWMK3sqzHtEgFJMN9Unduc05OCpOrL0aE6OeyYiY3jWdHHQgVtkY17Z5r8dkoKLJ
qgrgfxH1bTZbIvqNCNhpgbY5aJjIFmuiA3itBC/7WU4wesHhZ0oQxvQYfq4S2rjbAPTkgIQvMbns
U+Ci3he2SRUaE2HeRF8s2+4qgUjpnNfw1hr7LX0NbOm1MkiwrFUk/Vvw9uV6ghkuCi4wxO0VYW9t
/APoIze6tdavg7k6G2AkIuRXtr+LBUEYKC7IYLuuyGlR4t4hY36rdqaisAF2QczeWsB2n59o8q4H
lxzrN+nia4qE2rI412RJZ0J2WRJnQ9HS+wNjZ/E/RjDckf6FZzNu4f8fpziixShajwGDxKtA63mt
Eectf9Tc8KFDLc4qAddmHT0bTYBHc+4AJxCPGjePPH2wox/ACGsUYYKuFfEDrPObBxxERBguvGGN
5/NMKfn4UBl5nftJJic56KyB/ZK/+Mf7+jCpcyM2GGnMolnndSU+HyNOEpaNZbslF+N5Kpcz5oER
wuaSZQDTEHFW6PZ6W5JgcTUVa/OSYprWbIi4bDmO4mTqY0yRnupIyQY/ywovA0Wajjg7zsyuHHI8
cmegeJwxD3IXKK2EDTEU4gnz3gaomCvlcP+KJl+vMTPMI6xofSfGyFtTrwYjm1hIrxDphWMYJ13P
MRXmGW5zcfDRQAAqObqTB4hDYqbrhf20cn2HZyqodvyhvvDR0DSl6xgTYojNsxRzVqoMYjVdomGL
KHy6MIick6OCdYcMm0Q0PCNUBFEBGdrPdO4sbacQdJejNvevju+bIzaRWHWx6umDRjlytqmFWnhp
PprkApf6o/v/6MuftrYjgowB8i9SJKm+RMe7MEJ2/i1bihWj8/SLx9pk27o2osSYoCQWQiOKcIpQ
JWQbLo8VUA0GtJCsHwVUrmFfg6OwBt2Puc1TZI6gsHnFTM8r3SvmgNi3vMdhsTmu3C91qZu866Pv
xT1JYUwUEOiNaLiCzrpdGQ5GAl6GvWjuVbQs3pfJaQdkdJqMaQoCKaoKA6f5HCFPjwY7p8M8o2Eu
FosddO1r7+rmfZJcUWGsVD6vs66IICpWaam3xr7OkS1pmT5L1op3kpMmccQfY63ki+TrlxqKYF0p
joG8y84zFVae2+DNU27GhijDvEhDHTZeQNLhupzt4nX1vvtqkbssuFtyeNemMM7NdSbmYdLhDIs3
+QVzX4pMaps82YscDn4NKAxXVxZ7JNphagpuhnjymf4+VLb3O+9CJRBLUH+ubKwU93fOtlnICcHO
qWH/Krzsn3mdx9OvzogkY188QIKmAtYH09YxGM3DK6zmF9ZAPHMvkqPjCmNf4gSzokWl4mhtCu+a
12RmKy/ux30tmArNRlZMUX66BGiJnGVeC70r5EVQL2aYp1wKL0a9vU9m0l9DvzYWjmGToyow6g3H
WNcHSUfn8WLYufzR0OnD+v4+o8tRLUjz6xzfL2wL+NF0WUbj9BbmUO/zMe3gjhhh9DgACMXVM0AI
Te6mFR38lb8dBHPekHK7R+V/p546Ttv+XwzVN3OMSmvXMg5FGTRVgG8TwcYiZxSh33WyuhTk44OL
KjApE3MZYiyIODedOUwFi5yvHpW8Ep7p7/QheVIxV1EjFVs/5aYPGGv+yCXl4Y+XZm7oOjr6kXu7
AaSNXFMJYwm14WG/KMAUgP89I6p7EU1p2ZVYkNOTyHH3sSkJ/+oNGJFl1PlSDlcjkMIBnip0TAzN
lyfTbdauzDXMKtXXexwy+izX2MUjhSBlzd8yIjupheUjzgFDEi+fKLA+2i+vvSOaHnlarVboOD3T
0AYuDKpfHx/AcjN3r4il9jA0nLd3Wr5Gh8DYgP/H2nstR64r26JfxAh68wq6srIlqaQXRqvVordF
//VnoPZZs9mY3IV7et1+6QdFVDKBxEAizcgQAf/ULPFlR2WjAdHuMEARdBnSlnN26O/cWgHGm+hE
0KyJdI+h2rE8ygoJt3ZlfysP5V53OcJW78GFUgziDGqv13IGpeB5njH1CMGEOwkLmNm88PQqKSJG
tv1ju8x5CeaoN/WJigILjumfFcykCFM3OGwos89mY4PctiX6gEZ/tPpTvxCDpdDe0e3xHufGp1ah
dvE1LEIZUahlIobmnp2Pea90nmVfr//oRQ0Jt2Pp6mre2lQGnFrBaCVZgTiapZ2dyNs+baN7s7AR
FYsTZwNQDGxT3lRgpYAZP+/oxKnHV55HvOoK/NaajWWKgxJJaQzbwhYM7scFE8KCg+Kjux75TTrH
6+vvnlELkdR5XkDWfEnMKZugeZASr96JCRHgg/hujGkdG+2941YTcHbWYMAqDCK02wgQuFd9OB9S
jpzLTtzHmEAFvoovXjRpPVywUJBBLDXBpNC5p/JQJp88T/ebDcg8OejDAX6DAZ+0isdSMyAECdQc
FKJI03LjzxzoNRjgQaheTro2pGOK957laaLt4iID7yuPE4MHpQaDOp2Au1O4QJtX+KOYqTKSEDz8
tOmds2zXMPONc8fOxs4Ho0d1b0ArBwY7ORjoSwLqIGIr3Ymg7r5svx+Rygls3eV6phwcNxiE0YLu
IgoNljPFsA4nflSeaN8l2k/sQiD/HYwbDLwkqh7iYFNZDdmfj3Jhi18VUuwYYUo05+/ehL9Nng3W
VkXRGkVKL+mPi5++hEcQMD6DvmkgwoEX7Vl3s/65NkwGP+IiyquhBGQdgVneZ4EXb7EHx2n8vNn/
pYe80IwBD/TkTqkAdh1axBjdz3hSYwV5jWM8+zcZyBhHSzbLkMKwkz6OBvIiKJB0EC/gTZ/gSmJw
oxtkU+4a2D9arK5hRvAfHZAs2HNxnq7MjZNmMuhhpGGqJGo0I6GE2hlQU1ESbvgtvJoZHt6aDHjI
RZUJiQJb358vx54Um4qAj0jm9jOvVl0sHBbWwQ/UsijyHms3+VFJ4IzFruAalh0cipZUk1M1RCeX
A7ylr30U31m9fftUX4v5bi0pgyCCYZVBMsFMEOxBi6huK3tMUs6c2AWN2jao7QBkx96AwlA5dkPb
3OBGDeFL0PcOnymJa0sMyHSSnKd6jVM/7Tyvtq0Jo+LBrSxskSHBVMXbyq+HlH+fRHaCcTpLc6mI
sCcEKI8YGLUFw/Px6c0kmF1mbb840qjRsEttqhiDoSsm5nBfH7QLL6XuZK2fjQzuoOKURwWNgv4m
vi/sr+T4hWcOR9raWVlKY0x4RhCv7C1IQ1cNKZzYfpvgnXBfqGtxyaUYxuOes7JHVUp+dRoEkoIP
cjN98nJMq2axlMJYaREVcTFoV/8HBf4xONxATo9sFjdBvlqAvZTEGOBUJ1LaB9CnQXqwnTHyDX3t
Ni10xPvhG28WC+NGeXu19kJaCL1+1MIyMq0Ipkije3V2ehH6HSLKk4gH0hfPCHmimKtOM+cCFCsQ
RYO7Z8dC+GIgl7OaQ9rrV3b+76yQ7TgwJEQvGrpxgR89KzPRc+R1abYh4fF3rFZHLReRufAasKCH
5gWaTX6NFrK9h85iE5MvUOsYEs1yalTR2+Keije2BkqMg2vQl8svs+oPLj+EuQ/TSO6jlp485+i0
LYF0jCnHv2/EDBCA/XrlOKCrRTCmalp43Wk6qumY0xHlghYL1QVONTqoYa3/YVri7CX97n/j128x
zNEIrbYTzL4AfqG3Cw33oMt7oekcnjfGkcOeBlWapdakRxDvkPAxxLiiGGSHBAt3W6HVy3exbteN
XBw7I0JBQKhAIdy7HmVaGjcjeOARzaN3DsICe16Md7WPcymSovZCZKVhjpWZQSQKm0Fl83FUvHyn
HbutiExcjHvVua3jalXsUiBzKpS+F8xhoDpm9zVolDePk88Rwdsv+veFTsOkzlnXVdDpPB/SmliP
CbwlWjfqfPGmCEnrl+g/Rsi24WSqnopiD1t/PQOyHB0VAaA32oB5gaMVteYb1n7tXF9opZliqMtx
Td+PjmjfR3ZZk2ajnozd97PxTufC/n+YDMvTjrlNBU3WweMEofP9K+Y50BBz4lT79JCewKvCK31c
5YxaGgcDHGFbxkUmUWs8e/1zEjhw8zCyCznht6/vby5x/7pL8nvvGAARLyEy0CrEUT6SswNfc2PY
w4kLIKs+ianIYES34G+JjEFOl3zUG9VEKBnsZcOj5mo7O5G9zOe+v1c1WkhiHiSdnKqhCaWwgNpb
ggYqNE8JW/AUcKBqLdmloQJWUjHoRTIxqvLPMyZHedEGrYpjrPqn6tN6Gt6bGmVD+/Dztt2v5RH/
kMQ4CGOjC0JhapC0P997n6f27clyf/0keOmDxD6zB6JxPeOVs4aeN0mUTEunyRVmwwIxKusytOaT
jljNq0BKux5sE2S6bu28PFfHyv+/vZxfPPBa8/eQAwM5gGwoqohCwj8XNp6mXErVUgQge8HuRMdb
k/fJufuBKSBcbr9rRxMDKn9IY+A/rIomm8ZOvIZoS4wkwwn/YXkX8hmSxHsCj012nTn4/qO5Mz20
/FU2+Fc2ezy1bm/z2tNHl6G4DBYKydCvZrCAt7jXqq4YIhHZs/1RdmsViXB41SIkbr6tLR3ExJFI
wYTR/Q+JzCa34hSPI0Z3nLIHJIYNA3yrCAej5ml6e4Rf/coPtKz4un9IZE7n1AtJOAeJSFORR8UJ
TpT5DOEW7nDjNU/iD0kU1xerWWT5DJLfFFbUIz57P8+O/PW2sbuNdfrCPShTgkEb1aK8W0pduTB0
WZItZIdB8QQT/lNwU8oKnnkZDEojo9fDiOcD6HRcjLo3CG7IxKbZUURl0ClQ++a7iaqAz+zN8u1k
tIf9BsNuQIltR6/Vk53fPzs9L2y4VvL+xxcym9BH+dBgJBa+sNshMYFRFUfY29z4rQuuQCyNTWzz
kKtEo7M2zU8wMva8uvc1+PzjI5j9qVM1zSMRywQ6a42geRc5Cc8kCdfdouv9LyNf7AdzgSdJaJWN
VUBbvLr7Z/k9P7kv3/Un73m/lun6QyPm6h7mGa5dBI26neNsrBbE48jWBo/HvUYUEqGxsfLSo4Wu
Ani0PkY4HzGnBAYhvBrpxuZmjdcePX98D3O3yyluYr2n2+w4n+r7/Kk74GEB22VLerQ80pjRPrA4
AZy1N99SKlv0IlwC+ZJJVOr+ON3Fj3INWsDIeVC3fngYESbAZK7InQgGR6B877L/Cp1p333yoG0V
aH7vOlv9khhhNFomPmNCEhFREL/ZBN6IKasWRq9xYJQ67DcsjGXcG8Iys/SsFnE/47gHidM/bRCY
4Da6rWPaQinm5SB3kdoI3VWQh7B4phApRFh8tAW0c6Chw4ZyYcGdNXZdrFsKMpCWgoxJLPsKCpZk
ctNdac+bkHzee1FFNJTe3GUZKR04qZX/vBt9+w6cTXYXgw6LIix91CNlb9rp298kr/6wNgbKqks5
W5GOMwc8PSN7hR4vzNbj31scELmC/uI2MZI0BMsEVj54nKSK5EFIzOA7d8LEi8ofQ0DC2RESgnEa
1m5SPzgGtuLT/qElA2FlZam9GGD9EYwSbSH21C81RpXoXHq8c8O5vVQGxNBwmBWSQbfaoYND3RDd
+gf6nOs2kc+DTPrd/7IrRdFFy5RkzWALn4RO6C6DgVXNJs8i2XCnBz/EvWG4f7N+CznM+hmjFGD1
IOfVc4KEIEoionaY2iVH0CoSLAQxqzco42BFl4auHr3g013nvUe4DW6LWauuhXv4e90YZEfEsNWC
AGI6u3W86U7ZByB3PJCfW9wsBdm0x2vkIjtygyWrlvhbMttqm6hm2PcdJI8Yi/b2K/DCr4TMo50B
gLhj2FYP3UIY8xDodHBhSBaFO9m92DHurQAwg+FJz9xs/sr7dLmiV29lcb6zqo8wXgV6KeS4l1DI
rrnvjc8LYPBWj8FvzQg0Ta0gRbiHd/WObmjUu6D8wr5tH2shrT+0YfHaasAAS+1dN2xH/hU44NNW
K3Qpd1vB2XzRUpf4/vGRI3X1yl1sF4PFplzU2RDTNezt7N48dJ58bu+c6uVbcL4inzu+ei0F8Yea
jAuZm7nUVAYEgpRAci7HriPP390nsIo7dlxaxcWFcgyEXC6FaOYalYWhVB818bYhycD19syND64R
MP6hFgMi4pygCSGHqMppPTrlNK5tNBZbRLdTV3jK4/1sN4/f88vmufC/DVo6xLkFqIQbuHy1r8Vp
wJShyLKo/dB3aGnrP195FWhrj/ylkte/L0SYYOHI6xYiOvs6ARivbWFGa/v3BvyZ9heP6mbddULc
ycTLWpQkkzkSeaoJlwG9Kid911RkOJa/0mP+8jPa7NrUee7u8ebd04QmZyXXSmJ1eSGXORSj0SVS
1UJudNifmxMCUsoOgQz7GUWEnAO4ErL5QxRzHMRwbOKLAFEpyU7SHdL9z1+cI76KyAttmFOQBmFT
mSZEVM7xvn8zXLTKPW8ynxcvXH+iLgQxZ8CsxUzr1AmeQbNBYDIn6TeyQujbozWEstuYRHpq3M5J
T65boQfdEx4HPPPJC6+mee0oKJIuYnwaEkgIzeCoLOw0NiIx0PSZBqOq1FZq4vCcoNW4jyLLeI1J
+E9lqfQvaRpexNakp817Cno3QFFv49vfjwOKUNACzNnDNadrKY5ZWkUrk2kqIS4lzsfHTO59sE9n
5O5lw60YWn2CLmUxjoowCbjEL1Q1vIGP5/uTB7prP9ioYDhB8Jzrf63u1u+lZB+fGQK/ppb9z1Lq
9pjDGcJL+xT6owuK1a/HiBdLub7tWKhcaMi+MzMlmPE2MHC+Y6J8pvNOkNwYs9p35n7n+mjv+0UO
AbnbEcoypOu7RwehvC/9CbRoP0Kwkzic3V0DgeX3UBdkYa+y2Qi1RFdczN3msvf9pwj8vT/f7Qml
kN92K3t/1cSrL2Uybo0wKYmWXbAG+/M5QpCYvN3t5E1wx3GfeKoxEG4qQt7UGcTg9HcSRlvF42Mr
/wgFW2x8yzjcXkme7bKM/YaihyEq7HDyTyGhg9BcK7G3vk9QAo6nXmEnv4DhNZenZ83TUGQUpEgS
DQbrzGr2yEVibkiAx4oAZmVyBukcuh3LkYy1jdQMz2DWfNKlOGZV8x630+UCcXCi+sOY2MnGfgzQ
xra9vZ7rR/O3WsxFGBhl2V+oYRpPzyhQRMfo7d9fvWmXijDXnxxkMQi3BCjijLIdPUu+ft6pn5h7
vwnvuc1dqz72UhxzFYatrCcmhRoMxc0cp1I3kxfa7uS919td+7Hhto+vMS3imP1eQQa482Qw0SIB
BZGoLhyM/8EMIkoZ6T/Q2QE2zY4PxHQ7oru8tV17Hi1FMzg+yWkom1kknV4nH9cxhjemA9F5ps8x
EbZMvSnNi1JWWNL2eXBAToECAw6ErL6cF4oYVNEFPNaXoZpmjHmBA0OpKkFwbtNmyifzAPIIzOb7
8YxRzV/cvVvL+S/3jq1OV/p4GkszxAI6nStg5xC183lu+1ry+A8pDHQUs6w1fQELeXU+soRgTnP4
IJIXkaB2InTodCyee0t/8d/X3z82yaYJR3OslMbCenYNkUiwnXNaq4EMAnKu35zNW00ZKJibgbyK
isoalqonmRu9HrVcOnWT7YgvEs1X3ZUPtunx6PvWqk31pSgGTPq2lXvdyiR6pTliuI3RNOl297tJ
crmlZqsIvFCLQRJTzlrMzyhgG2cndZuNYjvgLeM8Dla9voUQBjz0YRzkSwchjlkT8ae+ec7fOABM
b4p/2cJCBAMSvVrNWdpgewbYwiZ0TxdS2+bW+JDsXatzqV/Wrf23PBYu6kqUm8HEHiGfpuylTfVQ
5XZVV65gOVG+H2e3H0jjWakDYn25Quemkrhl93Bb7at7fkNtFlKKAjMzFARNT/uLi1b3qgeq0I7p
LiSvgY8eB1J8Pj0hmewkngZ6Kf0Un9FDtt259VYvSbeFl8+tyVkF7MXaMG6gnhdVp02JdKpMkg6b
ebYRaprIt55zrnXeSTEYzLFqDUdFwC4UshNZaCvdRI+b3cuurgiXe49a0K2lZnwVLeuMPJ6w1DQu
cjxuE5Cd9cQ/HN53Oy5L41oN3xID2MaYWJhzhHIh7TjGBLMuE1s9B288CrnVyISiGQpiE+C20Nlx
53oXtkqXlDg2dninOLUfbJWnYjM+qXToboNHLfJlyJ8oXynRX24b7/p9uBDOnNk46fVALWoJXgzo
jY/3un0Pb/epRWyrcUebZuc3jvr0V9fGb7EsyUaVSXWLaVjSSas2xebOHkNb3aOsgg4X+asE8GKB
rxnLxZ0/BlKrBBIWGIUsx94rCcZvWb2D+P+eS362aqG6iiAT+PFQtMOsp6aAfCKYGnpveLKr23jw
Pv0kGCe2e/4GUert3Vu/EH9LY5cxloOqy6eLhOASTcqFu/GTtqimlYM6Ao6s1QtkIYvxnKzcqmZN
gWbHYxI6+uCqMopoa++l/XhOMRbG591Y63GRhUQGw5ImKLS5gXYK6b1Ctg870Nu6oytbSN44X/Pz
bQ05W6cwQJY0VVDOyiCdvMEvNqr3LHKma3O3i4GvOE9nIRsgoRGc6aEFv2yKCTrbPa9rcB2TFyvH
vLWKKFGVrsDKOQjTxS6SxGiDRLU8nxx91WVfSGL8pPYC7gLtMkoIJp0d+lI9SeRUv5T21jz4P2w7
vd88Z+4zvE9enc06bi5Es25Tpw2pPLRQcv9x/PBOU00wSZHY2SYiIq3Vf9zwYIt3Bhgnak7zKlBb
aIt11SRbrEn8Uuxp9//z1JLnZNd9lp+3rXI18QBWiP8gCjtdPpKMSKksyBR9vNBRnja48dFqbMG3
L9Uus/lBtFV/9LdENojWKUNhRBrM9BXkPZGNevnZr7eXT5P3rLweqX/d5wtJDKYkzX/WUyvBSoEM
h0fR+bV/R1XSsfCsJ+3p19MJUyW7l3EjRCgQKrf6gOwV731LzfTWhzBQI5et2owStSWwOjT3mVeA
0u983VRKcYpaDs6ucs4Ny19ihE1TZglOaIvKfe+j3VrkgrD9foCn4e30T2TpOBJXX2qLtWbAJ2u6
2FLGjp5U6R4DrqdrCZp6mhvuK1vhLSeDP/IlskRzhqzabTw6FOJcHCbbBDdzSdBEJ/kgcXsfXffN
V0EphN4aDMRF6sdynD1voXnGzACUJqu6HoU4PsWB2tjnxdbvGxxY7ouR6nTLhBg4klACnwcWdAaR
veqDNhGsa8lbhTuycO3/1l4ZIGoDSSoUA8KSzD7uvc9as6vKN+8cVKUmdvw3DNv6AoRUxq0pKXej
LsJc9/AO8a6LiWXjhtwEiDbdttOru3tjHdkJmdVlUrUypjfKq1PuovtLgq6v7fa+cGpb0Ejr23AS
95kdHcG4mR2/uFWx1wkbt76AQaUwDxJd7yZc095xj6kvx/uL/RmTdLelpPButtlVRPbeX565XWcc
F0RjYCjMR7PoQ8DQ0UE97uWNd4Gt0aws9/H694UrHPQSRrdKPfax946oVVO8yitfBsu1XFRO4dX2
PHwWtt37O5SA+j97++HpIfc7VKS+RODwAUOHP/vi/V3vYuJ5Zm9ex8EfOQ/q1cgqxrDq9DWEQn62
Kii+tIZQTyJFKmGDBuZsOzqX1NFiT8jIsLVedw3Gre8fefGl1Zz0UjBzhMc+slopvAoWHzVSxAQN
H+ejOIF8Yde9i/URrfW8kOSqV7iUypzlOswsqQbZ0AmRwfP9MX9KQ1vKUU2nco7Wqlu4lMSc4jxu
dTAlUUkW6txVu2jtHmu5U1zpaLzfPserdaALYWylEHi1O7VMIWyPFqSw9tKP6F4/5ZHTbe3SwJ1T
uxuMBMudO/dOsXeFu8HB1g3Cu/dogpY9zcvvYE6zGOHhXTZU6SZyhKdsIna1oyxGt/VdfUkv5TBn
VwqLesytGfqijez+vrafMPXKN2yX7HC30f7sxOaljtfwYimTebJ0bdlH9Qzdxs7+9BIkA1CwveNy
pPNM9FqIs4CNWk3/r4nu22fFfwfl4KNp825q6oDc2ijGaciTOdSxWVhA6/54TNGLjYrdyKJlrV/8
nCXdjlvSGL8g6ctajwJICxqC7vrdrvd/VLtHjvWtuXnLDWIQxYr7tmhDSTrJ6VZ4Qj56juxA4HV8
rzUI6UsxDIRonSX3hUlt7xWlSfcoTdo+kYc3F9RKYBTa8wmpeXvFIMk8Ssklyehe7VvH0UD88IL6
6vvaizTU33KjKmu+60I/tghjHLIMHeAQBxYlyyv2aJHAvBkUR9w+w6spRF1H15OuqbKksb6HNGuR
pIDB8FTOG4OGcRN7/hwi52WHFH4C34MbwVnzlJcSGXRqpVKISkmB17hvUEQsoGABj0lEwh4fBU5C
e9UWF8qxAFVFc9cN1Eiwimpha1jE19sLuIpHCxEMHjV6L2DagCydhI7UR+0NjDudHWPg7V/dZAtB
1D4XgFTMYpbEPXQZbCd7KO2mIbSPds9lZVvz6pf7w4BSG0ZGH8TYn30fEHjZuztMd07vH58pexA3
E7Rq5wu1GFASFKFNRkHFXWX8rN4lDITIJScVHQRPuLyJPMtjoCmK+lY1ruaw9z7uZ1LDHJBBBr0B
9/XAU4uBp1osLRAcYBErByxFs1P6xouwA0zwEoT0tPwL1Bfrx8CSCILo0mw1GjE89ifpaSc7L/Tm
vW3lq5GnhVHoTE1YWcWNGRcQg4Cy6p+PHx/3W7RhYNTpwUVG8sXeR/5tkTxkYhkg+1QoejGFZYAB
8tjgKSu7UeMld/sqIXgM/ZcLqTNYMZhNp1gixL2eBaJuUV2Aio3bKnHgiC1ziYx6bKUEIqKEDL9E
VE3YvcyziPWbERljg/ZUG5rFIFI4YZBMCsZfvKgCH3fj1tv+eohtHxcjyJdsDCTlx89WPc6FTAac
MMFRbaNQxylG+9dHf5juBFD883y/q9P1b2P/rRoDTWM7ylF9oWLQuglav5lUHoZrI1YV2LziGgoG
t2QxwJQ3Q2/meD2cQMYvPQVkx330rZvDb20YOIrlRpOi2qDQh7fJ+Vi7xzECqa9yVM/5feV/b/he
zDq4/5bJ4BJmHDXgr4dWCDeeG5m0ETHc7EdYkWfEqzl34zre/hbGYNMst3rUZlCQCjvG29unaTVM
rP9jdLrIYNLYDUmSKtDF8D5RSv30tC02NBqOur8S891sjrhV93khjvFbKlMdglmDOAHexHlwq+ds
37yCy8XhCFqDdAPJUUqOrKJ4k7ELcYiKbEI1Btp4neD9IXcQ2EffIkfK2g21lMJYwogugjTvIAWp
BAtBfZW4iot5eBxtVmsKl3IYI0iyelCmGnKuc2RANnLaoh4W/b4/fmCQOq8YdLU4dSGOvahSeQYN
fw5x4N5xvBD+xMm7N0iHGpbj9IhiBYPc01YG8nR5nx4qjTy406HB0FS0BG+K42P9Br6j20u9GmRZ
fhNjOTlGQtfRhW7o6BxP6LAnGAeLoiEgMshIv6wD59ypa9i1FMjcZdpopApy7DK8D9lPJ6J+wDvI
v5FhGNzjPYmPT6Wdeaft0xPo9Ec7eUWMT7PB0J5bKGR1JdctyJ2N3BmPpW8NEZYfxtxNlTYKclPi
w14blIFYfL7BNXxbCmAuoqnoym6s6FJ7x4udiUTx/4fZUHrn3Uar4Y+lLOY26q2xuIj0nKJoFY2D
iIAUzvYEwlvx/WfyppNyW6Hd/rUOeCVovFWkf188BdR2GLWe2riCmfPWXebettfVaORSMQaA5DyL
LtN1l/bnjwjDn58M9wBrTTBpnhuWWLsFDcOyZAvT6MAewKyi0UriNMJlOTXdDnxOstfSTTPTg2lw
nNhVj3Ipilm3XuzaqUBLzGkPjsGPj8IBq41r+bmDzmUOvPK0YpYQ1MPRqBUQJfqvx0/1lHocXF0t
1Vkqw+D3rLVoO88goXruXXQWUEIJjh2sXxG/t4aBbosS9BshRDgUNzCwdYsCHX4N7OrjYqEKW9U2
zpWqJFZP7dnzpuMpuv9FftIKJ/Ssfk+bTeLztud/geR/VGMr2GZwAI3i3OFWOh89cC4CC/0HuMi0
cY8X8VjN7yz1Y+A4kM1eHyXoB2KMU/kYknCXRSiuJ8gF+hi3aD9XNfkG8bnwQKuZvzi2uBrLXMpn
UJd2+SSzDPmTj4oFgCKKVfEK4N291BxYj3kphsFeQ2uNYG5hLuh7uZDw2NJ8Cccm/xfQ/b1xDFxk
Jtgmkhq6IAyCqdkk7UAqmZDccyq/tXffaKN7/I4xHYBzFta8v6VyDHZU8NWbroRcmAsw3nzvN+Ln
5ZMnhreGDG5M43+gd++Yj2eLHLsf7UZtUZWWYNfAPOzT6hmObmuvt6VuDJTk0hhlcgzdMPTgiGF/
JYl+8BTjrR+DJboepFVFL8uSZA8qMiDXxjWedaw7Pv9YB0vXrDVN2pkKTBB2rnnbz3SHroH5AHfP
snG8o6e7nd3t1b28R48EZxU5GrL0zXqhCUB8QMrek/bhzrJrL/b2oFrkyFm//X/ryKAJUsVyJ81Y
yT0ymWNLBoEWUTiIZYFC8zNvkQ3nz2Nc7cRY2AhL5DxboyhaHbSjrGmoPboSFWL2Gdoxfj74h3c3
cq/NGBfuQ4VzJNg2VrHSJqSm6bqOs+NtUVoI1o1n4YHW94OxmpuN5+0jgzDpME9GqWB9UZqB+bHK
BnPYLzaq/N/prIbQQ2UXZlDf3lTefcRSPWeyUSG6ASXRGwwaSNy1p18+KHMOLlryeUu6Ks2URFNT
VAkvWl1lHEgryYUgpSoeZw8hIlQbkNp50/wdNETZLeFot7akS3n/WtLWVDP6AAIT3g7Bwws5oTTc
mRSi2Xeit7PRqGihEIYXw1nzwtD9bMiaQp1LTfpTTzmron7CTGcYrdd9GChQr3jHfs06lyKY06gl
dSwpFwnW6Tj3n4P3zAHnVedoKYC9vGcrlLUMAhDzoo8MlGXg/Yz+Jxc9J5hnxJG3hqBLcYxpCGVf
t0KMJTMb0oeoNf/FEbBa47qUwBhDp0Uj2j8gAVljZO4+SU49IJAI3jY6rhzmxgYdWR90PeTgZX8G
c2Zkn3zjEa4P+As4ougns57PUiXm1o7iKUOY66qSA2DMPMkHax6OEi+itvo0W0piruquqSPMlZ0p
OKFaULqAol1tKfJHZAdmX4fPdr/mHCwlMhe3afRlg6AKtqsm6gkOHf9G4xxTNmZTtlWUagNEdLRA
D74jvHFErN9QI/H4/Xp7rzj2zWYViqpWEiMesYCTG8WeKfEHQq+j3T+ow2YSSiG/lHmAPdJaV2xe
08Q3RhIJdhPbtQQ2SSNzZKcaT7cV4wARm1wom8kqBrqIYOtIQEu129i8aQ6rsbyFLbD3RlagGxnn
ikY8zmfdVkFTCSg6uPHpDlOZuda+mspYymOgQu3S1OwpGDln6Sx+l6TZ3qNSNffVwZ7RXrTZlRJ5
qSPy+PzFPWq8bWTwQ7vM6jxMVLgzYHYTZWzk4caaK7fUj8WNsZ4yWYSloHXi8nSx6Vi1/OFug1Gy
qHLmWD4PEHUGO/opmOQsohZyPo6gZvROpvPkk9F/+eK4M6vBiaViDGhcqgJTaxWcMrC7K5vLT+39
67a1r/qjCwlszGDuMTIBs6WhzBH3rrKJCZqDn59o5wnKFlC55z8PGLa652V2OVDPBg4KbZxnKcEi
xv4jtxiSB+9sz6yk9Gktdvj1V0f7uY+2iFcjG9mfVM3OMtDdIczDzar9L97gP3jFtrNFWWBqQni9
UxAXw0gTEMF+hu47OFt+uPZly7uZORDMNtAqoB4fjYR6NM1D/PDM45PmoRTbxJZKRpOhUIfaeQn/
InXzzYUcSRwSJSRqD774LoUTwDvN3HVkAKNK01EBJQQ1SUy5njeRQwd3/8Cw4c0jKnf+y+PMDnwS
+zHX5wonAP7N0ZOcU415wxomhW8BVV88qOLc0eyMp0AbtDqRr+dN844f0Vf4mD6kp3ILrPr/4SAw
AFLpcpjXIxXnwEk8H19F/2x5iWSHJQmekBCLMXXyNqTwDh8bPDCaYAZF7BWNEXnx7p989eS7u921
QY/L9Ma5XthwQW3GylQY0HBAUc35eAyQZi7djZW4j7z5FxzXwGTeKHXetrOqXPcueCgPCA/w8jqr
mfkFHLPhgd4sUXJAn0Fgi8djGYzq78htPSNdwLtbVqOpS1HMCyXN62pSCxwz1HSBmAxvc4RvQwxB
fTAPhBzeMScF03owq4cOBuJRCfHAhR3+hGriKJQlKApCCC9zmo3v2y4qpPCCoZUVnEfMlTn5xsuC
jQv0WtJr6QRxnY1ANULjmBA9ErRYPvjk7VD8gN/1PL09Z48VZebndpytkjgsF5vxULLc0EfDgPyU
FKjAUZ0gJt94BHD05DkMJuObgHUmFgSFYidy67kbodaeF57m2iiDKZMuGJiyRG0UT4x5o/gvqBxx
uJc4zzVh5zlJCHXGUg05jXdG8QjenacMmejAedq2RHUIkqu2a29SweYFI3jmYjEBjx6co3OqQPSZ
1uF4n1sMQcOtMG7oZFl/fAw8XycjZqYc7Ds0PpDLXjh8ZQPhRXwYxDEkCURmFui9RFWVMR2Z2c48
yEYxCaPsoJZ38mxjvo/wIxHcMrenk2qQ28DNuGT/Esbuq9jMlSmF2aFKxCeltojZ1kd5uHCcWo5O
7Cs1b8zSVEvoFGiknMkskgnTezI7TEhT2mjR+6+0Yh+qdS8EuShCK73LSHY5VtKjbnC8aOb9cV05
dGybJprkdFVkL/UO/ShDNOfZQUw24o/Lh9WhYGL6dVsRnhBme9oLRu9mCoTkSo+ht09Sntq6mtqT
9RcbpKuGZIG4zgCrKBMpq6FO1WdldhjyC9HT7WgSrf81SNrOEDSvymU7y3OOzDXldM3QMLMB1YGI
Mf4ZYZQa3RjnvsoORoKSo2BbmaEX94lz0TkD09eMfCmIAWJFH+RBzi/ZAcOl7FTclfGXqCscbVaF
6KDjQx0YRjixjoKlzaKhUSFyFGGxfrWyb4W72+awIkMCtaCM0TWGgiInBqIuitkl4kXMD4aaeEW9
myxkFGaNc3pW9kWSJVWCBBGUYlegXJRINEOcTZql5odiEB71sXTMi2kb2nsy+rfVUf8M/dEjBEEG
2rYsQ1VVttoy6M2uwPjC/NB2I1WnNiqOBLqzCxfgfyTIaKZULdXEjAXm/JhB2yRDJeUH6fKYDpVt
ho2dxcfaCr2LxqHdXtsc+T+y6NL9ac7jpKd9ImJzisxyh8RtVdWphv93U8bADyyWaEGWpNCPWOxN
CFKtPqiU/HDRjfZQKGXmCU0vHtRLH3q3d2dVH9xCGEiG6L/KEtolhVgIcp8Vh1j02zZ3Omsbo3D+
/12IBt+E3nSKZrGLFpuaqbRFUhzC+LGtQQREx61Jiv0XUlRDxcrpsmGyXA1qmOsRLrbi4AiXzaeU
bv/i59ECYqmqJIJFh9n53hqarirL4tBErqQdjcJXy784+YDlf0QwJ781EnVKE2gwzK46n4tsZ3bf
f6GFLkkoVddMSREZlExBFSdWCkTE1WwLIpBF1W1R4xjwGrhoOngQQUguWTrrrCaFBAenh5SLpDtD
rBBBftS0dyOJ/2bPLcyPQrRC1jEf6M+TAjLwyriEUnGYStdS6ab0xY/bK7aGLtpvEdegxuIwGv2l
VrNULg5W+KSpLxdF8+dYJyI6QAWhcm8LW1s4umqWCb9QslhUzgyzQXDGKg5jXGwTNbFxHqWycKK5
5xz8NVheSmIwppOEag47vThI5H3gnHeeFvTviyWL9XxWo8ooDhrG5KrHS+Re8v9D2pc1yYlzUf4i
Ilgl8Qq5F2W7XK7qtl8Iu9sGBAgQIJZfPwf3THemiknC/h78ZDsvku6+nPs4yo27WnkY7NgCC2Mt
EgbNfwIOXFHhlmB+WhtFNBdfsKzpbInTbGansvACbm2EXysnuqGliY05EWakBmgNF3fKdp0ZtlFh
bXHzGhXYFg+TZkD99T3t3qTdGpWhRBmZ2JEZNEaC1abNX5idsnfULOON+9PTcYvdXEzZv+S0Q80T
T3NKKpD70qZt0CLBXsqDm8RBJ49u88kb//Zk4ExByQ8sidwjMXbtEPlOEkKN7MzpZGzdwMJ1mim/
+SQ9LEoqXnIfN5Cqh15E8/A+Jaf7IrbC+CBB4cOh8x0tGfYtc86FdPyZ1WVkT0CQTj5a8uU+gfUz
/EdA87KrQnlDuhCgtA24cxbyw+Af/jcayyGveL+h0plaQ5ZRz55V8jKwOICI3aehpwP+L3/8d5Dl
oFdErN5VWMwFN8T2SB/aVtY9s9ZnO+IBmmusmu69UyfVISdWugfKH7IfhmkdMrfLz93oFyiy2V7Y
C5V/vP9hWy+oiUlSJozmywUz9iymvw317X/7fU0uMrObXICalxEp5r3vtQ99mm/MXa7yCFs2HzLg
ZHp6y85stDnpTXhEY3dUz4Z1efqNIzBiLWAJGJLwtKdTY04TI8fvWymaGdPL2G5J6uojXFHQHkE5
maDxlAFBpZdhmWFsYCtwWL0jePPmP2GQ7gU7ME8JAd5eZPCv2XgxxZdWbOiC5SPfqJsrEtohUIAj
YpIg0WNkrqzD3j6YzxNrN+zh2l05poNNEVhn41s6XJNrtoo3PQKUrP9qdl9aZ9wgsHZVVwR0dKYp
7gfLzBDM+W59NIb+sSQmENnyH/e5aouM5p+2JE/4QEDGVTTo6KOFmj3d3aexcVf63qxpcB1jnG0c
JekDi32y2d/3Cay9uWMBuAZRAkNKQpNuoXrPVMtdofn8ZPn2d2K8q2kyY4v4VnfV6llsRPDISxBI
uhYyWMKlKcrJiOPq11Fh3sHbmg5e7KHOwEBD+ZeC9iJG7fkjTXGYeG5+CJrnWKR6rpr2E3X/HPPH
maZbFLfOZN8aBVmquaf2cqYiD8zipei3zM7yzW/P5Pie7bk+w6rRWwp9yQF9MtAyUkmhdtJKv/u2
3M156wQOtp0gF2uyHZ+9PytzOpsxO9znj+X935IHRB3WtzoUMfEteTHV8zS6rIRbWSN9maaXRrkX
Kl7nwT1KcxQbIcz6hf5HT1PVyVwjfiKwssp74fV3pTZMwSq/Y2vq/zuPdp2t3c8VMfD7B/uH++fn
jV9fVQm4cGQrMErLfg5aXfkIXt+5DjJWZTQaB49h/5j5UFRbPLf6JEt2wlx2v4Ixbp/ESRBwVTQR
UTnxb02B1HIy7kl7KlBu2cr46gjCP70exwPuKmbGkZvX0TqtvE+GLkNGZChUeozdKQnUlMynmU0q
tDwjDs3cI88YKUcXhVPxA2+bp5rzz4oZWO9Yz26okiTZWT73T3ncFSxs6iwL/X7ciuFWL5/Al2U2
EJowDnl7LyWpZd90OeIs5QXtd272uJlfT3vY6A3FCAS21sNUah75WFQulaWAJ5HEoTX7YQVaI3+9
L3SrTHpFRYvjsbLeKW0XVOpk12HIyX03yxf2130i69f1z1EwDKunobjlWxO2UIqIdpfOP2TDc8c3
SNw7x0JC08cm4UOeLLeVi/1YX4T7WNfhZkpi6yC6PCAPaiQpqDT9t6l+UfJdL4//211pQYzHDYdi
Hz0OYj+hluNbl3ne/wYJ5oO7UBbAfJt2V66oKs5SKaKYxe+cycsCaphpgPzX7j6h1UfxEexhCZHp
wue+FZMkdprZEAgnB1ceLOA2i9QKMG+B/Rkbbv3CprrtWEJ3RhkG9ZC/v6Vk8s42rQ66g3YiNJID
G3Ys/tuY/hoYP6Xl14nGG2dbsx7XFDXxLNg0zHVbioiZWGjqv8ZNteFbbp1JE02maiwGNkDBGMaT
VB8AsR505NIwO2glemv3Of98/73W1P1PbeNR30IIo91ikXBT5D7kdDQRvwQTRnHZTnxx40/36azx
BZLsyLAD0tt6w4DOUM20bsCAMzvV/H3x0M+HPN8gsvZAHpgO4JYuRjh1czKVJS/72YVmo98djpZx
/htihAQYYzaMPPF1qPC2twinNYzjmIryMy0aCcS0Mo246ucNVtCbEH7aRoIV8BQlI9fxqcYL1MFy
e2OGVvCwYTWonrAA75DwbG/aUW1aT3PRBdL7XrKtYHNN4eFwmH5F7h2bt5a/v/IyGl7Ruk0HyFUz
7Wuehn72nc+/nn13UJBH5Q0r3xjRvXWa8gHoGWMeUa8gz7JOxoMzOuOl7lS85eOu+O1wcInpLnlr
FyWe2wMBLKYfEjblUZXFhybN3jsp1oLb3W5ujiO9xNUIV8Mcgs55sUcSUl89EdUH4pH5TdDlVhnY
Ptr1qrh//8sycfNhCztf3TQZVGfmvsojy/I/p74KMkxekoyfON3QlTry4MJMN6S0R8WkMRCF+z6P
8n46CDNo0ks2v/TMDxznveWc4joiY7Ej2X7MOcxPtvudo/ouQjMfAvQT8vPqqJWnzCJGpgS2ug2m
5Iedm4jQzvZWc9kK8+Kc/9HRVDTqhZPfEi+PymGK33dDWZ69bPrUKqDe3j/RKiViYw2KCQmlpkaJ
ebPhDfWcR04idp73JU1lUI3kcJ+KDivyz8NdkdG0gGpIXNS2nUdkDh3qZyGyDcEs4sNsqW+5cqED
mn3eyUeVuO/MajhQvzu69ogVyea8Z0kfmgM93/+o1aNDdKHGfZgMHYxWEjI3dIBAAV0vsM9xnAd8
o/S7Ypag8oCpBxhSz4Hfcisac2FU6DOzILMmy05SyF3hjS9ENk+l2b9i6425waCrBJmzOEdLpc7X
ZHGMhyZF5JZHifFHWnk7cw6qz4Cz2uXjj/u3t6qOrihpouh48I1JA0rT9MkGfgsHHjTWmRGGZD/W
KA6f7pNbyyw7SOzhD5IiFFr39ip57vO04UYeDdycAZle8r1XA1OvcMwk7MYixl6zvNtZaTxifrlQ
ZyDgNie3FugaTvNvcd2NuxRbJ39HfnwHF8Ec1/P1rCwb7FF5Jj6rFRfUmYNmloHdP98//CqnXhHR
73rq+9SaYxAJ4A260WCF9wmsuDUuHF2Kwhh8gjeAhYIVquYWzSM+SX/nTk/9kklL6qcUNcv9fVrL
Q2kOL2i50ORo8ICDrblqAruLzbGGbvOE80XK7pT27Yf7JPSpjEXdgAaFMwgvCkZTixN4pZRJBS6s
m5uzYGUQKwTdJPDbPBQ2en2a1yp/nUtAeZPisz3wMBnHHUUBYrCqUEwoW3Vb37TyiDffZN8ycGN7
KNQxYHD4ufPnnM2nAk0Tbon5JScYxufSBlKwpXaqeydlC2Y2v3K7+uJCV+ZutuFMrKiJm2/R9FIX
o+vcTNAHh3ZC90xUQQMzn+oL7es4KGajPIzlPBzvv8rqw9su0NOQFABAsPYoIkvroRvwKI3H27BO
W0Qfljn/ulZ30TbyLxXtmrG9tmZ94sMlS48+f0/as4hf7x9kzae9oaFd35C1fsFqXF85vGTwqWz4
Xqb8wZIfsclCObVhSp2TAZCa+4RXxdRmlu8tO29sfT4n720penRhRa55JOUlVV+7F7PdILKmaXG6
/6ho71RXwALGmFYRGZlnow1j7PZFkeUnWXdWscuUNT9Q4ss/+MDlue5H4x2yW9gobTQAnDZiHjLe
9kHF43jD/VtnoP8+THvaoq1SMVS8iNq9+mBs2LNV8bw6tfampG+nGEoQbZumCFqv2U3j92wLLWfr
ATUjNri500oGxumTZJ8kgNCafrTAuvVZumGXtihpJsMUnZ8KA42183hI7Mf5pOaTdH49/LnhlOUj
rtzhrs2Hnifgx7G/NEm9I/GZFfkGP67qKgRwjuW5KE0yzXXM+wa57qVnt+Nx6PUHqEvefvOLi6i+
3hevVf76j5LermWX3YzHhy236HCZ+488I7+jnK4oaKJFEuTtJxvKaSfMd5b6UG0t4lou441xvSKg
iUhSKs47jsuyBg/a9VJijrOkH7j5aXFMElcGWDBz/9bW38czCfWAsW/pmXZSWTFPJ/S3zqpsj3Mb
J09tGR8TPw5KKCt48T1/uU9yVVaxRNtFicKHw6JdYwU1CIZANNG4n3P/oSU88IytDkR9UPYfJ+KK
inaXM2HA0BoJLMmQRu4YVnw3iCIYXTOo7VEEs9ti13z73MMBBdJpGgx5G+QCMYtCHtcv273jAZvB
w04yOe4ctGR13k70MXIt/TO1MPpx/1ZWPHKUOpbyvYPlDJ6eHFWjWrqB8L1ZnQaknXZD+pfjXArz
z+6R0K1QePUNCHxFz0EuAuD3t7KfdRxH6Rd/nMlHE2bp2PV22LiDv9FHtUVo+fsrJaPoaHZlBb8J
rQOhR59oh0gjmTYub1X2r46jqbLUhnNWEBwnN09ope83fB995ucfZsKjINBmKL3+nG+5OoXRovOM
S5yiERerEaElzrnow65ECeaTyMgu6fbPVGzFg+vH8l20jaCJFvW228urirJu4XfmkW0/uTR5pMrf
MMqrXIck2/+joCUQCkpHzCLABvR+FYwODezM/JIlD0bdFAFLo9HdcqQX6X6j464oagZhEnFWT8to
SpEap5qkZaDUnvYCnn0SYGXQiQxnbpm7OS3+aJutDPD9G/XeVIRcuzBzivNKIs52V56qZsOqrpru
f8/n6QUhyVu4fiPOB5DPoJ+TDyxz33cuCVy+NZuwdRhNxfVpP/r5cpUZ6jWPW2Hr1q9rLlVvdOZc
jLiq5jIeT/eV3bpAYZwCi4pRPEGN5JazVWZUw5zj06umDyVXR1WRXTrNZzFbf2aVgwnQuHuWfv+c
yjRK+62u/tXDYYMwcqoudszoeW02GNSwlsGYdirawMa4ykfRyPHb/WOuNVwif43uCBsQJDilpv18
Oy2dgosiQuYznFEtHwHlPnuIGhM7rOoHtNB1Ew/cizt8yrp5nyvzEBfpqcudAA1dh8lqzpJbh7HJ
oiElX+9/3tolXH+dpjXrTpQ8G/F1ZlsEScuCOn+9T2HNoUE0by6bmhkcPU2BOT118rrBLFBZnBPZ
7nnWHNQwBeYJ3gHieXUSLt/dp7nm0VzT1FRaTpioDLrcefKVKzdMcmCo1J9iXGfe/rhPa5WPLcy6
oCHCt2EmNCFRbiE5teA+Uee1RANh2fjnKhk/58oLZ0EeXbW3ZLIfU+9Llldbzps+n/3TLl2TX174
yi6xiqclS6YiwhyZS1l+ROke42rNUTXmY9d9TIx0NxI07sqHBhUiMaQqkEge7Pp0l/bygCbOgw/f
a47n0BVbuybWbL+1DGYwtjQe60UcK+2GtPRwOdZ0qLJ35ae83fAuVmN5LMawKU7H0CmiVXrznDiy
8hHtVg0Wm8dpqNqPlleFZWJ+bBmgZeJ4zwAJZKgNj2OtmIEy7H+UNQ1mFcAaVbYJ5TvMQdZOQTq8
E933sf7ejN8dZw5MgQ6z5sGAW2nF7r7dUi7/n7Njus+kmINArfv28U07YZUCsEPUm3VIm6eKiaUh
N1TTHM42etb98pJ0DzJTG9p7VcKQAXKx8A19bnpevCu9QalkwKXHdlR6mItpnbCvZEBZe2yyrSHG
VTa6IqcxORo4CgnsWHgMycd8aI5G+uRvzpVsnUnT1HMmiVW5PdImDvbZNv6jtL5a5QX7bs9WXu7v
q41VYpjBwkgh8s6uDkzEqqHBlBx4x5Z+mA17iRUz3PxSI5E3Zxs2aIuWdnsAL2NCLvmgTOx5i3iu
/TYZQY/oh7hNvSEVa86PdXUw7RbrfIRNWYilpToY9ILh6wPafcMCsnD/Ctc17xUpzXg5mTIT07CR
WCDfSlk95PZD7Bn7hFfhRL/BdVUcvfJNVNdqw8Nb5UcXCLEuujztNwOus0Ek8QWUrsWwF3X4IbMm
HOoNIquWE9GZjbK066NeeSvcrPArq+txk1bKjiy5tLzc5QrKPD506hNSiUFnmRu5mtXXu6K5sNKV
NaHoLiPAeiwiX55L+4twMWXtlEfA8X+8/3irhHB16CmgqIX/1GxXhDD0hg2HXQMTXYzTsZqUghtU
z7vWTPyg66uNmGP1wRiyg/+Un3UkjrRLZNMNsENFUgaW/aIyGZCt5OBPX04PbCw0r8KndeHTvplM
M7FNrKuhFQe/2HWs7c8xRTnWq62w7FnQkuJFcrMK5r94WxxrtFMo65CW+WlOdtXEtkpbq3fsw0DZ
GP3GHWuPKTuz6HsfXCr7d01bzgGr+sB1573D4QTcf8+1C7YtzNcwi5gIjzVmTby46mPbhReEjlOQ
UupFbUr8oqj0+70moh3Itc2uzUYP0/9pvZPiUqKn6/4x1lTlNQXNc7QGPthdSvCCVRHa/d+WOmIX
XdChzmtj+O8+sbX3sV1mYikN6o5opb0VtslHpJ3AfUPzSRU2gl/qcTq36TunhzTcJ7X6PJ7lOQ6j
6HD+iad5JW41WkjgBLAiygkPpb0TLbqrtkYAt4honnBJu6lMCS7P81+EwnLYbF+Uxf94Es2YubE1
0MyhwLVQF2ZYIRGPhtySnFVGu7ou7WVEjmGgWuK6zCFkp6bcOMPCRW/4GI3uBM8Ov83TzjD3nHv+
jMlCRZpPSK+Gcs5f+t69jLZ5bKv6ryT1N0iuMjZ6tU0PobaJDrtbXlO2MnIHsWiUZU3kEbTWOOes
RuUQnc5Ict7nttXrI2gftiiK3jAnt8Rqx42btssxnG92sMUmHY6MO/WGrVplNyDYUgyDYt5J52lV
OiI1xhJzg7kvQm43buiS3oI9HsTx/oFWJZUwzKfDWGFaW8tYjQb3PWliRNEf3EPtvso0OYx9HlD+
7j6h9TP9S0hfPNihY5XGFcbcauwBkWrc+8NL3pON99k4jo420XQtYqa5KSOPxsFQsm+SfUiLZl+S
ZH//PGuc4JgL5g3yi96bAfp8qorWJUkZJd2MjisC8Mq/MJmwxXBr3O3CtMMlQ6rF1K+tUI7b9wTW
Z5jUw2TAxNZJ/T3trY+uRGW8jJ/vH2vtAqGxHX8ZdUeXscbgbCiTBNvsyqiRMhTsO7eRPTHagxie
7hNareVeU9JURUkxhjCYbRlxAO2E9pSiY9pvvafWZeSQmAyrXifZnd0kV5jD8L/3JE7C3jENYO/4
ETcaEralk/yGPFx/laZNjAxLF8cR8lA7r5T9bZlfUc5Lyy0AtTVpYB6cCXjYGM1wtcPbgyhTNCdC
j+T1nnSXxZoM3Ram0Jo2BkQF+nTR57X0cN9qK1IwBlBODATaVZsErN8lffWFds2ltY0975GTzqwN
sVjjH8gEpgU8hlaonzuTr8yx9JJOoI5YYpBydoJUfbAdFlo9llCM/Zaa3KJl3x4PDWUd85ZxMXTb
/CmyfV/wXYKEQBzPu/vMuiaFSPNhKh8NO7alN+3Ac6pMY/LKyLHHiHtWFAPdymq7Y1GQQ13kGz0w
a/EResmwGRxN0Ojo1pSya0m3Ljs0QU8loLRIT961459O7z+k3oODFiD8r4s/kg0Nre8N+ZlwQx+b
TTD/RAE7osm+mxZkNFKM2Xopskpp9xRn7XuBJEHJnKPjIWM7i7Cs+KPZDA9kjoNsaH9D/fg+OrKR
UrNMX1d39sSzyaaYw/Wn5jI09I+SO2GdqxNttqpDq9yDzDWalvG0aPm65R7wZF5ZHqYbxDxFoz+8
o2gOVJP3yDZ97xVSqMYAL4ihOR9hvfaeohNA5Z/QaM7EKxbyhbIfd42g6Bd4uc+nq4QQCcIRAsQX
pthuz2RbtScaihdsrEePeR9E+UNMF4PQXw86PROTBgASsSzkObTsnNeyHGkxTFG4hnlO0NZYmi1Q
rzd08YqSvKGiZSEbd0xbpjA5USNtxelT5gEDuvoNl/WGiqZFnLlLsTcYj6OU8V6hJ5MYz7bRLQVC
0WW7mHbh/UdakzNQXGB9/J82QHulehoGL6uXCR5K+qAgRejnT8R7nQgser2vsCutSlTQmH8kgJnD
gM75/ges3SuYAyl95K0h7xrnV74w1FCZkHN3DOryBwKN3wH/8a5paOFmS1AZsXvQKN06QGncYW7g
lRs1ntWDoMbvIgsAm6P3d2RFgVpkDTAbbv+gAqkI+cT9rWaLNZmyTQCYMJTGUSLXbqufG1M1VVFF
c+ZWx34idRCXzvfabN4DUUtuWJpVapZpAeUAFUSQu5Xgnruj5+cMsyHJfJZ2FyRN89w76U6Irc0n
y4drsZoH6BCoWnTHYEJUY3zTA2hj5iZVlPov2Mw9l2dOHuhwcviGU772TDbsGLI1SCH5+ihKY9p1
TWJDRKSp9iLuLsgPP+bK+fjrbH1NRlMXIyc+CrJ5FbUzIqUj1n/4w8Y8ySKZb67s6iTaldmsHYF0
zqtoUEVgqR990/zWXQG9jKFTBhHgwh9X/lPfpmZFexyCNK8gQPwXU/24f08r3sUyC/4vCY2h6dix
OcMkbGRhADnIJiUDv5vRnrDPs/GBju7OaOoHoySv9+muefzI+WJGyEJpxUNq6PZsAIlPuo56ANmo
pHP067I+1pnTB1ncAQffZFC9cLSO42h7r4NDMYJc0zAX3NkzTt0zSp88NOsJoJX3P2xN5jCKTdH1
jUlHNJtr3yWHdPCRtY3sZjp6PkUwMh8m57Gat/Jia93f2E0DDLzFrYOJXkTl6nlHS7UICCAKFvfO
E2sOc352Grangx+yLjRRSh0y/wSknzD54HfeIabDbqqyDwMbQ1s+E3erWWqNpQFMQDEBAngAZFNv
v0hOQI9IsqqKROM1AZNuEqZurDZs3poKuKaiCY4cBrtSDnhuHFsJ/Sm90E6BBMniqT7cf81V8wr7
iiFCBxuxkam5PZFTVXZmzaJCMugHxQaOAW1mdbYUKQcTCEYPtXUa7Qdshgxrn55JM/6GCkdvHlsg
zzBo8nMk/+qN66TkpBSyQunyMtmX8ktb18GGDK/dJ+I6ilDEwT4nPc8xDQIo332DV2uNXVYcZxnv
0nEjDNkioj2aN5aAjqA4SIX2NvhfDPv37C1wvVUiSDbAFAG2EzHI7Wv5Ztw6BR1BJH1CTiBs5KNQ
w288Cfph0ASKahPuS9M8/lDOFVyeGgP5bRXQ4rFW/LvtYSKx+B13AR1SxMUMq8NQMLg9T8sBQ9d1
TR1x2R65ML5N9l9WmT1AeO/z+Yr5hoVwHYgVqmjY33pLaOJmBtylrgJKThcHfm0cjC65MIrQgg87
r/zjPrmVd7oht+iRK66mXVwiD9ZWEeunIK6+WjnqTFXz63oCE7k/C00Mjp3ePhuPZWOmsQm+Rk+w
6Npjcsq8fMOKr7U3EIYZxuV9XExMLme9OktspuDosa6j1mDHwXc/pMlL3WePBOOrc1vvquorWmlD
wWXQxtg+I4wwL7oN6VpRvCinAUX2J4ooGjxuPwKDFKLI+raOWFWfKykvYgt6d4VDMOCHnDhaOxdt
pIkWqhZ90fOijmTrBU38LnWPSSICp0yDeNwybSvHQbIabgXqZA5l+gAIJYlgtJhqpEYsZ96B+5sv
XpoiZLvPh2uHQlXdw9uByJue7sHt43mebOgLv8NqoMYWZzIIflDCtYK4xpwfm1N3gy1XDgdfHBUm
nA7A2Tosf4m636AA0hZ5Rb3P5x47U7j9G6PvuDoXT7WMRzp6WNZZWMvij36NCQyfHbvayC9Z6hsX
txrbDQlYucTllYi9DNNQT8fJFdLskdRFvSTDPzhgu7RzcZs+C8hMnIMQmR/QqnM2kgZrlwiCyKJR
FIeAp3rL8GPn90YZiyYqYvnVSJcWdT8+3ueOFS2FpnsMvCNTh8lHHQ4xiz1TjqnbRGn7yAC9IX0s
SsD4x69TQY6M/WywRJeUJrq5F3NRUS4jB+i5dH5BSVga+/+Nhia8PBnt1uG5jIrKCY8N5v+sfKMN
Y+1B0DmAqBbekk/0DFinJrtlQyZhFfmJzfJ7yX9niBtQTZgJQ5sc3kQPMp3O8mTv1BKTzOSYUGNn
Ncm+7+PT/dtaeOc2MMMhzCXL7SK0AKDxLW+JSrYzkDwRpJMkku4XYslAYjeqyrYAN7coLaJ1ZTs6
Xhew7mmF0Ytnyj+XMWbsyPvc+Hz/QG/fBgeCHsDTIFh78zYtp6SbHAXr/s2agm4rJN/6eS3NUAPX
KenhEUVGTnce3YmcbMjIFgXN5XIbkiVpjwMM+xY7iu7fzlsxR6gCvHu4VzA6QMu9fQQ0LExdTfD5
Mj5SXwRd98rSDR25SgO5WmQNHDCW3sVtNgKJ4YTiBeQTy14BXWzaL/ePsXZH0CH/ktAdbFu2STMS
cC2bAqFeAUB3n8BbZgUKFRTuIhYwmLpYYG1OOhWuVUV5O8ogJWYfSatGVb6ueTgaw7xhJ3+6FLdy
eEtQk456HDCWBCiaSKqQTce63rUvqtnL5GBcMvFoqQ1G2DqgxseJEO5ool4ZkSp2QuY28Xksjc/C
RGOqI0u5oTEXpn17PKBAYIabwsVfHvRK+MvYSEXvzDie4Qw70WHUyoUfYA1yb6u/G6fbjVZlBPE0
bOi3twZ7uVc0uJhwrzyMj98SVvGcUSdGlIS2nbI+lCLZYSdA3KZhlj/d55m1My71gwVTHQNUOto5
Rsd4L2w4WD6VUQn0O1pdYuxuYOXBjnlQMRqQLafurSBguhCQQrASMNpEXxFX5ZUDJ8dsI8f53i0Q
2xut1CvXd/P72vUJm9Mhd/D7w5gh8fAuDnjyvsqCnG1c3go/wtDh2uCBoFdMh4JYIDp9Z7ZbOPV/
D8U78IKHmbxyM5G0eqCFDMC14efou0/KsvXoPMZtlBLvVFPgonzqjSqcG3UpvI264HI5GtPDhIMQ
HAXESnobejUherbNrINtzYIKsDZuimji832uWyWCPSRL3nPBetFcKlkZc8JcEElwXxV/Vf2haF/v
01jhbMauaGgulYG996JPig6AMmbICn5p0Nw6Yk3ElJn7tP7uDHkwdna2EbGsMjejcHnha0GyNOaT
yo3JNJUd0Ec+CvE0DFs541WmQzTr4OeRydO3LxWswjBd1XaR2Xwoxhg5mnEHjTTa9v7+Ba6cBPVh
irLskil03pxENKYzDWMfZYBw2DtDo85tl/lbRmSx3hrDoa8GMSsq3+iA0q1WZ3Rp7PduH01iDgu/
eK1S9qgs6zDkXUDK4ePUlx/dWVy87Ejyi8Veifpy/6RvWQVtV2jvWdBoEffpih72EZVN4ihgp8Ri
n6Kz4MANG1lhe4gDaefFPk1Qmsdqk7M3TuX5PvW3DwrqSBx6WGqBXJIu3V0Nt7BrmIowcBcqfw4K
8wjzHtRkIyR7q0ZuCWn2zFJMxElMVZTzkygOQ30YMNqTPBpk600X+b19U1TaYbhQbQRWMZz0WwPW
ZrFkLVFD1A28yQHiXTQX0xFsLwCcG2YzECx9v4xDdJ/LoB4T62CYbXW8f69vlQw+AtM0CHgRjaBu
ePsRmVUS3oGDo3KOd2MCBAk+BoZ0NwR+5fmQl0V3DwQFRUM9AT3GsZi8AXCMbNjzD22yjEpGaS02
yLzl0SV2BwAotkYg+PGWz7hyRlrUTgqaS6AKeo35UDv9/JgamHVyVPG1o0DlJpPZntxiekYjurPh
kOiLEZGoBUwrpnMAMYemcKofsp7VzMaKWpEH4KLJxTKs+VNdPBZ/D3yXP/jzx8nmganCuD94+aX7
iB86TvEn9UO4z3l8NkkWbmGwvb13towxA2URc4nI/C8XdnUhpS08TBSndpSNbb2fpCnpky+4akIv
9SoM5tWo6GyoxJVBJYDrAchnGZjAU+vlYdXbheqKGeuMqAocjJ6VPhZRUhYA1DRwG39XFXQ/zXwv
ya+rYxRtsTMEo4dIhGFK7/a8icWLqi0sK3JKA1vwcuJFbdY1n+4LzcqtohkInVwIH4BtqueKmkIq
9L8nuFWRWWdTEWkEFcbxgt5BoD0AimBDKb2VUtgw+INoIluwR/U8WMPnkVEsuo0wXWkDso8AS+tb
IT1ZPvKxytgGJ6/ELKh++T/xwlDhf1P+qyTqGrxqrcgku7IJXYptbkHt7ACfjwVv/rsSYzjjL2v4
W5qaK2Ly2JMDq6yfYBj18KHfVV4TAoP8/tutqAigxIIr0YsHlBJm33JI3iCoQKbPimjpKhnOXmeV
YVFJgbilyJsqRL8u9oawupt3STpjBK00AN14/yPeGhn43v8MjwAD4g2uMxaXMWM0FD7CsOwjckxs
NwLz7GBxSc/enB2G3s02xHKN5uKDA5QN+RNU424PDqD8eQS8nhWNE4smkj5OqAAGleNLrPowo8Tn
G4dcu2l0a6DgR9E+B4i7W4KF4bRuByzDSIjhrzTFsCLQJu0SLZaAnTwJnodG1QZNLje4d0VYYAUg
/rCuaIPR+3UtmdoyG6Hz0CVo7Nk4dF8ru/TDjrdq2jDiK5oAAB4w4pj/QY+sjo7ulyUcTWwzAMZT
8rFTGGPPm31PgEUE3+Q+z7z1NGHVUD9F2gVzBG9Ac/PBqKUCIBw2Abjp14ZIdbANaW5c3joVJIrR
1Am51/vyEg/rny1ooAh91VlQTnV/yuthq1N87YkQveOHwBYoDC7XemWWhqGrhoJyJ2JFOUem0/9w
06QLG3RSbmiVdUrLqDBab1EaWaTiilINSct5XjhRXHjfxsF7nrzunaHi7/cfZ5UMrD6cD7jowEy7
JYNyNMqnRemg0cYGgM+Y+MclW3KqG3PeSMItJuzWbcSeReAAA8sFa8TesPecmp7RJsQGJnxxQWNU
6Pwf0q60uVEkaf8iIgBxfi2KQ7dlYVv2F8Jut0GcAgQIfv374N13Wyozqp3Z6dmInegIJZmVmZWV
x5PlS1mJVtY+zATBxb9/mzVU5OA1JEwt6QrLWqnrctSgEX/VXF7zISUmhttkHmzMT7VDFRoahw5M
5C51dqe0qKRHFQDhGkCUFYyon/rXWLskHIc0SQQdVyi0jKsMDMYhFccK+nwJQUSpG5GWZYGyX2ec
jOM/IQRwcBi5imoSOxJjNsmpyNVSG8E1S0vOM8Q94ZCfP//uyeD4US/FqhO4dcz93SqdOFRKjCWf
Ghai1plo16bell7bIwQiTV5K8ePfJwe9E1GLQ2UED+tbcs05qIDpFumrVK8a0urtXokMT/v7UB3o
u/lX8DFOi84YMkNTdgChPuqrSChXIxWAsP3t9I2JXk9k1rCtB00JLLyPmWZakQqhvmrPxyc8WgJU
+fTPMjV4k3g/r4eREFBrv5OUcNq3IlNilH8DI9FRVHyrE8EvsOIoU5yjxEsQTBFSUc/GzaBg2xS7
IbXqGjE4RYBw1grTCjsg9IYYaxeB7Mw7nvuUfqz67NCiKTYijgewWbZ8fpsZJ9o1QMM0eHfrz4AF
gcp/eMICyFvhRefSxIMUlGbBWiqqDbCYTkK9kcISj1RONnSaKzgFrNoDXDf7Fu9KmPFQQn5yfIys
PJQjpzodH4qsyJe5UXMMd8IRobkMfRboMkWbD8tZA+D2JhM7RA0RKvNEkMJnHZ3Ov+7b6ySVsVKG
3hFEYOzU9TGR1SCXSxnIRPGpJPlMrlwJwd/fvvoAE//dtg3xIbZkdLw8SefwlAEg/qynKY1NjO2k
gjizSk262P+AI4yAAHoFcyDotb/ViOIoS3lXnxHZKcfWAkZwC/wP3eBUNCbl9r38Ge4BDnz8+6uQ
AbC7g2FELaAu4sx8xIRl7Gh5ZND7vPzQbiD3wmljgE0XkUBkOyyFDkB8IUCPVk0WkipQHrEwjtYz
XOe6sp8VNUd0LD4eqgijDuCyRrMlJqzYNgBU7pMqbSXZTwhdr9t5ST7m/pyUlJzI60a1LE+gOw6P
bCbgB9ExrXklSmEmnUy5ANFofqb0uKi+Ft7y874gGdP9QYM5rgu6U2IkY2Sfvr1wgmG2b/LHbzNh
nXTWj0mQ4red9WW+DecxWVheYHPIsImjH2QYE2oFOahNNNr7z2uVFGR7IXP318OKWBtv71GOvL7v
6asA8gc1JiQ+B0NV6eOhLOlBct7W3eN2/vjLtQV3c7YA/WXx1OD7Pr1HcQxpr9SgRx4mKUcx0rXk
VPOBvkXWfD4nJ88mOWntmfUUk/2XOeewyuYxfrDKOIxBEftErEbCgGp+GaDkncflbryH/pq7H5Yc
aP/P3RK4V4Q6Prl485g+Pvx66R3LEl4/6X2Nnz5BdPGOS+qRDdeYEAkt981QaYLsH8507dRk+xjR
R/cXsU9EsgKy2NFnweHQnOTyiiZjyg36a4MgDmQ/n4uDu+lXrwbZ2AWttwurI/u9SPbe832abGv4
v47viiZj2se0u8xMZNp8Gs3Rn2oNRPmUFsUnlMUL6W7HG/+Y9ldXBBl7D7oGQh9M2e+sUCEypV5g
fcacnMH4Iz/05YoIY+1xOOvGqpXsK5b4EDz+r0JjzFsvtDzGo0H2TxTamAx2618++njlpa73ZFVP
u9TikWSepD/OibHvWZcJxzNCA7+3ihSZ/cMvy8rX+nznLdBX4ey42shcnj8IMnadmA2SPMdw5lPt
0/t6ljhJAxbbhf19tptNH/pKEY9QvOVaILVV4I/7KtNFRDzKU4fv+aU7+vBj3CAJRbUdYM3Y7Wit
M7Lebrf+/FGb/354IJb9/g6yi47QT14qdPre+aOJbCdaJET1TJBAeXm40HVkOfP5A1kZ5DW0LOuT
oyUsOOIPoTIeRKqb+qKKOLRotaRvb7UVkgt50Hz33BPL232GH1zRcpwW20RRVZh8aEUNDC4d3Kvt
PqW1G1GUYaSvnnRLL9n3JKSxy70UOEbOdqdURjFL0XYv+2fneb2OHtaJ5zghmT8q1F3p7sqSLJlW
lve5u+8zOZbBDkuFQMgrkgym+OEfSUh4HdrcQ2S8C9oRqjQfr541vVDHGcij+0Bs217sv7iRynT4
daWfjF/RjewY5h00ZvlW77CY8IGG1OPECH9hBIgSkX8yMfnM+PzhGEvxTEpm4OjNSekApZw/4C5d
xORk7bzdbkbuHxE79PVvQ/hDkbkAMCR/kfqR4jKdv7VzJbcQeLXrnng7HqjCX4QKf2gx51Udm/Ai
AV7Uz8gzfZOo7zzCs/xyiZXaT/vd7pMjzu8O2Z/e7A9B5swCRcrDUovhmulH87gdACtOsereKi9k
IHNs7iErcrHfj4eFtw8j8hWRdDc+PbzhISG4ozgP++mr6c/nMDeF2Z0UKanBP028viPZPNtT3v6n
v9DT/xBhZ7/PZR5k7Rk8F4l3elErh3hPC++5If8bM9+qfBVHG3Kjn4cCzKgfiW8FVkNUTmjJzoGw
uvmtT1ckTkqF7etZNPOf6VaL7Y4uFrQjXtsRjqJMx+YALvm33bGoklmaR8MJk4z+jKj4c+hsvLGk
jlLOvcM9HeX29dHm+TmOTiC0FPbRPmjsgHjhfncUyZJD6i+u8j88Mb7kdAHM/TEelX99wMJ00ltg
qyBvov2WPaXL0N+dECxbVrp5tfYxZ3rmOzFxx/TYTEzXGFkg1sfR9A7OmzP3v32ZS4iNZ+sT7jv8
4enL9D33h2PGv7R6WA/6SLOxnrVFrdDNAuGK8LD89LjhCtMw80M3GddS9E0ZJyfo5nLZW2tHII4z
d1vi2nhALvBQvu+mOZ6D3evYlV3Zxyao0Sgg0u787H3xOOKp5mzk+Mra0MgCxBlx5AirBxbrsS/c
Py0xgJcrPN/BpTXGSte0CtR/L9Jo2WtHAwa3Bf/rCD7vDcW7T9n8fX8OtJP2fUqH3tLc9dsH8cnD
y+trR9/xAOecEpctJqoEhghg6JJR6SWEeAbehtaRphblxFXfhcI7xjVjvEhjRmkufl8kh/Vp/vYh
ELzxEdAR3XaJQd5j8hQhYOgJQgaO25+M6ZDUV4GAME54MSyqmE6bzZRihgdCbQ87uuT8/ngH/mDt
6vcZ1jQswcyAi47A3MQLBKn8MxE/+znvpCbN94oM4xwV+OBAHdl4RjCsrzf2+Li+b7PTD7crGkxo
1RrHoE5MsJKRswMnsXaOpF0aR5r48TpyT/TC6czhUmQc4CUJgzDP8vFwZPdMDybBDPfFwovG410v
04HjFXeMAzw2Zx2b9bKZXzkVHU/qsqpS+rT3dl+8rOr3UO49pWACJ2MIs05RIMkGdKgTUW1lw3x3
PKY4ysdWKWRFVAZFA08xBiP8/VdHwg+OUnAU7zsSufZ8p1zvThlIPK8Vq3xqSYqZasPhevPRTu6I
7NtVXdGRkxJboEPQ6d3lQXPfsoVwIfnG80qe0KaDpz+awPa4mEaVFYGK01mvYzTB2ogqOlLiyuXm
/XjCY5xDGggl4GxBqbQPdOs4F/KYL3+lxEaEay2fC+/+YU1fH1ecMV4CG4mwZPQEIc5IRg5Ib84f
H3Xr4UweVq9eahkW99jGbOm9Y2N8RlIOl3OA3g3/+KwJ7sWyPW9n+tkL2vk4Lz8uc4yzKNIwjDHb
PzoLRLw6AXdz91EZqzC2tYDH4Nxa38AK93hjPEZZBMde0EAQK+jeluutMz+TYVP/sryv3e4fSBLN
DiiYoT9lLKOy76A2MNHDp5wRzowwx45OlF1U0lZeYKDAeLmvKN/FvlvWbokx8UyHIYJWSkpY9fKA
9BUSO3PXNXeomeAfzg05kYm+JTbq0JVpm0JbAnR8JIYUJxlW2B8V0TmxN3UzloR45EaVu8cbc+OX
tVK1QwdyWMB+pr0lL0oC1GCqr1cY1vHVC94wFud+5tFkDD1U8j6Jj9XMR8deltsFZsc7cY9uXc65
/YxmbkXJGHiUH7P0IoE3esDLCCAvR7vunUVu7z1vELhh70//dUuOsW4pFkypa8DW8rAWNZK/iysY
2n2eft5htzQYs86r9hh2mILzy446h8hSHkQsi7Ks+1Qmrv9bMowx99WlMAA+MkN1YikCBcguQpJZ
/VZprEZCwMHTwlHL7mkhEwLoRnzWhBr06Gy7rvxEIMMa+TCul+JoHvsK6ge0yFby9xFlv6snnsKN
YrnDBtsmdUKIMWglTifpyQFKAANG5PTr0FLFzqJHnUOPo9/s+0cwTXk4jVJbPx/fI6d7yHlOnXMu
M8Y7tGFSY2IVDPW7wzL2lY5qgpM+n5BYWHI0eyK8vdE59tkjqEc9GwzQel5TgaxJMG8tPLH2HeGl
zCeKb7ekGMegR/JZMwIIDp378Zk0DxHo8LJBE/nJWyqMP4iyQjkXBqg8rw/N81tvm2Q4LRpaaePD
cW9bGnlNCdkIr8v1Utiul9Qqt6gbo/Lzv96XLNqAdiwAb34ZFf+okcb9DeArBFYevw+DpzGM50jE
1GiGHhdzZ6Em2MVz3QKmV64RalGO+nN84YxxGo0Uh/U5bJGjJEt6agl6zX8le55r4hiZMnr9q/t4
qAGA2HWjWqpkTQ3XJG9vW5+4LtZGR+SZ43hHzbvjQRQm1MirIEqAazjzD5fQVkm1oiYJgaJhq7s2
WvPrHgqHHhNt1HJRyRHAwVCS2EblYoVqqm5R6cGkDS+BN1EguLEHdrBOLOVaTEdJ4lIJ3hByF8TZ
zlHWCefH+Qq9QdzbknePsZCsehOcw7IDexTueLsm2bqbW9zQl6cijDsJ69IIzgOoNFa3yHqCpNc5
I0R4Ul14ShQaeG6ZE2mwTe1135vAJoeWDNtnY1eiVNVwU0ETD7/b42JCjSoqzkHX1WNAf6ADMl4X
GrjrJLLvqzxPeIzDGLCc8dyZo5fMyLDMOb/Oc/U/xtJOUSW2LbjInguNGIvjyaqNuYJZasd8NXl3
GOdgWATlvK57IPp/y6yl4rPpyJ+NTGSv9ngFZ55qsyB0sZECxmgGUnSN4FaijriunfIVNxkvKTiR
7b/RBBbptemrI7rpQUpDz8BBA2Il/mxR5arJPFyI+yq3L24J8/3iPod4ToNtcC9zrZ71J9wnM5Q5
1o5so5/riBdRttZt021aYsnkyWqsE83XHGfMuV/YdRpynjRJNl5l6dlWBssXrNSg6sB7DXFPknEf
UoCQtKlApx8NLaJ4fqUOcpYIsTgcTaTabk+SCUmkeuiz2eU0Q8fO8xoj1M2juhnekGwLUXrjJtwm
Sny35BgXIreYPCvHBxiaItanD4OMwdySW+Uev/rOpcmO4GP6P8tEFWQ66/mgbx0q211joxg12LZ3
Vq37Dmsi03HLFRN3VHLRJ9r4ZH5WJcT3y+FERLezgD5iY8LMIjHxPJ0aPLLj1X+HSxbIN0yVDJhR
ozCxZekUWJZIEvoVOrzoeNohAxcP85+oA7Dtwklxiasu6REcNxY2Bwg7pbZ4QdU0L39oMGFOa0pN
jx2Oo/NaXl5spDjIF6+O8hdpmz9EmNimNLLqMgQgchi7QGtrnlloOtqg42iRu94/fL/8Ice8lfSk
A8ZJjyhguT6ss7VVU2uPNCJHdKMz+KkFf6iMAd1VOKpp+UwbsADYfz6JBPBXPA8xCuXe7zPOqD3L
RiJV+P2EPK9nVNps8AbzuB1a0yb7hw3GEZVFewkul28FqN9NZ1iuHfyDJtPzp2nlm/JIupXVe7jN
DMf6ip84Jjx9T/8hzzimXs8CpWpA3tk66IC2MQHMCQUmOpFHL/GHBBPXHPNSixR15PCACxqNyFvf
R9Nb6Npogkdb6eLLpF8c5Zh2uEA6GXEzvhf83WqHkCgdQJ4HPIkiEq+STfoq/la2zTy3sQ842Mce
t39xQpIYYsESlRHCDmCXDJsXNTPDoB1Evw/qAXu5ZuFrmJyxaD4+iajxDUd5VRhm7x1NGcvoMAq6
QYz0N6esUK7HTigMyKvjUCQ23TOWjj4xSRUEWfRP9S5OQzLLbaN4ua8zEy+lsYUEkCgYohj3k96K
Vj8GvVjUpexfEl+TNHIEDuV9Ct+jP4ztgcQ4GPSvYTGGDUPFhIFcVjLC+oQc0jmy9m9hZW1T1BjD
zXYuLR8Fy8291YtGOnoi4FR2mlW92thPrbvnKNMkw8A4xia5EfaKBcNPAOSs5s0JzcMRUgazkqo1
D6tjKh5RRcDVAMoCW5wADHIr1DTDvHN4DhHdna0DcEsjYuqkO5GkI0jULtBDf4mptgk4kp5wogB+
G7F7ZzMdcOjMDR4acqg0lQyyyowUrddegJLHjdBHjWCOEzCCAIoGdhOW6LJtR5gZSsOyMOEBtuVb
+xKshMXiC/j+6gO9rzhTZn9DibkUErULh1MESpWz1Ensm3Yi0YR6y4YYVuXcpzb1HMCEiGpiUcK4
hoTdcF6kpYIAAZ4tIQlZl7ndymQIkRiZoUvmsbUUTFrUw0ZYXzTSuk8ocVGOak4VSdCxIo4wFSP+
FnuAfXi5VEogIGReyJuPi3c+kqOHAF0X3WxuHZ3cosOWBwM30QBigCoWvEgjlibAX261NVbF89CL
meLPqnlsek2nWSLA/az48eSa2qrprUYH7AC5L++phzhkjekv6CpmE9lZNLEDLoQeSKaPxLjdLuV5
OY+I/LLj+fLvPiNGYccx3xFeCog2mGO/5S8TYi2/lDMQon1v0fJdHPsLqueUbLV5iKZKgWTvLf7f
bC1F1gs2JZd0thAJ2kmBSyc98O7QqUj75oMY9xBLZn5OBdn0azvcrFPnuKitt9ATiL5JU9JuYruI
yI7XmTj+6j0xMN4h6KJADTGl7qdHYj4mKxjS3rt/phMx9hVjQIm+lbTUADgxBTa137c0j4Ahv7ws
lflR5UVzE2HWDR1GY43GrGspBJ1lPG/s3rTazjE3Cql9y05zioF+ssBa4/vMTbybb4gy11h8VrKw
wYi/D5qDDUCeVqRF8H6+oI9U9e/T4qjIDzDSPExUpTxpo87Ki+59RruaxE5mqRrZLGaWrR0Kyk3T
3tcQTWT8bdSlQjxkECut5oJ9sTa5FXJ8+oQxYjkQBu6BmaUCaZ6dohTqWkiLLjD9GZ2R3MUunwsd
3MEKn4Tted6+qG79FOPlqRJdXYcJFpY6SWKFKNDNh8fTW0qqM0lSP1RdHgLFT+4BaipiaQ2Qj0Qw
zyiVeL6EGabzA38oqVZjGDebF4qJjSxoE05TR+eB2f7UJ9DDNgmgd4zQUhrzVrjkIhaTlEngH0Tb
9yMLlYsD77LWxiO7NfpbIozv09DyaZ4qEHk+bH87ztKwlsh1ORKVWpJ5hbt26HKNMYTtHDOtoRdt
H14XCzvavG82m9kie8BrfAf0c7JYHB1rsdhb77zkzXc5794njudy9fQLj0OoBSo+kaLD/uPDRPa8
pQXamdcl8d3NAk1Tw2IhWYPtoVUAm0R4F9FouD8+AGgWJnAM0CLI3rrDMVTlqgoCVAMHB7uEVW/w
utdTT1Kv2AqvvB6WySP5Q45NeGQAGUuGygx8xThZsXZQSw44w0T4iUO/osBocljOgA7TgkLl5PNj
Td5KItrlorRMK9qErydyea4smeP7v5ujWTEC3wRLrQFbJkKYt+d4LE/GJS9yZZyKLUhJFGt7JM4j
cdF3tII6PaFjhqc8E9M0iCEQi46AJMA++a6+XitPnQZxfewUH48KiaKhFO05JQ22m/eOFHZj64jl
9u/3nfN3yZbh9IYoY7mYZQ8k5QyiFYXV1ARjScffAZ0768Py06Sfn4VHu9YrC5jNIresnYa1USey
+/vX4C3zjHFjn3MrnEt8h4JEkFMsUnrchbvgYU76Q25rL8qH4N9nfcJH3nDO2KosGmofl43i50fy
dpoRbQ4UZl4UPGGPN0SYQCWM5TotVBCh5vZN+/0IyJyLiyLa7j4vP4OVG+mxvVZRneuXSm4V33Cj
7ePDbCF83ifAU0522qQ/nvRANEFh2IpvZySCZhQTBXOXKHR1WXSHlFhPHcebTUxQgC0Nmx4AHAZo
BHZiL+kzwN6mPaSHUXHMMIS2X699IozDgstHV7dcS7X24rInx5x87WZzDtOTYr2iz2TaBOWCvdnq
ZTSODA2IYxXHKS0fwct6nlgPL+OM9eZpHy0iG1lzzplOJEdvuWdMExFafoyxj9xvD8d3bQHLvHho
uIRTtx9eVsV8A6CGiNeGMOX6bmTOGCLe+vjrUebjACp1tqrnzzUBc3CPum2jqWTx1X+MEg8p5Vax
Jq3lSt6MSc76WkM6A7TRjhGiFPic7udk2Nl29vCurGKkoC3zn/RD3MqZsVFsPm31AWvd8IRxcurD
+bkKWjBfdZ4+T7yJQQkpOCw6RUYFMFm314pmHuM8NCScKMznQ1rO3ZSsAERgox5xpD3hdR9N4Hzc
EhzzH1dXSnEM9bM0gOCSrt9QCoQOPRr0UaMuWkzlMWa1kIDgVnsmXesVn2PYcE0W7Qpo7gdZ9Jes
T46kzNONvPrU/eUufRuHnngFkanA60ayjKXqQ1bo5gUUG2tJncQr3da7vBSW+fgb3UPuGZWm96en
ap1AyuZ8p271uWGntrLhOPxp87linTFa+RypUpThQxJ0vKyddg68aQyGuMfVajVbnMiioOgsEv+L
OuxUqHQjA8ZyS2xVk9QEpEv7Gf1smKso3KpHwCt6O+781UTEf0OMMVUlmLWXthZHPuOHNvebwlJ1
Uol2om21hPNcncie3eoxY6KyMBOK02mkNlhtDj8o7l8XNdocd2NVlN53+zxBsljrAMMVQuzIhtWs
8bwwSIsKGyZ6xnkeIIZw3PxEG/gNbywQnVFh4/GsgtMz1uUCKC+EuJgmwjAbxo6t3D5SnXOtTTRc
3FJk3FARJckxOYOiigLSm+Mmc48jwcmL848VGIzfqYdzZqQdKJyoo3rY0bux7c0Czx1EPrxk5/Q9
eUWM8TbHmVrN1BzH1VJjURPZov53fPBgUFdwUy9zBCpQ3o6j6eDkiizjciIzi2UpAdmMLNdrDJMg
HnLmBiXkF1l1FE+9hRc6nx5vGIfnYgzGxaRYH5X2BQg/H5YISRxHgocpngSbuL9WNl6Vi71Acyu1
Younq+O5/XgtXPHMuJj4nNad0oF0QaIHzZIIJhZwmazQJmm/29Yeqb6d8Q+egNeuhl24kfVGjFw2
iIrjSBXO1s+sx7kbOO5GRlcVR3V5LDKuJo6S1FQauJrlUuusCgXisRL9T8YjboyQ3RpxVisjiQCs
70ev0V7+1FBDFV47stzxFPW7/fHOobHQuxdTEjQxmUFfopW6TTaYrV43z9VKoh/zcb8DeXzE/bja
yBjF32gE4fzK1t1X4PgfR+SP5ON/kzCbNovDThqa0V5lWyI4TpJY7gpTu5GtPN4nNdGadCtkxg+d
c1XSLg2EDAsViPjuzC+EkKMFdX26uJjR3H3xTORntfWWJOONWvR7pWKu4s1yctIt8GXFOfoZPEug
Ju2We+DuhNR8FVY1rwjx3Sl575wZhxTHoVqlZzCLzZMUm9Kts0AfHSQnG7cMCPp70bc81oPQJQs7
WtLl3ttbr68vCE0G63WDFqP70p9oF78VBeOosGauik4ibgFtXdofAl4uc8ltbQvZk4Z83ifGiwDZ
yoghnuqoryH35AuIpzYSbg6wsOZHV8qI/Ot1HFfUV0hmUM96Rz4YjvL+B4zSvSd9JiDSoqTJ+1jB
pfrxK+GtMpgoMN2KkvFK9ayYdWGHs41htgT4bPbm3b7PAOexgI0Jt1H7ZTgfL+IAz6eGS6ckCdZq
PEQWxkoElA0F0jUuHmHnx5jYpemJJH/imM4ooR8SBPqhJqLADoRK6Za+GDThMcbiE3+Zr9QP5RdQ
ozgUJsOSKwpM4FP1szN6AkAhiXZytmob2guWKpDn+5KcDiCv6DBuB4jSejQboIuihfqj7T68vEjW
2HyJWJX3YJ9WjStijMPJztjnPD63/LNJqtPW+GqzJ6x3Jpfcrv1+2aChloc+PhruvZNiPI1p9G1e
S5Dj8etQY/2MsGh4i6Km38pXbDHOo4riOpAyA5VcchhhsEb8isenpxEkiXNcPL1jghrxcg61uocA
l8ecDkuFDgal3CiVp3uMf8jlJMY2HH0MFw+YNbqIJP242IDHONKvzjMBZvTM7Uecpqkjo4JVgIrB
olaIsYmrSIlUzGzRdAtHiIvoq1viEeN9cgv+o/H8VIr/EGMHtyq1FYouiVW8KuiapljwQQ1iAbuC
S2nyisUegX+zxc5wlUYvyWF4VPG6wCCSSYoDF8dx+sV5RYNxFX2FFdaqHHynMN7aiKB5wpXJAuBE
qcvRv4mmBTj3K1qMuygGrLbtA9AyvTWdoS/LkecXO3vdNLxR8dm05f4RHeMs0BKCHVWyAA+IQxpL
U2/bdWOf5rS2HP/x8dE1rZO9clevzWoDFIvF1xcQArlzJtMv0CuOGQdyMYMoDCoopunk4xR5MHea
ubzkNRFOdPjdSpZxIslRaZo4CGEAy5YCKRoPtBGlI18iH4Ta0cLa59ZuR3lAW9ORzxV/jEuRujYN
Zj34ez6sD7rTrIfd5mlUH4v7OpryXmObD3Zliwrw7JkTbZu2nAVdqvr1AuXQAkuNkB4Rno9z5YBA
C8Hm55Lev97GX2QNHRs8sEJBRm5UYZENQrE8VVU2U31FK7BL7UguvDaeMZphKWDNIboEUX8DwDyj
HmoeBoUujjyRk0QqYr1Lv3l32GS4c02E0Y22iVLBaAsV8+mEvtXvyUa0Dsvsa33AeucZUj20X/0X
8LdTbvKaLKMailJowWkYya7PNDqOg/81pp4D/0xq6gIMyj5bCyjl5/1Dm8ySXNNl7h+laAah67PR
aerg9xssCZiSK/sJuHa8oGRKKa+JMeGqWBjnc5WdVH9oLKPcZMFieI9S16Q8RIpJS/tD6UfQeq7V
NsAyTojzgF7o2UuyWrRPQB/kcTSZprsmxESnbZaoUTMSSlAJAoKwg3w60H3dB0wxyI7KxzIaf/Cv
jQB9fPj7qyR6rBhnpRkPLCFAIkSXt/X1yUeh4AqQuXywALxNazxYQaaiB8PVUe7W0cZ1WkaPYUwo
5Unye+jzHmOMxxrisFFn2EXmI1d/WKtIVR8ETyzJYFLtl0W95xGrtl/gf+4Ok7ZPTwt7sF7yFE3Z
FuBteN8zedVfnyzjbWaz8tL2M3wPqk5OZhfu5bG1vVnHfRZMnSh24gK3CRUgrDhhTrQCHlxzyToQ
EnKyNg8y4GSdEPWBPc/YpwK/a0rMoSqtYJhxA0rDHuGzkFo6MZ0WngZtoHCnYyKbQJk4LmbK6q+p
Mgdryn2mX8qL6scm6ROaueIZqbPhAfWeEQ1LRvb3k1dvGX+TVSbsuTDQmKwC153tdGqxKv1c9arq
Hw4S4JYKNDwSiUSOatKTV1Y0ILaKTOzOarwsAF5o73KY5n0Ac6hYXoowUVZUH/2YwTt2D8t+64mR
FWbvimihv7bAJEFfurMjh/LkBXbNOnPIcXURhEsK1vOals+o0IqvprVaNUg9I9QguvtiieiLjHYD
bzv65AP3mjRz0kjIhloagfTpl2xfKl+R5xpa3ZsAfXAdlV+NV9O0xGCZoFs8XRSYKeNIfUrB9bGr
GIcuYbkiw7to5mB8iHQkogHqtV0/F4/hLkrJ01P3EqGu+Xmf3gTgm4m32R96DMNZhnmORge9ZXxC
fB5JlkZbEmAQ8PSCdmbkv3tnBVxmc6UCubSwI7fH6Jc3+weTbSZaDmVFkbHKcYzCbm+FsBMTFeB9
up9ibklUSKTvOkddnMfaSu91H7udMhA07vDsbMK2b+gy4UNW6VGA6TYdz3HgUgM041BipNX/GGBr
j8pc8X/lQP5dDG+L89oT5l86d1aM9wVMTFFie1yfy/iC0FNfMIb8gZnW3fNBWRyW9eIzdHqPc+hT
Wj5OBujYyYf9TZjZuZV1fwKuRoY2Mb9LHo6+TFHQ6ZeZM6ZxdvUyctXX+1r2jdXBOLMbggyLfZof
w7QVoGXo7cYmwsjaXujRE1tbeMrm74t9sNkvbBI9f9eX0DSAloEzAKsTzBBwPmW89JhPUbCuEzND
mM3EmhDmU2pssLyYXS34Rugkl4woum98VIJbHR9UzClJp0U3ey0GnajdV1Y4SbOLO3o0L+QonshJ
fi9PazWuSAwXmAIJ1EviVYcVcvm2Naz2MhfSxpINvxI20WCXgP39nfH6Raee1dcsfNdFrgKo/lT0
5xO2cfrSvv6aneeyGQHytzHXgWSfdsK8DKy28e/LbSpMvCHKhIn9oEmdkZWCL4i0QuzkxJ+CZKvL
AeGMYxFja0lr0X8S0cuy43VjTj2rb4gzd1EaZXqUmuA4b9BsvE9SkYYP2uyxP9GixNpg4VHOOWnv
ie5umMgfRWEhI8qZUSoX4yT4qmyVtRMYliRjLdzvdvkByODZ77KaN78C8ktXyaDAJ5axxLsMOLqq
MM55SAVMvsmQ+Uy2Ytn6/bgdS5Mn+yLYGCPFPgqPc8ijHG+MA1aBuSQDC0Oxxf4HtJnRGKIgVpfA
Dw3LWReb016xY0fXSYp64ca2WhsdPVa25Rjlt8beo8soV3UyYjWSQbeW5ueXaolFcgCRr62Zh0QK
9dciCmqpQ9zacf2cOm7oxgif42i+T21TQ/Nm7qbW7OG+NH4moL+lgWkbCALgTKybVMXiommBHPjl
s3kkRp2Q9gPFp48yo5W5F8SGaCdO7PNT0xmajHsy2nOQR8oMjdb6r9nS3KnW4okHefWzpHRL5EdG
swB2KCbvAh9JsszDpaeTw/JE28jWHhIXwzbGgx7YKhYnAxbIwQ2MIt8XYCTk4W9r+PglaK3HRml1
JuE/bm8is+zbVM41sDsLUPDffmxHQOm4pnmACZtFdOFo2s/sO0OQka9YqlWUtWrgXyrvfEazdfvZ
rPX1YFebTebDZTtHZAdlj0P3Z5x1S5fdtZG3pzyAxAN/mXwtD8mmIJmNZbHJW+C8JMexWQ5dBuPr
xXzY7dPdfsfR5UnL/iNonbEwIy1SaVYbgV+oRKzJWSRnW9hlD4hq4LDvE/s5PzIyi3lV7HE1NSwh
ZjJQTdiYZ1GJBH+puMEufshXgd2T2EZPk6UsABOOPlMsxQjdAfNAr1k71ucxy7X/uv8dP+Mc5juY
mBK7c42ikIQAcAJuUmJ5tS2vrIQe6dH5iu1zSb6Wmn2f5s9BWoYmo9FGJEhYFxwKPsWCSur8H2ff
teS6kUT5RYiAN68oWNqma/eC6L63Ce89vn4PejZmSBBLrCRpJMUogomqyspKc/JktzGiP2fDD9Wz
vVXbT55Tv0TDYter/u1gWZEufX312tcFXu6SZzuq8tSoYuI94MWYvod4YvJ6KG7ulk4PTwe9I68u
koDDudl77/GOJ+FKNttty6irSC8RSvKWsqo+g1VBVjmjaktdbbNW7fZTJpmInusKyqnxKWVkCdVb
RxOBW7cnl1GDDt32lP38EJhxaZOlK6DmROwyrh2NDvdmJZPbCuOHcMvhp9Q72FG9w6AL1KQ8FIj+
Phf2ELEpGDOE11KSRIw7xFDPe1kxLcWpIkLJhIr04KdL1pSMXqidcn4u5zHR+SsIHZIYbcfhVCeC
Kj+oi1wK4JCoWnysP5sQ6VVxL1y/WC3Sm4uFlL+0SCbwmEW6FzsFDTahlCLlibGeGVJm2Es+UDe5
IRpw2pdGLM0ZjnFsNwIy/I2FA3K/l2HXKmmQQlYzYjsOjWVwVnsJP8+jvVAB5sHoL/3Ev6V71KsA
q/nGtWnXNVnCF889/Xcfwt1/SCrnUp0m+JBcVPldoKxER2dJJx9q6U9F4lrN2oW5Bo/Zw3Gfb9Y+
ua5h1tPdEELk63rbadlfw/j83K7XaysDm125T3CLRbLvf85lrtYXPT4zY1Yg/8DznCwnaWdvEMpp
vMBhJjI6le43gGHSEAUYgTpHrl5n4K9a0+4+qzDU3KgVU46I2O38D6UjbWOWirGg6qORfLi/eEKQ
LgVoAv3HE+mZwnt13cKISqqzTdCj5BM30FqDBafv33ScCbJEcT67YByBiC5kluF+TcpNUJUEVBim
tYTptcy+wdbSabLkAzyUd/HzgoIkB0JPjGYWp3uaOW7X17V3YeUdQAYkDmwuPGTUu8iD/DYxKBLr
IugAHPc14T7kNTcQbHCfrQR2LQT6oDgL3ubsfUM/ucShsxyUBL8m52bRGFtfpD4wHZeBOniV3eUH
vr103VuJ7F5G5JSw+SvbVypXvjesFgyS3gzq8Bq0X5JEGvQoS26qcYOaRT9US3zFJ0NqtOJW4jRM
iS/8aslfHD2HqWKMQ8ExIp7HUNEplMaVMgdDtBv3whmSg1kI0TsvwWGsEnWoVT4lMqcnhZm7pEeI
Fr9E7oJL8euQTj8AhAoCZp2zIIiYYg6lqo3LKBe8S5yghvcig4Ffgx+X2O1XxWvt1wDmaa18HbIt
k39UGYgyRDDLS99pSgBdCfJAE4wYLAWGXJGaG3ObvJ5SX8Mxv8QKYVyVFo+8ovp60+u0oMeSgSGz
jOlsFJkoRhfa4ls2kGHn27WjogOdUbR05YmGgw71vw4SEedq6xCMHApilaPU2te8rxazv5y/z6/o
rLlSOIWXAWkatXriW3ll7Qi0I3oXKiDePleDd5bIK49EmgFGeIILpOnAIybqy57XIivU9Oy4Co0v
6cuSbEGrDMVq3cX0zswjKaFWBhaTMWYDl8nEcMesx0tuz+OODVsmU/2BZC+1RKtC4Vp5vm22fkyo
SE1PcqollCU4p6JTm2Mlkppful2PJgXfwmIKIdxgZPGnbnCPKlcy9IF/qdCZnNk9o0VfOOH8RwiM
PuzULDwXLmEZjRJWox/UqmXQqD1KCq6vs5FB2YpAklBnmreWWvIOH40REsz4A3cJfguq0fcmNs6C
PEzb2L94NvXuGanzUgYWfS0Reu+cXM3QVJ2qIfVn+InDz4DeKgGaBWiL/ccgaAXfwUOF0F6NsWTc
xF9Ou04sqrbwL1H/opxwfYRNfEGZoe4PVO2DxccofkRk4AeNls38JDUL7+5MZAaiGVRYmPGZw2S0
yUb4VDwUjEcFlxwAg4aUA0klkv6UzluqU/26zcEosmnUot7BXaWKY5cauau3spp+u/tQ2DoU3D6j
DPbBsSqIsJCEGJ26e3tz/3Wjjt1Y6KLzyoEbv65Cu65HAh8PE0zwsFXSo0OrTaU9v9czAbKEFwEV
AQ6TlEdml3uBeTHUfTV48SVgNxnmYXzRjl4HWk6v063jGDAx/pkuLIZTvUsakCFX3SUEw2OCE5O2
MTIcxDw0KmDM1A10kiKgGy5MLrWZYNrNi/MBiBesq9a+1XZ0od2FZ2Xmot7Jm6hALGLIthNAXkJf
FTx3QE4+39VHf2ZcEA/fHZ6UiAHi95vaxQkjuUqSXMBe6WIg8LX9/v/oThu9oomu3EmZ6ArjoKtS
dIvk0sh2fejWnFGtlRWS1W5hpRq/puqFuzPqwlQgp8gShiAA0cJOkwrAe1QUx3npxSmulWd01WuT
bp7v3EzoCC7RGxnjom8uQOqPs3FzyMjs94pV6WAtnimTXhc9qlLPZc2dEo/gCuZa4gVJmeyfo8Qu
WzVVeoEvUfc6sl0JeMdLnXmlFjsJ587qVtbkmmVNHkTCUKYX6U9bwO6o9NrzNmHwSlV78b2sSdkY
Uao/X+BMnhWOJ/xbEZ3/eJV+mShuNjOocy5RfCm7eJgpP8CBkN7DxG4oA2OHPW7TlFoc6vQLd82j
QUU+uwrPbm1RB1fZUMKnzwQqy6i5a8mAY7WqEGhsTKLEkqT3inqtS3sodbm0Gx/ZllUPzwQtej38
xICk9clZypU+ah9ylHi8xmsFd3oaD2cJ13h+2+YXz9cE4TNNtny9EIg8Wl+IQA4BGQSRRcQ9uqM3
+xUlpUM5ypBfwPatdt2pAMzAP9KtYPV2chCPz4/nseSgyCB440SwS8FvQObiXhzQcFxP02V+QTK0
qVWJIY3tFaZX70S71IojcxTQmK2EIfzNv2JuUkuXbbRD9xcaH4DbrCB7B39lSnsRBHEbM36H9XYA
24ESzUX6H8jhVm22TkmUl9rK+IUX55HTa1z1jdBJalLqWhroTQjddmf28m18B6do0KI1A8aZVYXG
DkMnkgmSk5Ngk6Cxnm/63BErYzSBe4+5Y9NLn5WNwzFtlV+EQcscte1kM+yAKlYULfnyKyKUNHku
8ZeJ+WGXRRaLBgEIA97A+2OOFK5y8rrHjCaN64wUdcUkYVSG1eVr/lqDqihXFT2hiENrUaIzvlGn
asuT4Qicjeqve5EkqLx95QFyuGyvwTOL0GpUYGiQR4qIDC4pX7qfJCMdICO1nYH91if1sO08q4gt
8ZstSUNZeaZniE0WmbMeZw8gkBxJ57AwCSRtUyViOtaXh0YoLh6n0lVEouItiImbG0XYE6799FOT
dl4Vzwg/euHY8RrfnrgfFJkEAaT9JFHA4GZwsq7EVoDyTgnAdWE3gFGxGo1QFKUwyVI6zZPWNaOl
ioH/U0A++/kh/TbfTQ7pbhUTrWTyKBNpQSwuaGn3FU0C4EjacmDlGjbldfgGWgIlIMdMfjAL3P0Y
ZDsIDEYynZ5IslUGJBxWLG32Wi9qQWW1iakMLxG94Sk9zYzCId5R4Pbpi/TpH7lM97k3t8VESRSW
e93d838qR5fSDWYkOm8dtS5MTlyJykFCUPeTB2YRa5T/GipmGe5DxhgoywkNViDFLkXMne36INPD
Jie8pw4mGiU8/Iq3ogQ1EAkH8Zsy1+nCYBrSty/ed+1pucIilYO/XlpgXz1hYTsfezsnSjG+hzeW
1K9KTixkvriwq8DeUu/72oxzNUIuzaQ1kHd6qgjXVh1+MozsRfSqJ2Zh+sZS+V8Yj216rCKaBuBd
ggiF+Y0Gbr4jbygPxGRyceH27VX6k+7yXWV7BgMSCPccb4wEs2b2PRmMcOeq0lYwgx0mqCI9f4nU
NwK2S4wkojGDDL2GNHnFLN+LJZis4e+DhehxJgUpM7dfOgmM+iLlwpKSigstlSQpr2O7tnhKjoKJ
Uw0Nb0neo/dzL2+SXs6zjuMKFzvD7AujRL1mnFg7gBZE1jzDsR2D2fH7CLOL6wULPFOmuZM8LUdy
CS3GsBnQjUP46q4b4Th88NtWJmWpivXH0NvwO1ItCFepANVgT8+vOjvz6t3uNDe56m0oOlB/7LRi
scR3SYekM9BA7y5uguobqMlpnJ2uEyJ8OKRcpXq65uwRnPL8O/4fuimCTBbNYCDmm5yAgEpoG8fj
d6zzL/FQkm6daMVgsCKizzWuCz3Oe4zsLFHrK/2WvXS5liPRsqv+0gFR/khWHMeqsMrNtNGDUHVU
qlSVnFBgNqqNUWvCfXumGLMdNg6ptFhrdi6r1t/BoYERWYWaIy2sacZ9x9lKHDAFQFOw0m8p+ua+
MW0fKbHkl5e+1bwOzuNVTBUiJ5FVsxuazkmQU7tC+sdRM6TCh0JOQVaQfJmcqEw3seALDnSZ151I
rV+7zlOlT2/tNidxidF1pto0SpOQppYRNEu/tu9mjTnPApJDBeXFQ3an/PEq1hCrbZG+ARjEZ9YQ
/BEaX60408fEgpokEbvgUcxe3ZsPmOTiAq/2WjoNywsf2hFAonC77Sq05XLdLViJmbTf/VonVkkc
ksLjZKyVXm2pfXAeDPprD+ogkcRWNbayIeNXjW375K0GlU9sI1ZTI5KQSv/K1Ny4RraFyQl4qohr
LEVVMxHB3UFMLhA6Brk+5sePC20ms+KAV8Xu+PyWPhJG4SWTkF5EQIDelIdbKiYi0p6V+6vRQfmR
C+dIsIR9HIJ/VbqI/TqvTSozJDAJUUBMbPMKeVq96j468CL2Ju3vn3/QTMZm/CAJMR0+BxWbMdN3
q36yG/WNiNOX8ITX3q4zWvh98JoqzAClNgNG+Ag0kRWAeFTKeYmI8DdaJUsAzjkdRGgJVkYR9w7M
yvdfAbSymOVCBR0EZ3+dG473OqR/nBIAA6dbiFPmZKGPVpKkcVwwP81d5lkYtq3oVRfgsas/cGQo
ZLiRLET9AZnvhe1lZzwGeUSmAqQiwamdxICeVDZdOuTVhWvXMvMuXylwDksSyH/U0DU5oSSyq+dl
uGLDhfTKXDzI3Iqe3GtGzOLMT7LqUvxhvkOOI1yv8QJJKxnkUT4p1ZrX0pMomN2u5H2SAGWQFmt5
KdCeKQEDEXazBZNLnyZtiqHGZXXBZGH7HJwEmLkPyTzJSBbvJY1duGKzBvVW3uQeN3zmZjQDeQ69
wrDBkN3mmDGbBai4HKrWlmvChCrNEKmxpLPSLFjTWc9LYbgRd//7gExOXOEGJ6WqurrUMQoq2Trj
dT4nTrfNKkEvlICUDNoActURzwu6Nv7y1Du9lTw58D6pRaZEi9ElKFu1TuAUSzGJB92lUQn8CUtt
qL6S/E/cn8p6zSq227/FFek+nn/GIwPMWAqEh8zBptA09+sw3ViUkPE6IZKwAT2c4BewoPMam5B8
2weqcsk+r/LuIKCG4xsMuQh2vJb1QK/V0hJsdukKjCt+2BGU2XhkgkfWyvF23nyKF/o1l6cw6U34
2W+bXEeaUR4zI32LYZrDF5WuQ96WPOK/M3u51dLMer4Zv97fwxeAdRQJAhmvuzQ5E3Ycu86WcXlh
3lNdeGmREKzYSOVpnfbXiFMAcSpN4IXLzujX4BYxnQgl+eCnQrS1KgrUwfx3DNzdei4ROiL5JuCD
TXt4/pVzFhE5vf9+5OSGZk7OKoGAbSpStc+Jj9c1XucZyrQugdf4XNhja9WoHwqLyQegssexTNwr
gYkx37Qs8AQSEGSJqj2gXwCBpta/h+fe9nSk/hbqVbM340bkRA9qKQnBXlWWlypENhGBq+fskkAL
pIVgYKaAeL+2MVi4UbiiDlLMHv9dmwKqkWxToy2O05C119EXYYO5dMOB6CzSE1BKP9/X2UMcEb2/
Le0ghrwXHSVRI2V1U17kFbNv3YgUA6QE9T6SFh7Q8TF+0OkbSZMDZIY2UyIPkqoERPJtQgmGW+Zv
z5czU8YZt/J/65mcmcsFTMODTO2ClNqF+havQW4lwHBwGzFR6dT2tqWzkEyc8QDBVc8zjMgoAou5
HPdbWLe+y0uNAHrqytMD2MYw+xC4BR35DUgn23cnZWISaqeTfZBklZd21RNer3/ykQs702or1yst
enHX3HeHpBxDaKMhPv7OkdZudNru0Afb7cLTEkJ+RnWgNSD0HatlMnrw7tetFAIytwFVXqL2zZcw
ars5NGhL9Q0OMXTbdP9mm2/ETfSn9b0oHyinvOTJT51iuIr8nYX+wnWYPUseDUHjcYqYs3K/Jnjg
wVBhNO+lVkjoXGMO3RThEiB4Tggjy3hZaAYJfmFylBnT1VQfBPXFdXSXx8TcCmTnS21lswoD2A/a
uVB+YeXpG0IVIk/BU6wvhRbZncZo/I8HDtIBbakF2iR12fZJbMv70EbI6B3BMg56Q8LtAa3QeYvV
CvX6/G7OIH8A8Ueen0aqAVXeaR5MaR1ZydO0vjCJmpv5hfmma83VFVIaFXJcEkFSGg3HPA0aD03Y
rNF4JRk8WTdoDOvUfB0tPfRzGnz7QZPTlsJBqRM+qS8Sc/RFkkZrql35oa/Jgeryrgo4GtIZRiyr
LNeuhnfWFDFs41XsF0zj3AOAAUYK2uJQABEfApmO6Qq5aYr6so5RaAd3mN3sB0s69vse3dBIrkd6
rDYbLVsx22LhGZ+xy3eyR229eXwcLpebkMapdCiqD8y26tKFt3vU56npwsikEeiG6SWSNLHJ/cCX
WTzU9YWLATTrtlW2dmorKl94x1hQsdEI3IpSRhwOehhR4wCKD/9yvxi/YWSp5t324rZa9Q44EyBZ
JoAVCcgft2jk7Dcu2Ghk0moWCovPhT/knVB/4NG3AWQSUKSyNEWtDl3KD1mUN+c0sN8HXLHq29mD
7LvdpAuvwVRxfyWJqBJiKAtyQNMpn01UO2kUsPW5jlS2jVdZS2+9AJPEvOoQ9DaQswsbO1WS/wgE
WeEIm0Hz3sRkiT7NBlUh12eKRT4YfYMNXy7Y91kRI24cpXdgcqagHIwSj5JQ8ZtzFKPSy3pofvmH
xv13EWg+BPxIUFAIn4R4ouJRSewXzZkZRINSXnIuVF03X1jHQ9lhFAMICY5m7HOkFe5eB2uxZpph
FFNoollsZFNeyav2VV65FqMlGqVLuo+ZNrnNEMVM7WxX257Fqi3s3YJCTh+a8UuAluNpHmUxsH5P
FswMcjnAWWrOKLT4FiIqGXQEakxhXNLaoy16w6Z2/Z2uS1Q//rloWUFeBkMskJjBd0w2gY4CuVDC
7iyikuDr/TbFdPhgVx9D/iSUZ762G3Yrsi9Cogc7MO0tyJ+aHKxcBrYK6VEOjzhmF03EK5mXB2ne
nX3fIzkF3KN8QTWq5O1SWohcufE8723OKItDYwdwHMCHTs5bbnmqdd0asiRaxdOqBAe+2fIo1lHo
aYY9R/VLamItQAQnSmbMe6Sp/jqlLnKF2hdvXrkKs9e2XEfodefWIWOmie4EalYRkVkBhntiqpWY
6kwItGPOL709jybz/vMnJyUUTksVEraqkmwWPbCMioqfewyVaxSqCqdGCok+/412MADV8gBTQEEn
iul7vBN6XtOdQ1mrSqvUuXqdrZsVy+vZW8qcevAkKXYT7oSPGujAfyMdU2YQXMMTUaaOK3r9K4ke
qu5cF0e+q0mB/uPeUXGdVQewR45R2cxK5AJ5GJsKdCYlafvKyN3Cd4wbe683Cnqh8STCSsDb5Cc6
KgIxg8Cyo890FlIkY/kYvmafLBiBMfq4kwIEB4DWYPyn0SeCKuT9TchTluo7tGSfIzlUuWjb90ZL
vzCB/nxTH3p1cdsgBzX4Xzmw4vdyoEZO6OM/n7u9ckoLtVx1dklQDj47G5lSC1dtVvFm89Ha/dpb
+cyCbX94EX/FS3h4AaQaU6b34hupwWS9FOKFjdtt/VbP/I+GQTmRGQG5w8JqH8qHv6vl4cXCvgo8
EJz34vpa7BCNQByTnXPGknKrTPSYwxymQPVLiVRDZnkYolzG2Tao6y8/L78w/4oEvZkvmfnZEwZu
UhShSAjkJzvPDWGSMuO3dAXIi7vIHIJtQb2E3OKqx02c6hLgkZzIos8O5n2yyYOQ8yic+sxZKHW+
PyRnPiEydYyP7Fjf9xDDFL3m1vuOYlSAmLQwjBdc9rljRiMSsDMschWgE7jfd1F2MqnNIuYctddB
MavowNYQSYN9PjoLOb3g9jxkJcdzxr7KaArBnAHx4RlL+yTsHIkG0SD4UNTXNSbYfO739tluQE29
eas1gL3Vk4cmSuvw+vxKzZ3rrezJbsdcySquN97cbleXr8U6B+i/GsznUh7web9LlAXA2uDcjTWm
+y2tg9hvKylhzlusDeyQvIk4B+PtVCMlJsj+TTMEQ7R9ZtRQH1Sw2V04HX99jV33vXpdpBB6CFz/
80HwocDqg6OeoqMayQmiXHTos9aAUjkl58/t5/v7NiQDqY3WzLVoV5hr63Ta7Q5g23p7vh8PhYdR
PGwYppIqMkYfPnTNtgAjd2HJnKVSLy8x6BoisSAc8u9BkmPcIaey8CAPzfARS8lKeVkQP3fHJCDy
8CiCrO2BgyvuGxeuZcGcOaQ0I8C7C6vwIuCVDkrz2bUxGpUvHSvolYBhhaHGtec8HiehPf+M0WZM
b/rIHcvCunE8gAH3SiGhLSn0+I45s6KRRnreoqr9lb2yodG0Fx/OzHNxvyX5qTxA8WHE0EKJat7E
hhW1IJdZyDBnMd2FDKagmkOn4DXeYT581aIDYBAsLtI6x1AcrcwuwSuPiXdiaHbimYtV0d2IAukw
fCgYdLohmA8XF9/AdkV22m2HMlH7WM+WBv891IxGVYFzicOCRUL8zt7vUt9VYPYocHXgK3jvw9pH
UYy3GDBsna5gQny+RzOKIaESCFzyOP33gUAFuLcwojCT9sy9A5kODuqf578/c+R3vz85gkF084Tz
K3Co/0X6Q0Cvrt2sZcG0not58MzHGur/ljH1RxSUVoKmxzI+EYNovVYv3N+FbZoCa2Kpd/Ocwu8z
mqMpW+bj+ec/FOpw5nffPznzSugbWmzw+yM/pIT/tTt+1diq55N0QdbMA3AnahJYKFybSZkCUc72
29eFbXB4vpalrRod1JvMT+Y7AtePv89ePQO1+sU+myUB43+/EeD3YV0Lo0qFKvrR1GEjo91Iqzfo
u7+OvAPLrHALSvxL2XojcXC8pAV2jcf4oRJT3hR1z6iIwAAO+QMsnd4b3c66LoGoZpySu3MaVf5G
KFoUuSKOsUwMrxAJ9WXJx7/PT2ruUYKNQXoJ6UFETNMYM6TEMuzG4VlbepucGJKuGrV+CTBEbt0u
VL1mLuidqIlWBL7fSXzSY5TbR7iWdN5X2fUS0eqSjIliKA2yFR4HGXROSqJ6u3ppw8YHavKgyIiu
EBCg8wUx+eTueJFEV1TEjKoHRB0BaMAERW2vLsl5iJ7HFrIbOZPdwiQIlqfwjJ5dlK35L9u1OTN8
AYR2t8TyMP7SsxVN9owKM6dIfKwIbPzOQig6ex43q5j4gAiQhDQM8NtxqQIb224W80FL+zS5I3wq
FFk5zlM6Y67rEdBx3uDQV5Acly7jjAW4O5Dxst5cRhGw9mLwIGjtHo3vkHB6qy04RzP3/U7E+Ak3
IlwB3QoBBW5/cbV1147W6K1NLzyTM7b/VsYUYBWAHVUMQIV49o+1Gb0q2tJYzlkBcLFBNQQfW5q6
uVLgsg6AVXAnVEZzAXx+brGWfn4SIGNmUZbyMX6+vAYvqTn0GI3+XMKc9wXs2f9WMHmJZYdhKwcG
YGzYT1Vo1bFTf1aKebKihQNfWszEmEh9mjQdMp1nTUD2pCbpeWEps7cDA2ZReUQ/yEOSJgpjr6kZ
8NmDwzVVffWn1NjFuW4zr/GY/P6vkMmRVEmfN1ELIZ6W6co/TiOOhvDm1yenQUu5kPc1fj1FpMwS
A3Q7AoZULXnBDwV++F93ciZn4QZ+E5YJ+N01TAU+vCa2YDAW0y6SIc/akZv1TAx7O3AtjBbWM/ou
MSbCnzNTWzj2WbN7I2Ni0nEedOoHWMvrK9LyQH7AX8Es78pV2c3hcFiCqj5g+6Z7N+r5jeFSRL9y
OrzuZ9+yt9KRXE6YkbR+32mby/X50mZN5M3KJuY+HbKi9UMFruUhMnh7M4DDbWk5S7s3sfS8F6aB
XGE1gV2q/mZ1PTxfw5yrf6dqEzvfoy0ZY3RxPNu1u0vs8/lYge9BXRAzr2gKyM9ADckCh39/KEMo
J0UlCONk0gTdkT9ojLmkSyx7c0IYAWU1PPJglZui6xqwjARy6oFYl8hmrzOIjMACoBYLfsScobwV
M700GTrM+hoTEWTTtxCrm+4C8HhOr24FTG6MU7oSVQ0QABTMNb+w73+CVb90Lees8a2QyTVx0rbq
OxpC6AjzGEuVO6S2uGdWrlZa6b94529lTS5KkIPrSOwgizWZjWOl9pI7P38kqAFKqIUBeTGx+uA9
Aqtzh/keg4I+UpW3gwE+0cJNmVMvEF8IyCAig6P8tufdGJZKbIKwcDgOEdA7pxVvyRrZGJIR5ERh
xdYYi/r6byQi5yIDe470+zTfP9BuX6UYq3D21XSruqu0M7tVsyMWkIcHQftLGTXp9kun9TADY7Sg
YOr5r9iJavSpEzhUIHOYRaEJtBqcErS+gd1Oux7A73a9ovMQf5aWDGyqAE6zJe/2Nxs7jQJuP2Ci
LzRmojZSig/ATg8GnsDX10oLt5Kuvrwcj8zudPV0T79af5/vNzs+3w9yR4gKumbHrpPJzU4ap43p
LBifQ0hGb2V8EcGZm4GaebUjOoPjds4B6nXAEKuLq56L5n5BKv9X+uTaCw3rBxUL6a+vkL42mJA4
tmi75scKbXIncN76WmIuAdxmfY1bsZPTxlQLphJLiHVACyb/TVYYWDpOcHm+t7OX52ZrJ0fa+RlP
uwWk0KK2H1lIOxVhJOMtOLGzOYTb1UzeS6msaipqIKdcgRMxVbftsd4KkQZs1eHvgg3l5x7nW2GT
Vy2swooSIgjjt2OirI1UznJelOM3GMY+Wz14czS462PHd4cVN+tYfEmZkYM5I36GIU6VSr0kP6AA
dbXTdXX5uqDUsPDwCqOr+KDTqL+iDIwCjyBOTGPltKIQyu1/XLz398iWkKSSVNkc+UA7azyKs23z
Lz0DCDpNwlhX//wJQVaOMcCFlekV4JalFugy1H9l/b2OCS3XSMg1M6/Xv4s2b974IPkPSIMARMcU
hMOxbpT2MZJApc4esk2HYTjn1PQM762wjdIsVdd2/iQmR1b+HvyKWqqhZdt+rqwPOOxfC3jzERMt
Cro4DYcIH8Htow2HZtboFG/Di7LNIc01vHX+skStONqWh3MCSAE1R3S7IUS695DyViq4LB+Q0s2a
jIzEUASOVLZwDWfdPY7haPhgGEcFOsB7MVkrp2jiyzE56h3Nr/ZgtzzgGRrAVfqC5s064reiJoaF
bSlOjKWUPwOiNtjCW2J7hMlN5fMqBQBhsipodq6y4WriAvXRnP90K3hiaxoZhKzckPHnYuPruH1E
RMPAkkF7BMJhAhceKRbgNIUGFmoSoxVl4AN7JA3nrMxVoX8LqlMfmDkvmG9dBGgyU6h8slSymlka
2oVQ/wYAD/+cQneTju+Dpmro81oR9NJ0/oA2KN0vMXTPvER3UiZ2LeKrrGERt50D4ep+UTVpMOVl
MKLub/+3Al2F5C1WmR6fXtz2sRcFrMWCwEqTGxfGTSRxCEfPGcaNOBFnKMNr6aHWjnY7NyFZU5wA
ti554ggXjzUW7vvjgu+lTxacVXnd5Q3TnulGG9D9kFec4aS+mvF2VvFElKwiZNegZFqQ+/iAQK4s
gMqMAxsjzU8cjjbqa7mXU8CSeiNqVpRUqkM6ALWZ6Xy48/proRiBC/qwbi0ImNmhSEdAec0qJU7z
t6oX3rMZVwCfAxLAsaMYONbft+TGw+Vdl5VCpejO0p+SPwzFIR+slPpsrmID2oUT3tDaWqKHnDET
90Ine+Dz8HsZHtAsiq50mSn1olabbpNLGE4ZWH3/TlWgCbLltP1OtT7YtwxoCSlfHZKvnt9WyWXh
TMYH8d4Q33/PxELSedP60P7uPORan6ylEA9jqosJmj0PLvPSq2yQaos4qV/f8lEsSGpAn4AU07T1
cojaNGeatjvTK9YlEn+Uys50WcEss89A/uAkIxfjXRCBk/+koB+xS7dZaYeDzTVbLiJx/tIxrVp5
Z643RX4v+/mCazWu+9kHTs6p8dDSVtJAAAYt954plGf6tbemEnZYuI0PjcBAxkIN/7cVkxOQwt6j
QOfZnd3iNXROEviekQVFH36YGZR4ltA82GscYE/YgnhV5IR1tlR5DJhDEZ0Y1qDdjwWdmLNOEmB8
aJhAMRwNa/evpuAPmcy5THdWIl/u9CTOQuLyIf+l9PJgJEL+UwEbvi+E3NFppltTAVCSKGN/tZEc
LyQhR1t0cw5ocwBv/thRASI5jLr7RRncXlKv9MoiLapNFBlCbn32oelYJfpgeN3/hznhX1noVwRu
BkAkQIqn68agya53qnoT0pQaMQpREoXEBu/2C8o1Ks9kUbB/gISAgHTM4EweU6cr0ZTCsPWmqptX
V+5jQ1EobkGIMrN14LwVsYPYubHt+P4Y65FOwK3LYVMIKdUQkesjdB0kDf8dOVFWaUJAJdyuw5C/
aB2gd+WocJ6smGEjRtI2dVK0scgFJw8qr2C0G16jTvzL/R/Szqs3bqRp27+IAHM4JScoUJIl27LX
J4TlwJwzf/13tT/gXQ1nMIT3We+erGAVu7u6usJdd3WVUe0Dw4q/2UaifCoDWYFmaHI6evbbXn/U
xjHtd7Wk1C95U9Dd2lWl81pOkfa7nMv6h9GpyxNA4vRTkarNc9bN0j4LA6ab6JZWfRzUadDcXiuz
clct/fiSzH3+RE8SjI6J5Uj9ftDG+odalOlbPgfxpySIssI1iqp8DtJFz7xqMcwHrZLraD8PkAx4
dRNHX6NUlamxDVSSaaMf54O6tINzBBGXQaQ6lGn8SS+LqARO6cwPjd5I+iGKVekOXI72ZgaJDGdx
2WkyfKxx9jzk0lI8FrHEEJpFnsNuH5FUhKEgh2w4lOP062IN5bfRaq3bRK7nr9jBFIqNpC9KTysa
+3uRZFm9b/NygLcT5H+8z5jV9TGs1UGmNZWet11uKHXidV3B05xFXZu7da+anyFynPp9WyQl+FYa
575HcWmkN/000y0Q9FDwDnJS53C21l25c1oC3n1aJ07gwqY0/hMXYbnc9uyd6RrDyNyXeQrzLezm
OlgUd4kuVzF3k2HVkC8KG/Pu3sZqErXqOI0+RMnF5CnzULZkWs0xOsiLM2a7AKPx0jcl7GB55sQf
u7KzYjZEYyLu0JcchVI7A7M7ZiX/HlQZ2CErhUxSZUAKmEwFckd2xdDNnVqZ9rDPYNtNvcqMc4Bu
qdU92KlF4iieoRnwAs0SNEY8Rg+w2uX7plrqH32wNPXOUZbul1SFRborBjuGS3aESVAgs6N72hsx
yHGeSzdKn+X9gSb+Zjp2TgNCUcuyqXDBb1ovUzvK8k6ajRAC9WmZmQlutOFSuRDlWTTUN409b3j9
4vKuTAiNRWSXRW8MtHIrE5LMQxUV5jz6o1l53Xg0tegw1L+kbAtsvM4xiJOEAoWEnAJ9oq6tQ1Rb
olDWy+Hk20movCySObmO05oHyKFk3oYaMG4/dYlbFzZBNrxIuz6wpENpzTXtjA4cp3qdbDUDXLCg
cAkY5L1h7MN5W7mwkzalZqfnk6+RnfY0ixF+mWn+vv4QrvxVVk5kyvbSAkr7ESxdpzo89X1b9rG+
+KZlHBiF6kVWd9e3JtmP+RcjejcM9iVxoq8Cb9R0LHWNYV8Wc9DLJZT9EmTwUx/ojMypUN68mYcP
Zb5YnsYA+v31NZ7rEU+QKFMQidB8tH4kMru1xnaSFj+uEmdv9H1+w3vb3/Gcl7uShpiNIEC8oad6
K+RxZMSQDPawVno7tFPJoUayHyWx5YWhXj04gzRQhR2kjcBuFT3+OT46OGQZE02njLxy4ayRBF2j
JrIvG8F8a5jFd7Wzx+MUQ72gB8vyWJhK52WKVB+u7+mFKyNo0OkG5YUX2XMRgL0zfrLEnLJS1RZ/
mmrPqdW9bA83Y+880xXuzTp8l9OnoQP9qt3GZctMsIXRW1WwBQZbZ5bFDgjqXSpNVP3J866+A5+z
dYauUHzo+WVvKHGvXGs0B8ZlFFAgMDkQUv7G9DCVEMQvMZmYZKA5Mu5T/soUuvk4/KpjS/d6pSvu
816WHmR5WT53Y0sDdpQ3O4oR2W3RTM5NUUfVRwrSnTsXc3Ao8qR+tMOy+3h9c89vPmsSFFCag1ND
++Fqb6tYrVq1l31tmh8rtf7SVZr+90pqoqYO20Z4QqHlVEY1xw2jZ5bJX8Kue1CZKLVDn+M3S+2d
m+vLOb8PIL/IBSjgP8mqrHsscm2Iy0irVL9Ma911jG6+afMl9/SpmzbuwyVR5MFIpsGfxYux3rnC
LJMJ78EnmWKOXhscgR5fX825y8mWiWoKHcECbb0yy4zLi0Sso/mNHNf3atfSrjkY5ksB8v0ejwB8
b29ChjmZoecsM3Pjr8tfx/RovPgAWuPEvzAZrZJhjZM1hkbVylemg5GOsxs4zHtI3yRd3znzvoXU
Rl/gf5HHwxCWXjHf/pcPgKadpCbJTUacn6qOnduak5tiB/R810/hnpG2XibXd5a+vCry51qpbwtL
8xPJfpLH1h3idsOiXzhmXC/CN+RbYkD46RfUPfLnQcHslfnwuVH08i6xMluH6iIgS3d9vRcOXHgH
tMqJ66L9SXe8s3SjZiVdoneyn8taU+KiL0z9GnT9YKXt+DpKcbBv1SE9FBb1JW0htXBd/vnzRVuu
puFHiJE5oMxPF2tHkxSgTTKcw4pzb8zxsEfLW3xaM/tWFNJfdukK/VL/EPoolCht2BtO5QWKJC+1
Y8h+XCTmjaUUxV0Y2NnBDtXhQ5YG+aMUjOQjSqveSjCLpZy+nOwv+6zqJGIFZ+ipaDUL7NEeWGqm
Rl5QOs9zMr+WguqzH+lRcp6jMvrUJvSW61uZu/OXVIi2bcJJ8aCtX1LIMKLJhv3Lr+VCOAXk4/4p
E183Uxc4sxe3x+unus42i20+ESh0/J1aaTEzy/UegU49ulL9T2qnh1bLn5ij6ELMdhdH8V1RQ6k/
WsqG7AvXByYak/PFFyMgUE9FL2mmRaZUq76Z2/lOTUOFKtGQo9VGuiHq/CnTdUs36b4WZXayDqei
ZhpZgc4Xqn9g9MmGM7lOK4ktfP/L129YXNHPRsSv+lNZEoS7xdTf2YX5sATZTzluHzvaEqW0vq3q
+GVcor36No7Dl8RpYYmS9kFKL5AMzDr5rdZQyY7mh+tHfOHi6rjueGXC6eQJPF27PZtWlUyd6hsa
vbNm6cX1t6QYvRSqo+uShMlf3ZsTSStd6pcwD4oRSVa0rySofihDRtn95+tSttazup2AvkyGAo6q
n6bDTh4eOrM7BMZt5WzNlLooiJwhFp6SDCTzpxsHO57TTkGj+kXrPI7Nt6SrDvZo0BW5ARq/JIgH
lMkesJrQH7hyF4xkmmiPtlU/S7JdYX4vK/NG08a9lFobunrpHhBaEstRuQXXvTKqTmDBtaOHmm8k
XXETWvln/Igtgu4LrgGjdlgPdAQwkjEX7HTjFAD3Spiliq+1QeiNdj/etpkSLm5jqj2D0Y1lbzI2
6aaxxZAVRhvvZ9xQ+GOd7rOjW8PG9p4vmpKWsOTUqnk3135sF0n6EDWp7LeturhDu7RHilDp7rpa
nlszRhMzWIHoDip4iBVPF52mFq8nB+nnQ3K7mMFD1/W3obnhWZ6/DziwmEqN4Q1kJdbsN92cS6kc
LYqfqrCaMe64rgyyeMs9s8i+wyn2rG0RiJ4rJ2UzxuVBcc+ABezn6bpy3Rmdgfy1rxfF8qxAv75L
i8C8s81+8aXR3OL3uXBaVOc1HDtqoKxydeskEj52uTS4dZ1a3EelySwXM6In+vpxnYsxKYsRi4uR
OiBzVu5M0lBAjuVJ98tcZ7iRnrbHsQz//r4BHMNNB+pKZRW9ON28TGrSIWqREuk5eKaJjE7Z5/bG
rT5XPaQIXk1slKA1Wd23xcqLYOo03benoPYJHeEGwml9rtt2C6x2buJRY6SJgVq006y9sjZXljjJ
EsOXqi45GlXOiyUX8k2eqdqREvL8Gkn91ut9aX2ic493liw7hFmnu0gLcZAXZWf4caPTPRn1ScKk
WzLMuqu3ZWj8tWrQAg+jMzYfI0lwcyquLOa+Wsba8Je8Njx7WPpD33ZbpDCXFiUGpRCKki84Y2xx
qnRYavoLfCss3HJ5clIYThJ1wypdOi+id8g1uEqqum61z3UYMNUuN/3YjhkiMOjZrZlp440dlNGN
01EMgMAo3F+/WxeWRmOBIOOkomTQCbzaQN2cBqfXDT81q2FnRxFV5nSs3Flxug1RF/xXUBKCbpLV
CQqR1WFps5E2euAYfm1b2bHMZ+keJhzzxlSa3u+tJrwtsqi/mSVT8/RRTe7zaVY2MRvihp16PkwS
laEK00lkwk62uoHxNITyEBSm78gFUcF01+nhXi/+MTOY8xS3VGBYNqlcuFr+0doMGi7tN+85pElQ
GJB3ED9/58NXjSOHwSIbfpRaNPG20bTTI6aS4XtXG/t9URSxNrVCCGaJUU5FhZNkSX1vm75t0lx/
b2jtNH5I5jhj0ro0TNpGTfLcSjPOhYS4Dm2SqVtrLEyeZVGtM4jAl0omMTeZ1f6qpkDeiA7OFyWk
4B0Y1ArxWVYeZbuYEtZVNn21sZvv6uBoh0yj3OXGabuFhbi4Ivw8Fe4UTOia6Ly0APZlEvyQTheN
cI1q7cgARubR6huPwkVBkFpQzIXJCxaG05NSatso2oGT4rEuXrPAym8YFV9tUEqsmUsIfsTrJsjJ
/qA77BUMsE0o+JRmHPhG6JRfnSp3XMjGpadmbIa7fjTk+3BalLtikuZ9Au/8IU3k/Njmef9SK9mt
niSZJ6cBY5WTOjja0qB/k4E/fkmquXqyotHcDU2X/rQoLW6Y+QunzhRN2kI5CojP1vMQrbEh9I/b
wLfyMPDKkHSqmRsfjWwTEn+eT+By/pknCFySvMLK6+6tiQqsoQZ+x/PF3Bg5ir6avNVQkhZS/KMu
zfoT41NrpsuYQ8SkyXQsX4fUULaWvMYfitPCQcUdRiMoia+LOWWmwp+XRLYf2EmyqxJ5+tRIkdPt
7DA91IkV3AxM396lOW5dA7PRvpuDxzh3mqcxGtOHLLVf9SbR7jMM/0aYeuE4cF/wx+jRRWHXE9dk
pR+crg9t3+7N+ZMZUpYs87B6Xki2bFyN80eRaI4pj0zvhciIJr7Tq9H1IstVVOnD6OSemf/Q6Blq
enpdmaH4t0Ov2HKHzmMoiqDuAx25ZpKctbDtjdLKH0r70XQaV1ngsfr2tw+uKDmQHSSLjp1aJ4NZ
CtW1FDrzpaAym0/KTx0WNc8MyVldl3QWDdAOTH2SVgjuDTwKK1OppU6hRWGZPQQ8pk9ZGovUa2R5
WWAkd1yd4XBdnni+Tx5WAUSBYIkDozqILTs9qkjM6u6prj8Uuax/nEmz7Aa9pxs+Gn8tQWeATumW
nRJpzosqT8WG9LNoC+k47iS6sQ9UJ1ar7eug05puKB+GNNQfkgIqpEqdpmMbdb9SKYqfykhuvMhJ
lY/Xl32moUIwjq5ABvFWrGt3Wp9r4ZI75QPoQWdxNS1kipcUBCE85rCOTId86ZpfSTXNf3sLEYyB
ItNMrEfdZ2WqYoZiDIUSVQ/9UoAzwaPco06xa2djt/HqnrtuQhYsrsAUscDAjk7PNjEKSN00OJ6M
egx2RVM5fjfhpimlonxYIjn6bQO4vwu6CXSaFcbqB8WZipvrO72GCeJT8BViGgNFRDFpTxzFO+dp
tMMIKENVPSxKY37UJWArsjEJ9ILFtF+VKVzJOBcHGZLPj7nRG6MbQzT2PJdd5i5Oat4B1bcOXeC8
qeFSHBYHmgSzYRZY2lXfr3/rmYn886lUHCi8kGhbW+8qHgynipvqIQ0SfZ8xlLrAyz5Wha29XZd0
5jwgCTtMNRPcIDX3VXRM2SdVTAkc3OIo8a42B/ht5SnfsMPi+pxebnG7RO8eUFVRBjzd+thugzo2
a40KaNClu3ooVLK/jZk/d62cjJ5ZdMZ0e31l53sIAwR8VMKBFWmNle0nFp8zbrXp1/oSLh+LOmXQ
TAG+qH6qppJZXn8rTqcsLKNZ3Odz0i+j18al6zPbT8ceoJVF1dZ+gBVaNtxYjsL2r9EaAn7GjRIT
+njF1rmuSm/aWpptyw/VlNlngWwnw6GAvDPc8MzP9xHSHsGyBKOLwPSuLi8qszRpEdv+BMTPo90i
il2gYunHMYiMLWLpc3U8FbZ6BcjgRUYBtZPfg+9xiajgOJ0S+6+tPaEbID5SQqBvAAefqqPdltGS
D5Llx/WgHrWlYbQzWjS4sQ5gfByZ7GAaHT2sjWamGyCjc4OPG0rGi8oPzgIu9ansNkjmZjQix1/s
aVcNwX08xaAD2k/LoBxr6dN1rbywn3CDQY8G4TpNuutcZdjN5ZjgIfp9nc2WOxtyJnmdbabOhrtw
piWwXxHjQKMKCFOkjE6Xpdu1QgxSlb5spjexxXut9oq0d9StutmWoNVLbda2FhRGyQA+c2D0xe9y
fLaqeOOtONs2VkOEKBvwTVIW+NMD8+6pCIK5jeJgKoENdckhKctPhdznGxnei0L+wK1InNPYLH7+
TkgTSZkU2IwS7IcYIKMR9vGjHBZFsWF8L8qBv/b/D4Rn9vqpHMPJSBk5dulPYRzcjjmjeKgrb7EG
r/WaVx2dxo0B1EUfwrrGF3W5LejJjHtz9ioaD/s+cYNk31jzcQr/0rQjC5gexGuq4GwH23+6otGc
LaMyAuM+kz/Y3eTVO6vrdtdvzpm78EeIKQp+DgkQYCSnQuZsFpkKx7yXE1MCwxolr4tuFa8DIdFd
PTvh145Y9W4Bo3cMtSX2bK3Vv8i9GT6bU8MsPsku3EYP27uiyhpvyvUfZelozM1L9NDccBjW/qv4
WLouCM7/0PGvQ1ziuyCxl8K8D1+tan8wjsp+eBj+ub4l6846ACDUpsg0MJGVggT52dMtqbRlbuw8
s+8B9+VeoBcl/ZeO5FHzaY5UBKddMTfMWZhqe5fYcfpotrQgSJ1ZhKQE++CuVO16H1hl9Gi1bfBg
SXH5qZHL7iXL7Wo3zqN0XJYoSHZNG8q7rlOc3jXnXvBoWuC73UgB0bthuda+CYuCwdACWgbmk7zp
yqAArs6XaTHtez2bCQyPitreSv23lPzG9e3bErTyPyt5BtfRWvb9sNwDbWDequbm8VM6vP4HOTyj
ZAjJalPUPD2lRS26LtaRYxmzKy3m3inib5Ve76fFOlwXdeHSEx7+K2plWmazL+U8su37zuk/BLn5
atWHbn7oDNlV1XHDXm4JWx2UZEGTpsIkeJ+yrHD3IDUvN90WW8alQ3J4ECEbIFIgTXW6eWrWx9oA
6huW6aXwRi0vbtuysW/suX/UrVnZOKu1bRbKB/zDol9edFSuSdDlQYsCpUTc2DiTm5pFv2vUuNjQ
vHVrEBEEo4Bw4BSLvjioLVYqkZLzShyrjvxRjStmEBlhwMycqBu+tOFgMcjGGtXv7dgKWzpn0eRN
Le0znjyp3eylpdN/6m25iHZNCIW3S15dCzV3LlNdc7VwXt4GM8+ezYIh2fsi1dUA9ynUlB9y1TAv
Q577ZrR3FH0IZ2M1rLeqYmfGz1QoidHti0kSyNDVxco1fVqMxJDugfDXnwfLNW+YQCYlTH/a2Miz
SJaNxMOFKF30f1ikK07Vo2rNpLDtPvShsuwO9WPtFm+i+TV/qrbenzPVAMxL4VIlVUbwfQbHVuY+
DixlCn0nAZMz2M8g+m/0hjGrciG5nfJtqJnuoiVUxvIvC/8r4brr/bCfpS3s5tnNO/0Ua7XqnHSN
UsZj6HfSXc48U7WvjxnstyPjvqTi+Jc25Y8wOqQYGw8EbV2vHbtyNqJuDv04+xJr0n6Yfw/Rp4yp
I8P09bqotS/JaVqyKFxZnKZo6jk9TalLNeDoS+grSb1Tg7uJPoc52uBiObModKSS9eB5If4VLuWp
EMcoB1UurdhvcvuhD14DJT2OEQTC/UZkcQZPYjlIYi203mK77JWBHBwnCCJG5Pi6It0bVjnuNeKM
rtbKj2NNU186ldM+U4zwYIZK+mGK7PYwR/Cdj5E9HOnHUZ/lEdh6qeBa13guHwLc+qe+0F7KgcZR
AMrjJsv8he1h2Dr+L01b4ghEXvCdF6wH9I7EY5z4Ea03+q0S+pNxS703/+DcKenO+N7+DILdIXgu
fvHN189f/O73aQkEIpsIGvvL4ayzqWYRRK1CYcLvGdrN/ODSX56hV3CS4zQySOe6sDOwzKm0M8ri
OQbCXmtIq5OfUVjfxtW8Uxf9iJk5WA6dSPP9ANF/8QVbmlnLxloviqc4TCeAmMBFPuZ0o2vaf5pZ
NhJfyQdXr0tAaQHlS2NwaVVya3niWTA+GMY/YfOlb/VdlIDQu74FF+yI8/4TVlehVNLUSA2T/Z6/
h8mrNXfwn++GTva0LaTVhTdBcEWByKDOJ8L809VGk6XDrcVqg/lmrH9PAeSmw7ecLkc1/Gyk/UaM
da7FsAaxs6ICgOfwp3XrnRaPhdZljdpHvhL7g216jQ3TCphwI3+7voUXXiAkqYQ/QLuA6q/DEjuI
QzXBg/aHgwGBXP2QubUXmYw4azcU9tw6kjUTsxCAtPC2rrO2o1TJdqlrERktVXRcMBHlc74lZE0n
gWuCFKywyMWQpFuXZBOlXagghrE/7ic/uDO9F1Pfhztp1+y25rZfOqT3olZ+QpIV9IZmiKrLX5Lk
hc+Fc981G5HYWaOKWBCAYmikVHwubV1zMpO5jcuijX31WL9oX+U93XhuYx2e67dsEnQtn69rxKVj
ei9v5bGm9WyoSY+8Umm9rNplEaWneSu9eW4qT1e1uk+pMbfMsENKvOzj/QGMk7Jvnp1fm3NWzt0e
8PWEmVhkiwTu2gGXrFCzAtOI6UX5Ymn5Bzksj6UVvdhNeqgWx4uL1mv0r04Il4DdNU/LLP2u6UOV
+pvr+3rBYBJBERgSWgNLYPmnJqTGja6sPE9860l5Ml/tn+buR7mTbxjgyZ/rwi6p5ntZ4pDf2Y9l
mitHwK38trirVBqarLem7t1x2uKIuqQt3Gc8BAIOgl1hN98JyuI6qjN7THxTSryCkXa9AbNQsuHz
nJWfxSWgVYKEP1NZReRxKkbAAcKiXRKfgvNz8sG8AxOav+QvjATwmde7K1O45m/6DYt1aRfFVBPa
CUj7k/I8lRrppRQtup74ody7TBtyaXd2ydEM+oarddFqCbyfmHwAB87aSbWI4xXUNPa/Ggdzdpf7
keHd2b69JQDa8Icv6uF7WatXs1qSSckkZI0QXzrut9b9gpcAKWHnjRsP9KXL917UyiFuG4jTyA7H
frs39v/plwOcoqIMAofX6/R0ZGVQozCgx6FNOlis8tEVjtnu7y8SmNz/E7JaAdGhYi5TgzvJJGyz
6p4qrXRT5zlstsi5L+4VWXzLIUwj87ZSNhXCEcdJ+8RPrByWGSl5kiX4uK4v5+JzD/gKp4KhWaTx
V1KmuqyaJuO+zuowHZtI4Zl0FmPXABCmPGH/mCVNpmZqZPuumJx9MDpbA/vOvTZ8ZCB+UEVwlYlh
Ts+NcH4yqR9iB2Mj2kmOfd/Qhr6PZO333FbGbtKJLa4v+5KVcrAedAjDoweS5lRksOjNFKTiIifO
kWTNckPwm3oJrLYbG3zBZODdAHMAz0cv9roMblZyX49FmPqK8btk/3AJtLTxRCPtXy/pRNDqIMOo
7ys9kRLfULM9GPW7YDR8CDH218VceKdFrEn7CywjogXydOdCuvSHPE5TPx6del8FRTi68+K8mQlD
JSlGMv4aRmi3K+wxpMt/3IRAXTi6kw9YHd0ixQ3BTZn6rSJ/VSX52MvGUzZLN4Fsju5k64+JqX2p
w/pmFjPLKHGCn0xq+GcSKF2nLGesKcjk3fVtufRV5NgwO5S56d1dfVVRgsWD3SH1o4YRC1Oyz5YX
qzI2MpSXlIlyG1Vn0nokiVaxbJ1oUQ+GTay9fajr75H2pKjxjUOi5u+Xwzw0UlEgMzHYqysZk4eK
ZSdjOVqzV3Tag623tv7rkg6E/O+lrA12r1lj0Oap3+9NMBBR8Vlpf5X0WH++vhqhk6dhuBhmw0xA
B2wt+KnVakZtcJKxWTJfUp3Ca4aqJCQd99eFXNKA90JWi5mNrtLDUs78KIPYVS3c/3C/LdJ1pMLo
Acf9Ob14edgwz9moeA7ar2r2mqg3TfL7+hIuqReVKGJMOGShUVjFL0qdBxBK1IgIH/PgZUpv+2Bn
5rfXpVw6DUCwPDaACpjas9qoug+MZjKwiBr01L9oXms9w6DPecPwXoqTAMb+K2f1UjdtVUqjEqV+
9TXDG5QiN2DgcTAErhx2XlPLxyDP7rKqdpfZz6zosVD0jft66XU9+YbVoZVt1leWzDeQBCt+UrUy
f9n/VPeNvYvKffR8fWMvvKNigoBoYwYvT37uVEOICuPWGJPULyV/jvOnKWNyZXszplDRVlutWRfU
nQQqqQKmc/OIrpH5fRProZUoKSOzF7czf4cMd8osY+NSXdBIWnhAz1LzJ4OmrDRykOpoDJqZM7Tf
ZKaTSuEBHhoOcQvPenE5JIPpDgOxdjb4Kgntvm4nlWe6b1y1DL1luZuLLczjBdUXRVTR/ST6KLXV
csa6iNvEsjCrtok2hp7cNv9hxzh6atZgd3TQ9adKkI1tEnatmfp18yNenocBJjJYAdPm43Vlu3Qy
NObRNo2q4bitniKGYjA4znBYCn6wNkbwBIWelh2h6tq4yJeOBkMhsJsEfNBjnK6IQg+DQvsw8w0G
Evf6FwemHiv5+8hOmAqB4xVEJ2uMezrUQ5APLULM2A3tvRM+KdFDnW2hSy64T5SSBJJLFJNA2K4W
Q1fJ1ObIadPAjeN03zTxbWrWjF/1hzK8i3r7jkaI4/XDuhTiIY/OFtSCF/2seyzvm3kZFR4nX32m
Y6B35WPxZMOusut/DimQvI1DO0+PCvzEvwJX6lHJCQ1WqRD4Sd1nO+nzsi/22sZLckmIQKeBhiNI
oq3wdDNTY5HzfJgzf1E+pBOD69UKvN/hp1592dg/4SGsPAiDV5H8ITh/8r2rW5VA2g90UctoVnHz
vc24nANTea3X5Rcj7uatmsWlu/Ve2krjC7mqJfKmKOMQgip/00P4JuXW206Oit90bV3CYL3L1ixl
qESGpLOD/f1iZTfTN57GYtx3plem3pDex8mhrXZ9fZcerm+pMHXXJItb/05yZWpaPjkqXU0PVeRP
+/Zn27v22/8mZHXbhnBZ4tDi2Kb2+C35nv6zQEv6cl3GJfNEIzShM84/kJW1DLmJemfOcr/tkp8l
zTftQjeT2e7+NzGrp0Nq5SmapTz3q9a4KYrodsnmb5aebLlNl5aDC/gHrE6UsTaEQN0CrVjS3B/p
gnZ72msO6RiKQoOxlU279BryfgByEryKuOanKgBqBACUUuS+oyWmpwQ06prMvL6+bxfuEpB7IjJw
pCSG1h7EFDaOMy7YCHLLXmRAJNCqHqVRMHEbkv6EviuVphMYo6dQvKdIs7q2ll3bWW9PmZ/0d30b
uUb3qGZf6vLYVyAvfsjD3Ry/5eF3Ss+1Ynhzt+VeXFyrIPEhmSN4dFaedRI0pTaNqHsp31gEbVV8
GIPYC7ecpT86fbZSaiq4fwDX6Jk8PbmohduR/3If7sWD7i27t/yOoU+uRt662BteSnnl+jFe3tx3
IlfKsqThnOpjnFP1GA7y3biX97Ebde4H5a6+nY6FZ2xIvHARTNmie9whGALzIbT3nYFSlNJwBhnT
GGT5sYQPjOqUFH24vqwLVhB+Fl2Qx4nzWjMP9WZF30cXZD4D7GjdPS6Z4jXacxe8Su1GyvzCY4lb
C3OHTv8JPE8rg9vBzFwbKbetgPzGHfIwgRIwyY/5rE+3VU88mdOD+RDTgfkfdlJMbxY9ByKhsHqm
Sdaoas4/vqX7w/Cr95Ph7wEktJuBV6fGjymBOO30sLQhKKsojCK/794qYPiyQStkf5fTuupQiL5+
aBc0g4wswBHwb6K9bHXP4TBrTWmZY3+JKq+o79pQZ+D2RjB34S7jHeJCA+AlHF/nZSH5zNXU0KmH
6c/50u9k47fpUNP4e/SI6PP6V85KLWIrwjHUKYdZxosZWLte+p6UL4C6N6zjBU3HxlN3E6YRHVw5
hLZiTA20tbEP5eneJmDYxYZCaV7B+czTb8tQKRvHdHEH/08imOFTndBbRavoO4j9yso8nfBfTV4K
OFZNxgn9B4V4J2ltDrMqKZQioKTYBkCpRpkFmt+n3toIUi4q3js5Kxvo9PUkKANjP6+p4GnJzsgJ
I7eIQcRdWRl3HBnSMzrQQRJ0q7tE/1qQGnYBiKIxpqOjpDeDNm6FqZeFgEykWQdU4vpw0rE15DEh
m0UVdjHD3zBq/7x+KBfsHcv4V8LqUIYwTPtMQUIqt/tM/w6Dr9fI1o2kPMBbsCO0864LvLQkImGq
8n9C/DVBQu8ktACbCKTU+1TAjCDPzet1EecKoInXFiCTgGiweacqDedPMCk5NlyqbK+MUrfr3qat
2sj5xgkhUMMJNmCw6SshQ2ulS0+e3C+r4JA5xmOifY5N/T6apqco76BrsW6uL+v8pgLt54Gglosx
wqaeLqsJJN0Bw537NGm7Aw/R9CG0Pw3JXxuEUzGr66P3TtZJfZn7dBDAr2z1j0v1aG6h5LYWs3od
4irooqaoeGfNfZYZsRu3ZBjzOnMb59f1fTu3qSxIFJao3lmUiVcLUh0psxN5zEEEPQVx9drBbVNN
LcsCQxuZu+vSLukFVAMk0MX4MhoTTk8pkHuJQgGedJRQ2Y9JjknTa613Xt10v+l32k7KnKm7uL2U
zPBmRZPimj1PCq1ukpeq9/UsaXYtEM0dTF3ljdZPW1xBF0ThO8DcAG4BB34dJlhgq8o5UgY/jQNG
JU3Z14nJrIfFMvrj9W08MxM86cAiBMWHaGWSVw9hE5iqVNfD4FNS3UlWtYuyjbSI+A0nBvxUwhob
kQeZ2TYVa+G2Sm7fy/0eic1hKdLuBvBe4klyox50o3V2Uzopn68v8DzZJOTzxFM3BfjKtI5TRYns
UilwQgd/+KGrz7p3q1iMRCrAeMKc6TVeu7HeM8X8I4+ECTEXxZ11n5Odl2Za26x3ar3yVwQaCh76
frdIG8/82XVbyVmta6iDiJZPFTnTITRq11I/hbtGe1Q3i/IXtdH6d0Wrq6b1eqIGDitC4+tXiGVv
418Oc66afex9/i3v0sPGmW0tTfz8XbAThnHEMB0EPiw/PkQ7ZixuPI5nVlHsHezfZD6pGvOEnQrA
Yw/bsWbvlh9l7C1eqe7219VuS8LKGJYVGcdcaEFr3mfQmgatAbUpDMk/rss5j0RXS1kZeLq3e7U2
NK5X/JK0u7j5oOtud+MHg1tlLrMhvkzMHjcYffg/ChaW5d0hVUYdLlmIYONJdSrG1I6HqPa+jAdN
vjHu/mm+V+7Gnl7Uw3enJn7+TuLS1akSKZxaJ7+m2oMevmbaBu3LloiVqpdBLM9xorOb2odhehvt
h1L7trFxZ9nb1YmttBvc4pLnQvnSKN9B++VEnv61at101704xTFQNwzFJRMPIyIN6fjPxKSrNcGS
nmhwrw6+HE+uHPAYa1tT0i5t23sR/4+z7+qNG1ia/UUEmMPrMG7SriSu0gshWzZzzvz1tyh/12d3
lmcJHxgOgAE1J/X0dFdXUUOqA7RTR37Y7/mB9Bt5F65c9mtDmH3uxcpDjCGDDQyhiT745hh1Tytr
smaAugYDgWPqUgz6vYfsQ7FB40AZPAifvdsd1Ad2dw6PkZ483je6Mmk0xXvS+IDOKn6/T7LSyLlS
z4FPzNa03RatgG8DRIdztkWd//9i6ooQ3ANJhqXxBp0nAAJUK7506b4DydRfA9T2AolOn9RN3O+z
L2A39Ehy69TuOrMKbXGtFLHo7fBEgy6IimIfyGGuRxNkiceDSajfj9wHO9OQW8hQkYBAYlXVxQ8s
0srolqKXvwbnHmnKYBcPTaXMBvVC0NlQV340YGnpIS2DDNnKNl+eyv8bHYzdXEtt3KtR3iOROf7W
CBl+f64gORd2A4iQ8MZFPwbCYzpGV1ulRzMb9lxRPWaRmwSHMXLvb+uFQVyZoC6kPC8KJQbZ6Z7n
3vPkC8e1zI81+v9PXL5ybOetRYWWV6bmU32xt/m2QNcxJF72aVIj0fEpqO8DFES4tTfosh0Ue1GK
/da4uLYzO7e+E3CGsAW0XtUzFYk8KMOI2toOWIh8MKL/WKIc3cyAwY0KDlOTR3oMvR4xY8xY0Blv
IPLK7C34PJBGq0ipQERTA5bnelQ+O/KjWiQ9MO4tycSJ9Mh+3d8LixMH7Z7vZzT4DCnnI3HC1MQF
NnTPbtPSt0CZSETZEYfUuW9oad6QsEZFGV0wqMtTO0EtB6kXk3ZA039LwmGTFK9q9j7n17j23+N7
pMdRnp/1I2YcyPW0JXnUh6GQD8DJd27NkIwzi1IH3iT+Z2gSiPQuLVGDgmye37NiPeyheAAmKiEK
9LbK1h7St6ig2QygBviNyiEC4+sBge7JV6QQCoKNoBd71vRym2WcQSZTYpebfK07d8k/XJqjtl2v
QuKUGbBUgRDv5C+G941wfOV9k+NsoIz/kc4F772rwVGrNSIvqQ0xBid1kZHmLEmh2vyP3IcAqaGg
h1sJeGEAadDOcT2DkcYMWVRPgwtkF/QEpUzcqL68VrigJu7GCnX3ZXGQhEICTT3pLeptUKn0HGgW
nyCqx/Rv948T3dBA26K75+SoElKmhq2Y2TPpu5qClOxD/uCzfYiqWtORIHaih3x45scHvGzXql00
Wu6PfRRjQWKFl/tN8TII1VIA59vgoj8czHJG2pkEHHPSJjqg61e1Xu6P9xuHdHGT3NijjlomZ0qI
RR5c0U6aZ2kyOghpWlBszlDLy+zeGX/gtxNaI/5kNoltyOb9T/iWIbz3CZSv7OacUy1B1kdl3xP1
2KDJJ886M4+cGi2r0U5B40XPhcc2bowqf5ebzxGgvSnboGCoq/kuDn7lpSlDbHDYNUWD6ORpyuy4
lh5UBnqHaq8XzKluyk0jc9te7PVxpR6wvGmAWFKR9Qf+gPb2XiPLbRsogwt1CVb37PlXtYEwLP4O
9KGyBt4Otsb9eaM8/5+VAyTvm6UWJR3KexWjhh5LnhncATA30SjyEgUdfxRD0oPJ2fCUcQLnG5rW
75td3jEXdik3NpR+I4uxPLg1j9d9Z4RZb0mID0TvhAJPLMZWz7xyhe13h1bb9D4IwDQS8kTuJSOQ
39IYqF+p10MocWa7fOXr6IadP7OioJILVkwZjz4qbE1UiG9NHZaiEiMih19J8YD8XqKi6rQBR5HS
M6TaeqtFB5o19Y/dmXlnTiUCsks9BBNGRBOqj9WQgs6KZLC/gGlE9iDgrmaGp43E9xPI3pmMt6uQ
M+AOReEia8GBA2JqQ5JOwk6BWLp8GvNtAWbl+4u2NC14BQF0hrQqmELokKeT+0z2CrV1q+EhhXRR
ET5hrw5iqMddBp1A1y9IP+7X5NEX9ihatATwAaKtBbRB9KwoZQaVNKZzJ/al5nJ7ku06L60hS02h
/7cHy7wCsAXiMvCUoLRDAwU0LUWrg6h2rjgcCzEgXf8SM5bMIyu/Q6+M+LQypVQ244+9GT8KOAt4
52h6005kMmnihM4d4zZ/HgafNwvYRYu3qLNoEzKFBEI2IRbzmfd7ZZtk0K+8/w0LFyNIegEAApMm
Hja0KHQhJglfhVrnPqkBjwyzSFg0UTJfyVTpyVpX7XfBkfLTgAADkwQfx4JKkroqkklrmSyVezeW
x+xhEiXmKVEaBuqFsS+DQqXJt0OLHS8U1Wj4DdiWM9T9s1FrzXCc+D0zqRBZlIVRHz2QbCE8LqxW
iVS9bcp214bqGbqRgqHwo6xPChi/O6/I9FKDM4PIbWMKkP6suLqwmTbgLKaH7qc4NiJpwd5tieyI
VHDdCvA3klBOKy5+aSPD54EKBDUQAHqpjTwEbOmHaYy0SJK9gn/9UWR+KP1jVz7Uwvn+otJ5+++N
BcAwEAeoL0JqjIrcErXpwc2S967omZq4gVbpRuOgtxUUpOh/dyAdBBrsdax7PVUYoIrXyug0rOj/
PgBhMeR1UQykUZZF1/qTwpS9W4qWN6h2WwbWLAFb5AbID3fVtMnCbYpKviz+ZNvnvAXBcSmDLuYt
i/zT/dlY2uIy+JyhVQlVBzwDryNMKZukTpSK3mW8j7L9OWrHuCCVTJT8YTVAp1Ief8aNwhNq4QBu
A1F9bQtkY2kfZG3v8k30AzBMEisyYrDwKP/smEKHAnDLr6CBlhf7wiZ1m/rVwBc53/Wu4DE/BdWO
PDsvcIX62zypbcBbjLEFmw43EC+bDL5ZRcvNE3hzqtHHos2lZhYs0teDnooGbJZc07upuBOjTdnu
peQQt0eo9TZmOOg5unSqYsdFcKGTkR2mNSamxRW++ADqaFVtWorjvNuEgDGlJCWDlFneSQR5eAtq
MSUTV2L8tRHPH3SRPMEVLkeRjGWORu5h4OpNmWp7qV3LPy7euTjAf2eWerYwPSTUtAgzOzK1w8Wl
weJVXsibkBkIZOyQrZn13gIrkkgq2fePzX/ZV3+N0zlWb+CVfhQxyCaxDrKsFyay7eqbOZ2fa2cl
6FpeQSgj4qqfJRuoPcx4FZLsNWwp6XvJOk38nAHfOT4J3ou2Ymp5UmfiQWG2hnfn9eKFgT/wIVv1
bp/96sODDKZqD6/3zED7GnJhuWf9zpvf/8tkohMLfNUzOf5N9JQ3Gdt0OKQt7i4VdDuWhOdSAa1l
ndFIJzlq22zaxgl+3Tf8TVV8czgvDFNXAfSq1CSXehzOCQx8T6CqPE8s4CYFfCD8YDDrF+cRYUOI
2fmQydj0/aFoVEdDcNc3kQ5Z0k0kukF5Ktln3mtBf2wj1zUgqdbyHYlFR+1WXpSzv7j3yVSUUJd9
M7Q55grcQslGRYbN752GWetZXJoapNXAcjlzaiLco/xWMPR5O0Gswo20g2QFZtbqQl2Q9MWTbNmH
vLWRgBcAzMPJj/qsVS6TofFh8kiueSeeOeAFL+cHEJltK2BPTsNk94Iz4H1/fwUXjgbwOyyagMCx
jtcI9ZXoRA64gplnw06n7eA9SsIGIujGKB5LaY3hcNkYhAlAN4zbku7D8MJpiJlUwjnMQIDs+EIP
ZQIixz9Z9OBnXbQSfS6sNMb2H3OUfwNknAOVu9i7Gqn2nm0p4/80eX8N0ACKaJAkaI2zvVsktV6y
sjlmn/7Wt6UJPW79GjH9vDGpjXs5nG/Pc3EtlEzRi/WI4ewk0q1M1Tdu5d4Pp1ykWAhNnHX44Xz0
7AEIxys18i3iJvNLoxIbo26OTEOUZqPipHgDC6ImEUie6lh51ZYPm0M8rqWo6fTnHO5gwOizAzoP
vUh0Oy74l3kf/WvYm2x+0hSveAjGZFaQb3hFV/sxfu846ReCe2UrRXWVEanN/hF4/ecb0CeJDwD6
FVpQ1+68E4tWCwRs2aJ8DPgn1NIhDS77vi7ym/sncelGnMld/pqi4oyoHHKtEmScjlI5lpnTvJXI
h45hvWeZbfizkozo4IGHxVtTgV/cWHg5fGcHUNyiPKIQe15VcQwMt7lKGK2HVvEQNWtbbCGsmZ+9
f83M/3+xf+shK6JR9XqXHR01HK2u3uX6UFSkffdbu2qP7U6dCKiJkhHkk9kntzLB381rN3v84gOo
tWwKLqoSKUAyeDNYnQv5jZDEZmvXenM6SpZgfTBkMg4RS0bjoUucRh/sRscrInceV9Z6XsubTxFF
dJurc+qBpm3xvTFtUU1CQi55GKBTDgwKCzLRykiqtyiyEf+RWnwq35q6IcKke9OD1j41euu93/8Q
mpDzz/6++BDqSVHGeT6lYY600LHLyRvmn3uqU6dRIE5gp1AWTbAiT0qkd3i38v1+ip+4ymomvY5b
oyktMIDExwAdqtk/0kn9+TJk7/HAmxPNNJF3jRBYU8NwcIUufwu18mtsdkH6eX/8i+uAfqyZUh6M
0fTjQhWaUeIirEM2cAyyuiBP9tjQkKvMzL0GjJdr+MHFszYXEoGbxoVLn7UMFY8+baPBBdlHtBXq
Kf4cgyhb6SdfPGoXVqijNmiClyhcibmLW3EP0WJ/VwhBYOVSoz3fn8FvKaGbrYzSCoIdDRLnNEWK
2rJZFTaYQsRTndVY45a3eRtN82fGCuziDbvFGn4a0Ybd1uY4HnPb37/Gm9HSPlrL3xRma3F2b2W/
g09J0et2gz878zm0En0tIFgKzjU81P9+K+UBwM8KREEBDxDxAclHMnDICngHaP7EPE/U0vH8p+bw
v2TirsxSnt0DH0coN9jKTHEI2Y/ce+6EjZodJcDA0lPBwcvcX5TF9b8YJ/WCzGOViwM1GVylC8dt
PgyVmbddtZHVcK3reikZg8EhhTWrM+KcUoOrwPKc+mE1uLnZbxuLt7MTZzA/5ed5dUGLv5etzK6d
+wNcPLcXRqkBdswwtyVk8J9M7+2gCBbqRZWL+6oOJBLkgk8AAFZWwr3lG/rCKhVQpmDTU7MAQ+X7
3BwcqZkAbT5WDvTUquwA5iPeQ1bXZNI1r7G8nn/nmH5Uci0iTQ+VbZeVmiOPdwMKTCrTrzjD/3I8
/mOGvgwSKMW1TYFCl4Y0/ynWVL1jt6FHeOXLf++ygCjcM7MWey6VJpD252cuSbROSzRgPPX4mGtB
o+eGrOOnmq4gZ9qEUMwNDTjjjTRMeuNZgCfbVeYbQCAZIneqs3et/iyVDfPpM7/5YQfONV0W154s
S6Wzq4+jtjdXMV0WCzhKqWf6kV23j03kqqIx9psUrQE6xMtzQ4p3UauSBhRH2r8ndq/sUzudCTXo
WzNY+iLz9dBM832smE1R6UqxVv9ffC/h3hUgUQcGJlo0jhGyrhMr3Bqe+MaPjty+ywzYduz7R/e/
LPd/zFDhpif72TSDJ9yIsUTQNKAUIqrPTXpEq49ZolkJIQ8PqIhqJNhrEjaECrhajvgjVRw2Pw5M
QZJwx8WdzofcyhlfmwPq5gwZsVT5rhlccMTpYhzomWdJTP7YrhIgLjvOi+mmLqPBy5WOY1vcCnFu
ReE+1h7KMnovtJMWOZlf7Cb2XZieUnYbNY7XtgZ4L7eMui+1NcD60qBBV4ALY5aivFHzDdWgGaR8
hHtRyuFTDLvZjjgYQyFz+y5NpbVZnjctHTNcGhSop0CjiVFQAkTgP9TySWAbAiLcNrTCfJvya+WC
pbsCpUUWpM4zSyLNQKKOjcAPuYcT/OnnP+pgw4IuvC0Vu/9xf2cvGUKNHckeXkNLMN115TFSr85M
Zu5QlsZUwIkx7bmoemfKw6MqrnnrhfoeUE5IakJ+b9aXojzDGON97nUojU65YsftuR9SiLR1utpu
BW2nFdxWCH9r2T92tX7H5ZdmqUvQ5xohlgJldEMwhNTbsHyL1zgflrbHhQm6Rj5Jw5hnDDQZu/qt
745VNUBvzwoTkaixW8Vrt+vSuiFrygGFAEQGOACudyMTeqXA5MzoNgHSODGefcoj3zpq3zoBKoX/
uknQeA/qN/g/FLuhtHdtzFerIQoCqGCKAKxUVsd/Ch85T5R45d64PdPXdugjpsZREvqww2jbRvmY
lLcCvaBP9wdz+5q5NkK58qZLIMAYARkDpEOp86LHbpl8ZK37VhYe7jAD8bS5+oNsKp3ehtjhyHaA
yrvSwOmD+gPRz8CDk9acGMOvIS3SbfI3PvxixpdU2inj14gMQhEwhgTUQClGTtD8DMJfIqAN4zZT
C4cXN3xu+Lhp+raH0sTKtNzu3+vvpeYeaPFQUnqgztL8NE6PjVMbnUzQyiL7K6jhNUvUAqQAqqBd
BpYqZROom1gqzdh/RV+ezkYs0BormL0FbA1GhgsC6TD0l6JL+3r3YlBMEA8aRhYnB6ELnLowq+55
EAZS9u1zBrYg1eprlvTxRAAqiURWR4MtCT27YTdtp3PZZ5SBj7BHSWnDrzWp38bJMtw86h/gAFNR
HqY+r+9AkzrU/Ig6COeZalWOJC7AL9zF0a+VPblwvuYrRQESDtzQN7xWQs6pNWA+vCtWuKIHnUOv
V24q47MmPUHqpiiPnRyQmHmufAldkETKHwvmsQHMKPwdSbsoiH6m6peCvjdodrdvEKFkWt/Km5UN
svKZtE6IzxVwYZ7Iu50Y8xYoac1GKcMtEq7xKRibtXaQb06D65sd9x8ALjOV6Vxso54QoGBL0hhY
VneXE6TTSnKU9R8/foj6j9P+9fX1/f394eFze0aKjfzuSaJ//fOywD7yOOjvm3l26FbQIpDlHjSt
khvsgbMgsj1YkgVGpINvh3azE2zPEp5Se3LkDWfmR9lkbSUiyTY6r9J2397PswqZMvOvQ3bjpnU9
1HxVTqB55koAJhCrgeCUD3Ir5r121iCKC6lylDVxn4CBZIYK08ozXBApYdUqsstug3fNmhyQujxk
pgyO8PsTzM3XO73AM90O6CXRs3KTlhtZIRLGVpPdnBxHHczg+tvRJ79EUhqn/fs2ID15uW/yG7ty
YxJtUuCQmeM3mpRMQWtEAS5y2TV2h+rkHq0P62Ak+qhrIflhbY5onSauReBWnuqT4zi6szVNm0QY
vPG4W7lXFx6EmOqLr6Hin2BC2ZzNC9lVSGjmnVGfAeQL3cjR9XI/bBNkk7Zr0KY1owJVVcaOhhDt
gCnAg/NF/xh/lIkpvAr76QGKZt1LAyXpZ/95Zd7na+rOvNMATjaM8AQPSsy7cTA+DkfreMwM6xjo
DPkoyY950q0UanMk31QPBub9OSL6J0/yo/MonVrirGwEWlcGoec89SCGwStFm7nxrm+fKktkfxxq
2fUO7dPBqvZJaO1feUszbfT96NyvR+A7f49bZQ2euLjpLwzPXvaidAEVIKSHeRieOIPX84P2XHV2
GeP9bzXC2/1pX8gyYZQgiPruixbREnRtbAB9Rx6yDU5YSqZ9p537CeQdp8E/eK9KqEdPAYTHVqb2
NgQGNBgST2CEQpsBdIiubYKImOnDwVfdAisqmefCzp2VYd3ezdcm5lDmYg6zEErKvecpLmuLWwBu
zcgKTUbvyOsrqmmO6KxCMdYsUicVQIRWSHxGcQejM3rdd5iHahefuSfeyC1sUCc7eCvu8bsqQZ0Z
ELkC6KlBYhicC9QWlbly5P2kxijBkd/tAl0zS/1HYICvXE8Iyv9WbmXkqbTLbWnXB6AhrHkOUtsn
rPWUGKETGQM5SXZFIjN6BEs2icn89S3+VdihkRBGfwV8Ue930iY5MJtG9y1PDzYlePKfGUtdGdHi
zrgYELUb5bRKQ0apFNcoLP/xnB/X+vi+CwTUlAGRroKeEQShsyLt9cZQUKZv0k5R3MYQdWHnnZin
wooszJg5OfFHYEyOv61t7rW2KqLucivYBaSxGzvGInpPPOYB5N6O99Cv36sLLhC1GrxegK1coHuI
1C7M1CRUXajMma35UW0Ua9rzJvHdJNS91/tnZCE1BmzEhTnqjMBcmkxZpLqtif50QPMtxUQeiGjm
Z26EVmQHJmJqohj37dLNm7NjvbJLnRTfqwOxEjBM2Va3zSZ/CMlAOtAIvJabzu4ePPO+wQV/+o22
1iBaAVYSundzqiDEHSWD6np2ZAhOs8PCWqxTrvicNTNUMCpANAxZU5hBGOgMG/9RsyOn0JX3+6NZ
AE9AmwXg8f8/HOrZkUDiWSn7XnXfsg0acKz4EYjYJ/8g7ye7hUKGgisSSc13bs3w/IPpowPmOeim
o5UKfK3UAGWE8nkijarb7Mut/ClvE6MyRUOxx+f4p3S6P8x589HGIL2A7IUIzK9Cs++wkVdyfRdo
rlCaoUjgoVBE89EesKbPsRTNIvv8H0vUfPqNEEAML9JcLTB7XQqAa93XghG3z7LZczq/EtLNLux2
YDLULcAuBLc9b6OLm6lG60ozpZnmZvvoWX7mjTXJs+WZ+2uArvZDSJAbvdmAfGAcIMOf/D1riSub
fXnW8NCAVpYElkA6fQ9QiqZ0cqm54oH9LLf8V/UbRGYm/8SvvCkXLSFKmME5aFJFEut6wtrUE1ul
6TUX9BnlU/RTgXyahWIm2J2nT2Vl2y06p0trVI6jieUulLxWQ3puhouhSSZ/9B+5Q7VTHthYrz4g
PcmnZO2Fv3DxzaHQ30FSN3mEBmaP52BWO4LX4Fn84n61a+zHSw7q0gZ1uWp5oXBh3GkIaIOO9J/o
CDtWv3OrWSHPWKg1qLjD0fuD1ygaj2jYARd6UGFKM8814pokp/684U+joUt6vefMbXhMzvd9xUKi
CAYB4OKQi0GTMc0imbBdxqgNDLJbhZR2gCeptGtxfwaoCoNnnvBWCgyAoEOwVG93/Y9VFpTFub34
AmpuoT3sQ8wKX1AZaOh6JIoZWMKP2pY3rw+8AXKP9+Qc2Wviire+BDiIuXgGTAmYm0TqoTaqVcqB
DMpzFXayPH5TVtx2+s00vXV/gpfsQC0dcwumxFki4foIVnJZ121RMy6rFVvEoT/LyVccUL51ZsEP
7EqAMP+0Kw8pIrnAIYuBFwLYqOjmsVGIIfNRxLybMHDCcV9lRg51BpMXWmEl3hRv1g1peFDWoRwF
9awZQXs9Mj4APGacBMllpgeu3LLFTo02hUYUdKJ5zKvnfYVQMokOLGAm/vM0nKScSPwZUZquCPbw
xfqfraN4z0WiT2cOFWz8/av6zHNHU5/7SmfR8+TvxgGKY57l+UZbGw2aF2RIJ4H/LyXta5yQpjPl
EoF5ihrYeYh3gr+C0Lm5EjBKXKGIK2dhw5s7R4Q8S5rNL8osUD2zrEcInSpII0YgTjCTMCqdgC98
s2xHb2XnLFlWxZn5Hxo0IDued9bFbSdKA9gBmUp25YFBX/cAfnlf4ItNPWCSQ0lLbaWOs0dJG9cK
/UtLO3coITGLUAnFFure6Jmq9KGgIAN+A5wERxgPGhvxVsrOAkeKQxpYbb4FUbocHSZ/G6nHTIv1
kjuwvc5yTsDoE8iSf2jjbpqsuiK+fOJaoDGLD953YtUUQNVcW0z+kvwOy0PaeOjhtNvk3U/1TiJt
rKs7/i3bSuIjq05WGBGvtyp1L+Bf9w/nbRz/vYPBaiYh9YfmQmqgsgjO0mZCOg5Stie8nypgj8El
2ZaF7xR1MxpVl/BGXAndppTqxyaRwdU1ls++nLYGz3mqLmme0afZ73QeIfRicr0RUiUkvJAKpAQf
HukyZdjc/+5bAMiMtdOATEM8iyHQ8aQQ8L08+WpyFmo12YDiL33gGXkTJNA3CAFg7wYo5gneYGkF
zhpC4sKS0uhfxa3hrhRJgkwxHoNzJpl2bl0OoHxUTZ5bRJByaLj8McKRFauegMKElFjJWG5OgfIS
cive5zb5AtMqXu6gGocoBkvHgqInCyVbsf45zW2v1wWn56yOtfvGCM99swUcU/J+iatdVvOGuHaw
MIsxQzYH72CJlmSR41xg4zrzz1GrqSbLoFzUe6xnjnkX2HXIQZS3q2tnCjxxywdMZ6GvhLTRVBgq
hNtNrS+btXDy5m0hglGF1yRou0IfBFE/5Se6BrzrUe2fq1hEpi2qdZmNJX0Wy7YqIR+tFpBCI25K
1dZ8doImWp1ZTRhFG3Xk1xAKt0kCfA3I5lFWh3ANXAd13/kRGxag2PDP3LMa6Gl8GH+zIOaadDSU
RnhniUbfm1loCt6RE83atwDNycWSsOkxyX/yex7934WTQm8rIRGqY19jZ0vRNpdMhdtJgqFpL8rZ
F3WFWZvHOTyllnZOVqI3B/c0iK3n++7C36YSxBnytMeOevFkEvh47wr79LFVHkpRI3Xzlve/xl00
2ak8rfih7wztjW28PlGhwp9gErm2PQo9D22Dwj/z6gOch2f4TyMDaBwJim2r6nznxOKpkSzWM3ij
+kwe2af+RTTHwZCiHacrpsgT4SS5qWr0ntExpgb+/TWnc3vhY2kvPpK+kNpSUoIy98+gS9SOTG0P
gikoW/8goW7YHDlT3EFX/k3wHeWRgdevDE5npZVl+i4MUVMFZgScwhnEOuM3rqdKQGdo30qqf677
2Mwfx/IlK83Bt71cl71fDbPvCrts37MpIoK4D8afFWvInK0AFzRIhMts5Bg6E/qIUNYmbGEmnSEy
9jSiNeEhSczIO0EoQ6xMJnZajXCJKT0KX6iQes/aUxNtKlBJNEjuMr9E+TEABUHLHdrt1LwrGhkg
8xpuwud4hBxLtm2kNQznN+35vcFTeQSRSTsxhVDTWT7UsoVmR1IPT6F/0Do93obRa1mSzEnjV7Q0
4dJGc/57dopyJ5aMKdj7jSVLr/xgjF+yv/GZJxHI8HyrjEYLj63VR9lLiFA9wduQbDijDX2cu0f0
sD8psgU+e+XDEzdKd07iTZkdgTIMZg3yvaxY4nTIil0CXGlIOmbjq3qBwnH+klVGoZjlsKvsUHks
3tCkcv8mXLjBUWiSAdBHiIbcikQlxEelbnyWkf1zE1tyqQMbX/obMOF3BsBaCeFDW2308ZA3aFcz
0f5W6xn6ubayqsvjQVwT9Vi6lq4+Zw7qLpxIkkHMqK89/zweUhFtv1YdGz2K6AFL8uClGXVRNEU2
NlR+jU5j4XReWabcV5vww5SKjH9mMpKmCXiOCl2rFSLJFpiVqiwl6Dhfmf3bJz9iY0T/cPYzhzDo
qa6Hi/ZuQawqPzg37AODmyeahkPgq6QugKfIZppEM65HAuakLYeguVNxHINxo6mrtHY37yx8ifCn
EWnOr9Et12lU8KXYCsE5V6UeJH2h9iC1/GCXncLp/Vhn+1pJVDfn+pPfsM0u0/zByNMRpGABx7/l
cqvpI5vEBl9y+VfBeGtQ79unPb4QwqRQGeBBggf6veu5Qj+SEqZ1EJ5bT3CqMDI0pdIBZa8Vu6it
oO3MmtlkUQcluaeIeUmqvVZZsQK48o/7Z+a2SIliN5i3EBZi4VRFphy5XIjCKKd5fJbtGJAm7lWx
xgOcVSzqvLfhJaci/Ht8BFXQ+b7lW4DQbBlqvgJuWEAYJSpW6YDF4GstSM5y+ZBpVuWDk8fJ45Pi
nQX5Z6Qc0pp4aLdgHxrZrNXayDz2reDdAYwBQTZLaeQAmr71LJDViaerRbiFKWgBNrogfQUquGKC
lQfgTXqJ+uQ5bLg40ZyYiAzirvjMy6lwHuCGrKiva6B4EkiIVFGmi0MerNy1C7sZRThEItDXQBKX
zk4wGTC+IVsl5wqQiH29Rm4zbzXqGrn68dQ1EvJ9BZw6fjw3PijjS/+lCNvioVP1tcT+d03o2hKy
EOjXARgJuW/kmK5nT6lSLxeCODmPybT1o4M4brlKOXjtvjyXk2j2+XsxOp2O2MJgRM+9v99uE6BI
7wDhAi4XiA5yUGa/Np/yjNh6gRecK26mwYp6Eo/o+LS65JBVEUkrm13rXbndL9cmqcOVjOCK4jot
OM9iIjHfkkTg0ID1Pk3SLwZJpvsjnAdAzS+SuwpqXiALAqUedaCGNB/AVKmEZyHoEyNop5qwOasz
vRLr9y3dFvUxl5CFBLJPE+A16Mg+L2t/4JQoOufZbpQf/W4C7Q96zfhfyOhIn+ArTTKztLiI9HtZ
PWqNNR3Az0PammT8Ll6r4N4CXPA94I1ECh3s07Nw4fXaKk0RRTyTROeGOfQzvQSvp8yT9OhZzESK
bJMeVZQkR1KfhLMmn6rB8Quk+SArl61MzW1daf4UEekDwEVngnTqPBXskFY5uLLOlfhVFG5XPdbM
SUghCRWYfkhkD0390VkaDAG1YnHrQa4P4SXf8lCmNO8v09L2mx0G8Jeo/eCyuZ6VOC+HnoMSx7kV
BIRDWpvZlRA1wOXmkxMpZWIgSFh7vywZBTkTOH2wFrhZKKNSXAdcGoTxOQlU1RG7mt307TvXdDug
kCY88SJt5cW0kAH55k/AykNgfOaKuB7nWHoQ5xgxq5P4Uxw3o8JBkwHvDbEm6fOAYLwOTa411TVY
8NKBk8DbgxZ8ds6OUWEW37dFhEd4dFbkbjpwYDiJU/S6NNW04rvme4U+2QoIqDgkWEDiRzfbCG3P
jooaxEhwQP5ICOG8Vi6ZJefMX5qYl/XiavPgm9HlH8XnoOYIp8aknRC3fwmALryw2fsoEGhK1fE+
GsiwUppa2jGXpqlgSPYFDeFQGZ/VQlJAzTIwepRwgCQVCp67Sq6CdipN7X8/Gwpe+OhdkoF4pCOw
KQi4idXq+NyMERpmXU8o/x9p39UcudFk+4sQAW9eq2DaAGy6Jjl8QZBDEh4F7379HvDbu+pG922E
dmOk0EgTYqJcVlZmnnPMUApoPBQ4j9naFr28ZWdxJBkBj4I+Idzki+llXRJODGMEXFWwWa+LUFEf
yt0kTI8QPZ+VHLTEDBCrboS2QGdYDKiuHLaR2XAVqBD0KbcS9Njbba1+afEogdqKi/bZJK5C2mcH
dbHZUG5CohvwLjD4nH9qA2KMIpsELEe2bxWkXQHVI7p0V0MPbtoBmsrXTrLG13N1/2GKwKsOBTNk
PhYenGfKKMmjkhyNrDZB5Q3d8yduoln+jFy3VNktXuiDvq95E5hfPliLguajuhw0MHRzbdQAqcaS
babhfbGYxCI98qyLPI7pgFDraXofy+ExAY39IZ+g4KbofkbHov/zr/ci8heou6FDE+ryvzH6ydlT
pCAphqJJj6AmAtp2LylmX1pyDkqW99uWLqHj2IKnphauEsyqEICS6vQoesBcbt+01G5867V9iygI
BKzUBghzVyRUg9Rfdoih37UJDupqNfoypkXHrw5nBinKWdB6ceQhxytNSZRmR6Sna5OJAhjHEkhM
//sL8MzMwkGXOkuzuE+yYzbFQCnvwDUVinuwxwxruc4r76izES2DW7EMQr7VYUp6Ep2JEe1V/wPx
ZB0qMLSxkAKL7KEnqH09rayoeLlz0auMJkBEYrOS8iLeAI9/3FVRkR3RbmYh4f4xHmsvtr/jQ03s
2NTRXNKb9b26h/jruMf9sRZ8Xbmczj5g/sDT3TuqEdoU8+xY8blBRtVIrSAZc/v2OK9kUzDBJ+Nc
xBWBzNC5X7DsWJiqf9/2JqjjRKj1ggvT5sRN/SxWOzXfrFi9cjedWV04Q1WvKyieYHDa4av6mxHU
phJTfhsoMsHbiko7ao2fD7eNXrkrYBNU2KCmw4PvN9FyMqF8IAbgMGiyI5fgRQlq1E9cGlCyaLuE
Rl3EOW0vDlTO2VpD6ZXU8/wcR08NGsuQU13qvqOCE6BQ1KbHFOx8h7gZCgFXcSC3NCg4Ac1YSjnp
T3Pu7SXgk7EhQ8oqxS0YaxiNxiR7CYO4+0o4o+6+8N6rR6Siu5YDJYehVyHgIyWYZCtBLiqTj1Vt
8gJlAo9IVNWFimJEb/zlIB2s2EPCZIaUoqFYQjqEn9IQBZHZDnGVeBDyHnLKchU3gqw0eW/env6r
R3kmAcMtjQsQRaXzDS2yTlHKokyPyCQ0XGfqNREC0CP4D5pBe1dBwVqnSQQ2qJ4C3wtk6+0PEK9c
RlBp++cDFkdalvk8higWHsrxplV4tJC2EaSpk10NNXaJJmCc/Qt2ysHW0V6K0ogd1kTZcy0Ylpuf
insLXzDLafPYBJjxiBjZU6l6qLb8Lz4Trc6gRwXzPDI4CyfeA/g6FvGUgj3sO/rgN7HLhTJIeSs7
as2ut9WKdDrBI4mWQUsr5Y3z7zJ0YnfUqFI6IDhPtr5voUyZiLRKtt2wrSLc+KTUCL+mo3BJ7YWb
T0b5HD2+6NbEy+x8VVskyLlpENIjGzelum/LhCShjfygBCxzLH23fWQ1yO13sUC65G0EA72/i6DA
kgD+gwJmudWlF2Okag802+sYP45ob8jMquRIv1Z0v+YB8IbCQx7v+fnpdv6tXFhF/Rgb6RFV/c4M
WrUwy2z0iYEpt1BOVUmaZmxTVdwaO9aVJ83cKQjepBmQA4Wbc8vQVvLLRJUxSyofbOpBqtFoME53
SlYWK5fztRgAhUdIjyD6BmfZIiQutDJQqimCQ5cEGXzW7WjFBntBmWfHJ+VaueTq/YGgFire6NHH
r8Wh4hBfRi14XI58BpiTYNhxSxrQYjXP6mijHhC9JpM5hmvX1uwsFoGldGp2cTv6ehj5cdlmx1Il
anmvKV7L73UbB5RL9sXgjNXKw+ayiwsbHeS9yCyj6IoGssUSDkpZCyEk+45jhxwEOouglvUpolm9
Jq34imKIfh8iGootbjS7mmo2j5sUTf0GuKynH2Hc+fLKJ13zZ+iXAc2thtYZVKjPNxVfClzUchxi
o9DoduChRetIozyJXK14EKEO9wIrA8pzWURbdOyuPC+vpQckuCgDDy+UxsGVdW4+0fwQnOZJfoQo
EVHjN21EdU/ecNpOkpx8aJw0eKj02orWpN6uRtswKsqzDgRyjwsPKQsZuog6WO4VMpQPNZ+bBoRB
/NhKuoxWPKO1+to1LrD8JMhsRa3hGvEWLCzA7CcBhbwQIp3gFbsbohc9NXmfgoXvthu/cgyh04oQ
HKlB5KyWx5AbGyUWMiE/QqmactI2qDtwYnjGWn/NlfoQOpjw4jbm9KSKJpHzZSjLVtWLRMqPqVs9
cduM1BTiWeTxUXj8WxFxjcvxWk7wzN5i1/VT3jVVCHuMeKEt/8ygjcfv6e4+cVXyWkDP/FhDLXH1
9r5y4s/sLi6aPBdqfYrF/Nj9xTsgkfd5+JFrjsIKUGZAxanSia944Ojih6ea2/v4nMJME2sAdKjd
s8Ji6Uon6ZXzd/ZF8xY4CSi5SVZ9PDvzI4rkM0qgMDs+w64fiBB+18MqWchVe2hV48FPCVDnkl1o
HNNIqwvYGwfAJzdItpItc8KnAWuOznrKE1p4M0rG6kpKNz0xv7K9X5OX2zv7t1Ni4Xvn2OR/vmNx
/LIOkOPQwA7Yg4aEGERCQZiAzhX77rv949Smm6OltSC741P/+fCwln69lgo+s7+4xuu8k0qhnOed
oJ0VHISVi1cLi51hx3wMP8SjMDIfgs/b475W6Ti1u2QeisYWLBMRxt3SUSEA2eORTVMf8haOKW1v
G7vyQDqztbxW5T5K9RBj1LV9BxbYuLn3x5ch+F5tjLmWIjoztbhKMz2R2ShhWNIhA7wGmRggg7t9
3eNpSyr5Ln7v0aLo+WsZ7eue6599tCysKEGAoCLEiR6FDStJyyjv8S/8tEu+0ZkzJSYH2hVmlU+i
upKvueqcTywvfBi2T9+nE2aXlx5UAa10sT1AeG41OL7qs+ZUNkhe0TixZNOoepWT1QA9nQq3n3se
FTsTAHYAA/6Wg+6wNtd2Erv6EF95paW8bhvxHfKTGYqERrXGXj5vmctj+8/HLNxV3gppOAhY57jw
utAa8K7hKFQXAINP0bezz0xuLS92fRf/Y3L+8xMPOT96QS6DeZYUV4jtBryo8hv6ioVVKpHl4URF
CGz/J/pQiyWthqE3RqkZXLG6Q0uNSvGo7O74zMMjjussbgUns3RCF/YW11HvC2rfKxCIYlYHUH18
YEfkLkyfNEQA+jAkX5kZesbmtltYXAH/bRU9oeDvQTJheWQqAQ10dVMN7ljuI78CUTByYeWfqiSS
/6WnttyGK3HMYglnixrQR2CbnztAEXKfL+FUVkna5j10t8zSK8jHbg3zOC/Myba8MLC4TWpJ7Tgu
Gga3lzymhKTy//2cnY1gcV1ISDrzcosRqMlg9UlM24KAfSBRJJKKGu6LIijM28u0eO4tx/S7WU/2
/QAakqTlYFIoocWneHgYQIxjZWWWjvvCyuKOGIPUNwoZqmHoArSlN8luPl1lN741lo9sJHu9Pabl
tf/f5vDggEgnEvpLVcsG1MeZ3GPH9zS8h7TXFrKWRCaKU9uKI5sRsqS1A3JF924aINHGAYuaAVz8
dfszrh10LOf/+wxj+eyIAfrSC4iZu0m87caATJJKS8AVulYlSWzyQUu0iUq8uhL2zPvwcp/+Y3c5
2ylfJUGH4afb4rm3/D+tWzzyK3t1eScuJtngF5cxCFbiKTOgpqfXoMg3hZaIfTQruL+X7ZsUMYtH
hyUzPuVEISPSQCh49claCuH69v1nqIsnhQ+mXhCeY6jP93SNRHBlGyFtdO5QfJZXYLnGDw9EmXDQ
LgYZi6mGXoOhxhytEcdPmulnj2VogeZoyu0aWiolSdGpDGXv1ulKm3X+Vk4KOk0O0AuNcVdDc+P2
Prvu95BFQwFpFqda3JboT+/GxsARbnmnRhsbYNcGaouWL1j/N0MLB1upsV6BKA2n2Ibe1XbXbtaE
nf4/m+qfsSxcLDdAsyQJcWQaMDbEOLWCrRHBDD86UBo+mND8prfHdP2QIleC4hu08dA/cr7IuhC0
sh/zgxsJaFGE+kLVVCTtvls0bGiAU/t3cWO30VrLwiKu+8/pOTG7cPUTKDGULMRcDvyTETCSvgay
T7hg7ZRePSD/Y+ci9REaqs5XMuxIxoeeOuk91znjEXDCeQeHf7rgvTaLTiJTI+KfEV1DBV8JA5DD
5BEAIBmFxq9F6kUslCAGTgZeIuKB2eGsvviBBoc9gZBejDqbG46cv11Z0/nUXzjAE6MLB5i2fYMG
KBiFVvODzqFLMARGi+3Qy6Ao+wBke+KLrKVbHuc1zPEqYisx17I96j/LC/eO5JUG/MOyhC5Ak6oX
JwGuX8lyR2qeWymxGr9+F0pb5jur1cZt2ZdIrZohqOtySOEkwlMHsJQYsm0SQA3pXTO8NvV3WbBy
PSzTYRcfN++Zkzu/r6AoB547+DVVsRU/Mxvj3m8daTD9yusxJY/CuC0geH97WeaTdLEqMxccnDIi
teWjNM9Y5k/9bNYP6BQ4jUTTLPAqzviYBsXSde5f5v3+M9ATi4t9II2hWE0tLCpP3ObZvxd2w068
L01jG62EHNcd14mp5W2YRWlYDjBVZ5ZgP/umairOnQXRVye9c9eYGK57rRNzi3svL6M8Rtvz4HKC
OU4Uip6qy/1wmVk85HQtnbNsVr6Yx8VFGOpGEgFuP7hFrmynqd0EJTpsRaK4KsgtQq+WBfzRi4R0
Zo4MQAAxRBRzJlxHlfS/iVdn/CNIswwoby+WVIWCGCsCEZ/SOmLnKeJzIa1sm8t9qgJJB1EeHa9h
ANkWrpnVxSAFTBjdN7RGWPCIa4HFpU+EAVTqkQPFb1BvPT9/01hL0VjAgBbkz1xFa5DQIZ8RyVZZ
MihH/xGLbiUWvTqmWesMPhjgsCVOxgcTYzOhjuNKbz36t2IK2YL7dm7vuH3Gf/Fl54ccQzoxtFgf
kW8gmTfCEE63SJtPpBilzfgimQKJdpo1WNG2tr8rCxJoJYAIpnHffz6taWRdHy2QeSj04TL5rQSd
ODgAAtRBqTDBokoDWlF5z5lrTQ+XFzgGCmXIGQuMn7fkbTD8ss7VVB3dTKc+FD/00hJis14lHL46
lhM7i7OXQBpvqmRldONnXiV55XAZqV4r/qEV2UostKz+45yfj2lxMXBCGhUNr43uYCdEtxob3D4O
xHJ3Oh3vyASKKWP+RSsL7Cg0cQr4t11OdhWd2W381Qj8Mng5/55FZFsmBkuETMf34KmUxrav1lDo
Wxn1dSOgmETAAJKFZe9oOXSpFPQwosp2gzLvOGEVmxW3dcVhz0P5x8oidjbQ+leoHKzI8WuuPfZO
DmFhxECp9N4HlqFlVBqUlZFdPgyAHoTYMyj/cBRwDs79jBzqI7R4YFNL7Nj428eO1twVBjUARr59
7K9sUpTXZhLleRpR4Tm3NAqZLBV1Obh+QqpnH9SMe/9Q7Yz722auLBUo1tSZFhrvemjFn5tpBH00
kjqZ3CLmMWftoTDcKSqt21auxEdIWqH3Y75jYGR5AbRF0wz9FE+uxg7ssXILjCorNlJL0AY4gDAe
BOcp/m3F7OVyzcwCIKDAJhTUi3K4hoBRS3KMTvc4csi3jc1bzJrwCOKs79aWQjqC9mMtqXW5dOdW
5z8/8ZVA/kx9ocBqLStUZPscPTUDVaTnII5pE21WBjkHJuf3w7m5xU6RZ1iI0sDclNh+6MkV+Geq
567f+Y9J6rQaZ8mSxc0syyHkDLvP/5v55Q4KEhX6iU02uc1f/dij44ihCmxDM6hyAhuEEhEC8LXq
wcq6LslVmxLYD5bnk5tHBZX5t1J9Hd945IL6/uf28K5bgrwrENfoHdEX/lKu2xS3BYdt0j7F3JH3
38PqR/K/2RoDzpWEHpZx1iRHfwE266+o78mu0Y2ujYoxnNy41cwyjqykjAguXA6JxLqzS0YLPwX0
2B0F7qF475p6hdNYuLx/5y+ALJWozD3Ky474KUWz7tikkxtumdWEJgs36FWrLP8pfDR2Pn0Cr/FD
+J283p7iy9htNjtjXtDyD76FxRSLGd/wRoD9O6KbQ0U/hSNM0EMgTZPSUtuJj7fNXbk3zu3NS34y
0WLWNlmlwxeNvMdNT/UHo8ifAsQc6aSYtsiXrFwa1ycWEwp2evQBXfC2giIiY1rBwGFpg7DA8qoD
mg7nX1uZ+OQrRvE2WLkdr/qgE5MLp6C30lAHfTG5PBX2IELbKVuNrGUilm0x2CuYyn+sLNlYKy1I
unCCldbKDyJ9nkhIp83h8bMjfwKg0/FOp6kDxj5Toivh99XNemJ6cRNrwJI2CQ8X0EwljWTUoKcK
pCAHoF9X9svlFXk+SHGxXwy1ERQGSzIIO8XAVLPJVCY74Z9Z+gZapSJUQP3tiHxAi0LY4qVAx3rb
tCuOdo5KL9z8yYDna+Bk21Z1rteDgU1k+H8i4zMZVs7FVU938vNn+yc/X5+AYgrDcl7LrHjU/ZdU
Ooilmchrb98rmRwgU9Cijr/BYox357mlvFL8Oq2wawYblC4v02YgxabZpKZmH3Ii7QQKR2CDnwbg
mNdV69euy1Pri3nsg7buuBjW1Z1io3pAMwpJBa/aaFZEB4oPoD6tTNmLwSkq75FiJyuprGUXze+x
QSvZHEfi0aoaCw8E+jGBBTWmurFrizug59QKbMWsrWIrjsjNoh2y0QhSzmJqQw+U0dVkxzX3AL46
wOogcoPS9GISUP4a6y7sJpe9NC1NHqvn/F780Dozv+tfxT3QvpAegzbpvj+s4bTVqwtwYnux0TQl
1XOZbye3tEoyoge42lb3w9b/AdPnA9Iusok+IiegH38K+qLgFdTSL5B9Wkfn7njUSUQN+piSj4D+
cZ5rsgXVEeHQ92R9uAEdLPeuuhNthTbO07Hfq49rMeU1v3M6c7O3ODkm7ZRqIsswc2BVd5t95kKM
Y8XhzPt/edLRLop+dfBZ4gG5iB+LOk/HtJ7gu4PUU1iYgfKo1jccz6foPJw4L+uB+ZTyuqNMBcGG
xsptVrUxykOBZN/+mGteB9g4vEDQXQZ0yeJybvhOGMtInNyo/KuFhzxd8a6XXgeDBOsqmiTQtcov
Y44UDX6+HCq628gUTWStm4M4/PYQrlTr0fgvgqAR2x3Zp2WAEYm1nGp97Lv6sXzhwX6HFkGa2gPl
bXE7mioBC19q9a+3zV5xczAL7j/0uwvCzNl+vlOUENR/tVj5rl2E1vSalWTbfcrPCKkgkusUZNzK
r2j3B+UMqFS4+2HlZXflcoZ9FZEVDjjczJI+m8sCqW9B/uXujZSqO/GFu0ve86+BiFvj3fB6kz2X
9w2IYOuNQqV7/m4NtnvpZMBEACp+WefRdS0tW9bQweT7haj6bpCBkAMaCOO9wt0jQYaEZi+uPDF/
05Tnp+bc2uLUCE0hGEzRfFSoGeEO0QdHZhod0ektxY4ewfZoJ45qDgRpQfL8qJoBub97RdfinUCz
+347WLwp2p3DoylgsiBEY97eD5cnCVrPSJ0B442OXTRsnm8HI5wSjSWB74Z5SWQAltfEVpYYC1wr
5xYWGw7EhKnfDJzhyg5nK2+1w46FVR+7V+NY3bGn3BHuw7Xs5JVo+tzo4jL3M4BcQZjuu/Vjs5/A
yzxZOU1ITtfaKq54CqRDQMkGAizIhS4vTb0vwmzQ8f6BrDxUq+4yS0oeZCGBp7+9UNcOrsFDvxPG
sE7ibzh/4uJ91vQN1MA5NwMrkRfed1tpnz4xr+CJvOW3/ia8G13lKO+Dg3/HuWvMmcuBoqI4A8sB
oTVAuwMA8flGETK1G8pC4lwOKbog+sqLjqTQ6KykmrJyZbDXjCEIQJYOY0Uqe2HM50dRZVMceE29
ze9xu2yyYCJ6DuDutEKlsHQH87hOTS12SjNWFcCgSeBJvr+Fqh0w+iVnlzUSdQE07WJkCfhg7Ymy
fFwujS4CnWEMClDzYHzV80GPzchTtwm8Lbbo5+1dcxHU/ceSPLt71CjRoXu+bEhFSjmklrAfIGbq
irSwUzM2qz1SuimCFuirWhVhdnYw7tdEQC8O4dL2vMonO1atWzlugQZwDegPtcGzOjl9vwm8aDsU
P8EETsno6/Zwr84rwnd0naOeA/D1ucWRib5Wc5hXoXFExSwHnvBvMQuI5j+OWy36tyHz7wjhNFHx
hg/FtXJujyW9mE4JNs8UpU/pwMyyy4lQB0irbaVjmD2J0THwZzRzyQ5x+pBqBa3B2D6TaAF/VHyL
U0RuT8FFXLH4piWJTCoMFeQ5MAdGSJBgPPi71kuOYw8vkbjMBSDirt3OQrdktQHx2lkC9wTKdQiQ
5pzq+XSETZ+3YVKAGg7tlF78t3j1/xSH1tFoAOmVSbLrkHCudBxtbrumwbKkBMPtBcsnxhdrL/Rl
O+oFjJdQAsisYd8csg+VMpp4kauEFMH5uO8s/umOu++A5FoD/i9DcNiXRXQCzDQDBuLjRQjOZLjH
FlLOXpA7WXuow4fBvxeFNdjWmpnFgZbyfhTKFmbqn2430RVvuAwHfgcB6lvA82ew9u8r6eTI8ooQ
5QiQ4Hj17o8fVdugTVYSer/pl9OQaLYhKWAyRQkB7F1LeFYInRO8s7vQAxWlU9j6bjKzXe0pG4+z
1K/aY0A07gxz8ooHcMAefGRpNhuUG1CkSj0DNf1/f2DOvmdxA6S5DrwKeFy9unrp9HfUAQkDRR44
y/7o5XGsTWyeCrLB1VftJi3pwLWaHRXkdm5/x5XDc/YZiztBNyKNi0RMSwraXQOt7Yb0IHNg1d9J
iRMrK9Yu6rdYBQUFFqj1zCpRePafn9UqC4HKY0PkhQwiUQkVXpucjCMBhy/UA6YMTcOFJR8GCwmH
n3HPm2FJGKAbdHN72BdFmP98CNK7oOBE+uU37jnZcr2WjlKo9pFnDE+iQnLprg8gnxsNJNwkByQ/
PWXtCfCLxlpsQQUhFJjA5z545HzOBy8MQJANxhiBeMzV7HIAiN+utF0s29HDkG8kw5ZLYM8hIvIV
2BkJdRfvIaavrMFFcn0e+ulnzKfxZOgctNj6QJ0iTwo+eqGmBfpF/fqQ3fsgOxv2bfEsFmYBnTDA
sjnl9fbEX7krgfyce6jBGo4a28JfDlUILopAi71EfdVBV+uDPFbwSfLOoLgWQZ8vL1ZZdC7iOvQl
wLUAkisiQ3sBF4KyUVkkaTl4GWFIkICzltZEpaLV3at0esN/fv+8/zOaYBCmE3mtSGJCSwb5kwJ9
DBOile9fRaKJThQNxZuWGGaPhxE1eQT3+8AskCgDERU0eW7P1TLZiqeyjqc66p5ITKkgyT5fqKkw
krZFC6zXFc8RFxDoOyvhykG4cL2zDUT4MyIfLE5LBGEahl3gs27wWq0gPcgbE8BWbw9DWMIUtXkg
yO3xBiCjEsaxWPS24frUCMPRG+m7t+/MDX2rzOkv6CQ2yHqK9HMgrxF5zzCDb7JFDnZugpEffb30
8HwALyoh2/fn7V+oqJivswDN08ODRMyd29E/PxnZ9bZMVHKP1BAesCndzE01d4KD31bmT0c/flor
gexfSnv6ox5kQLIk/OtXZyv4f2llP+lkoDpJtim5Q5JNOSBF77iS89qbf3JydFNitfT2nFwcg8WM
LEI4veLRiToGmBFnqp8VzuT/Djm2Jg+Okq2Rr+QDpHmCzzzPubllXZLrWN/KGsztvXePp2ZCXhjZ
el/vW+fRM73DtrLwl2vtdh+O+105bxvz9nh/dYdvfcHibZVFQ5z1Ar5AfW/MylXp9v1gf9v2vWVa
8PnkyeqIoxKHWBvrzqUvG9ci5J7siPNh6nRtS17zCCcbcqlYqo6yHGgTviYhpfWm0VVq1pX1XXK9
d6EaxUYPAw3ELdCvgEvup/3m/qqtBRRmjk2/nax6Lx/S6AEIUd7M3yBnfnvOL2PyxaovHH2t6+AI
L/ERrLjn0ZyLXmdxBtARxOjQUQ6/OH/PwN8AkGiA3h+UjpMc2OC14G5tshchat75fpDL+Az7Jceh
9t4OjPB0nxAPbC70meDwUeyBN9t+bHD/u451v3Pcp1eJ0v3xASfwa235L29iUKqDyh3lBiSWgRsX
zz2r33XGWEQgZsxE9Mds6/pYs9ws36P8FazqrI7NjHdBCJKPXu9Tvka3fQ0wPwEQwYjXpMiX8qiz
e4SI5cynjs5DkNsuzobGaXGvcFPqvXFQdTObbbDPTe4uPQxmrhMF4m8QPDAFp9roW0xQ44DR1oez
NMF7bZb2T+w1x3yt7f/KHIl4VSBOA+cumox/U6qnYULJ5bWQh7UX5QxNzEDQe7iMEtMvfN4xRL+x
RCUoHWEcGguMdM1fOReNLTiJs7tES1MzHfPQznUxsnJjzJy+ZpzHa2pgTRG/hha5vCnxrTIY8uf0
KrJVi50+iPKkMTGuvYL9aSUIK2dP8bAG+L50orMRrNRMZKviqXK+aUrNCMvOgBF1zto+A2g/gZRG
J+oaVxjIA+afde4uUV/AnlAlNL7O++Pc1sBEVkoVNzwjqgHnSYoWvQnSJFBXl9tA+AjkLv47hUPK
U8j6AJLKcc33OEJa1gE0yYfe6pjlbtWDL9WMID7zXuWlcDeOXPTD0kSdtWd7A09jCdjHtEA43hvM
P0xI9b1UeV+Ao6tXQEvSVR26KLuK64KNhKKK03NiMDhCO+XPIQjTFBqr4QDpCT9Fo40CaUVnnLCX
iD8wTtimSpe+ll2vgwVbqgYAsnu5+SqHWH+pWBlK2wLUsy0FdSMIikUtnV74sq5rkIOVGRsLVylq
kBMRENrx8U8oaX4AjJ/uQ9AKLaZ1P9lMVnK2jVojG+0o0XsRkOe2jT/HllMQzElS1Zix0k2IJKIR
ZDtq0ExjRcZEikAdUyQyiHfUUC3NtI5i5U5mOsu2tZEDECcUEVjyfKkFEZSqpJNPxylG92XS1RJv
dbNmGJXKRM8ccVLbaINPQfsNF7Dmqwmwe9ClLLOUoroLyvaUR0ucruEHg/1FbV6Z7g841EoTqXu5
58BnnoFSYwuU8/BYpkkFnD5TCjdM1aYzu0KoH4aMD16nOGs+KzkTecpAquuJcWI06GICZVKpiUbp
xDzPOJKOctObwtgppsIScDoFRR2DQL/QE9APtn31PYDsSzAVjVWpCX2oEheUNMaxPUZS4uPtxyvb
osnE7xKCI5yTyzmH+nPOgcOE6cNk59q83IPUagrR06wJQX3GNYEDEYjs2dd44JHESAlAzRSHFWc2
AOtPyNgmvUwbI+cza4Z0eGk9M3P3VVIc8jxMn5QmZSkJgCuP7Kwq/IZMY1o9MD8S4v0EKUKMqQgb
J+oLX6CM48Vxo5VGs+8HfpwV4IXgO1FZxG0lBrbJbVQ1Ym0zIE9iMjJe+YpZpUE4pGepYYmclEqk
GgB7riTwZdCwU/xh00IuuSVVWfOCachJ+JdlevvXkDoAkmKuboDNVgbAaViuNy9cLXTgDFQnrFcQ
NC1EzVWxAv2BPnWZlRYgyDVVuTOQqZaT6pgkosZDpcUABz6X1ZFkVoYaQOCrQ4YQnFnCSMexA0dI
HPLhjwKYJChLqlFxijgUBCpxGoNJHo1QeoTVsJkAxIPZRjo65aVJaMddD7VnztOAjdW9mgNuzRLy
iCGDoUyySFGJ6T6GvjKeB59XH3pM40PLN4aT5uhlpiADH746ECNCNy1CipwK/IRaXMQa6WWSo/iY
caATDxQ19Ik4GMhltV2A8TMfW4xoQ6u+8lmvYUUhe/gNbESON1IFQscgjnD0G9x+CZEaYInQvd/U
0F/yweoF1pLCSIlWpwyYoaFPXoQ2aRKKXHX1OeTDsBW4bIxAXqKE+1wLjdIq9C4w6IxV2/QxBBpI
DzhOANlnn6dVHMJttXqhvXGllFcbIW7TDnnY2J/Myc9Ciy+r+YZnCueNsYDkAyhVy2NRKFnrdrqY
YraSiJvVdMTsK236EpQxbYsPjSY11WmjZEIETo9IhDwt40Hn1EAR7hmdHSUKIj7AAyDaVPBWA6Jd
+VIqvwchRR8aGLSqZmhG9CvhqAG+OJpIQaifldYg7ptqBtGSkI+S5zzKho+iL5MQ6NxYgzpJOC9q
akSoSWpxAVKrHqQj8yaDQzDEptpxPlAoJMlVOKxGTJXcmrSJlzYxcJqfLQScNAC/fF6xJKEMIhcN
sDUIkEYftRu8B3vS81IiQCtgxEJ0vdGrliDEowLJIaPHO1memoLyIFR8U4WGyaBFb1lHjGrkDSsf
AhHMg1GtP7RxjhgzToJ2m6th/BJmpcY5Wptnr0YucdVWN2rmTPzQFg5o2phAsCZcYqcsM3QvDI0o
foDCSyCaXJ2ByRqFmH4/tEE854cA5SJVqqZePZVMdaaBa56MIuHukBJO0qceTD8gB+NbJqBTUJ5F
iKQAMDt4/TcUpPuRSMLUfNatZjQWUgTRx4C21KeRxbVExE5XHsCO2pRUz7XqeWpSVEWkYlAUClSx
BPySlvGdoyNonKzUaJFRjoKhzbay7Nfg3dGDIne4KFU7Egcle64SFN43gtpyqlMro38YBNw0VE06
DJqTM+1zqPMyOUxK2TU0S4ExeOKVCtUKWfLLwhvqQvcKFTJH8EQaC02JpWJCe738L4rOZMlOHAqi
X0QEM2ILb6oql2uyy8OGcHtglAQCBOLr+9Sme+FoNw803JuZN3NZT+GW1O6B6LiG+GA/IBJodpFS
Z1UvOWR6xdOXAetzLFMUTLzGrhtwM9yJWKbSIF6L3NrkeJDNRBpBbGKBRXm41GMZhKDIZROZ+QdC
6OxVt1vzg55t67igAyyBk7zdzad5q6b11ktvf+kRaXaXqfWpgYYk17A6h/POvr8Sj4Hn1oYNeiNC
9ngvkruwXkaik8LOz98ZFTm8QtTk0JwSZVZbCG85ftaJz0uoeNH4s3lb/CuyoxeViul/khBHGV4a
BY5bVIFf7XfJZEgigR5sWyr01dVvwPB5f5LrjG+ebfAi4ljS6XBfu77OXmybs4pG6WdLaUffYjz2
oc4+cZ4niJz8rFFM67G4yyqfx3dRpz6e6vPuIZEe6qW7xssYq7Nfm/rfnvT7eJZdkj0hKPpATqJs
60/D5g1LMafbxAZtUYudKsBQc/I2Ha4EPWeeTzBzxP/lutYTeofQo6TZjWmWe76F/+Slnase5mCV
zY1ECa++7lVu06sN9PIla4XqSluNs3+ZUtlPD3Xbeg9eVY9/VJcMry6xhPQszYCsIK3HtT3n9bLh
BTbpeL7LjziWn7TnPtwRaoUrBDYAQJ86Cm1wwW7dvgzxYus3HfWTeRLj3NRfkmUJv8pFCzyu4c7m
h3QJneU2d5g9MWU3+e27WnYfNDeuoJmoPDhuln1yG0k3VKmlW44FYccyrt80ZuH/DjuMCtuYONxu
qGDbuqBwz4NLtUwDtR41KEoeGdmGLlmn9rL2QUu6DdafZ51NYmT0eNmSWx3iiPp6qDxsTmKcFL1a
j6/HW7VXQX3yXYVVu5/p7VT71RB/ymx2dKdjXsf6ejRGowDFBDG/o6GhCQ723qpfXp1n9VvFHpKF
5yELO22r2HwqrJ76iWpBZJt707224WfFU+mTzfbo28Lq+BlWaTBeqoN/bM1Syxfd0mIWOXLe71Hg
7U0ZMVDzOnv18TtZfNGcyXOTLxLm8F5bQa9i26F/q6ukw/Zzlf5rtAtI4I9Ll7JyCMUfAIXmJ0SX
c6+y6kV9UbKeKB9WkzQXv1HHWDZr0GCPP+q6K1tlp6bQVAyPJHHtv+PBClFs7Tzl5HO1FWK71PAN
DZdYVJDCF/OnYS3/NCQKTBepV/NPDrr6OmU2mM8TR+NQRm0iyCwWzOvBNpm6PVcyi5rCHhKa1ymL
x5iJ/Llsu6z+3KE2onDxp/CZOyQdil449UM7ypxizi1NhWs39tHeH1jny5q3XIitbXL6j8G6v8GS
dS9BXx0M+y3yd86p9pGKaDkYyULEzoRSI/8WqiSlCPBStTJaELnHvJ0behc/OuQ57LgNxqXJX9Y9
k+/jHlTXXoUwOl6eXPvDF99q3Lg/WU/ZFyLeqqoc4oqwsMia4Gfe+CA3zTp1fI5FxHiKJnF/I10t
44PqNW2uWe1Py7mZ1l3dh6s/2nObENJW7P6BAwk8fxyf5ngx22deEfV3Kwyw+oALG2zTNHr3dUJj
fE72fnqvwhUQvBGU+cUxEEJQeM3OPN28hGI/L3ufZ+fe6Ib2bsJ7imKkittTsmpfn2hmDkXpfkAU
AagzxTVkzdiUXpfl01+3ZbzzaK4bfDK7VnZX2+XzwrHF9fNI+6XN1XSJvEtq0/a3yLNxeAp9M84v
GdpMycbkzhquce3Z7sS8N04v2RANpfJXDF9sDJTi1x+VRhgN1Gj+TuJjSUB8JgodCGI1uTvT76tS
ybdo6Wg4xngjs9cT3YQ+ZrHbZ281uSy2tO8TOACkduj97W5Kp4keLHQ9HueEk5qgZwPhTpBOooDf
N4IiijSM1oc6YeJaJpJflceb/hSurcyprAJxP7XrjlIyRWhbHMIbj6L38x2ysc2+12GLa9es3Irw
dne4+iexyp/2SMdjMUx1CjG1Jn1axLPsCYscPhw7YUbc76rOBh/32XzoTs2SWs20x6hedN97f3yx
ZmBsuZVYIC5mUCXedJgXW9aTplRt8SpLTPwyD9sizvFssrmYvHqvCyPD7NFr8qQtXQxRUjC0DT8y
LS2V6IaM/Z+BusEHIrbxw8SfEXZnk+GJGTPadhn18q8Nt/5z0De1OovRsCW7VIm2HKia6nJo+yjD
Bz5LmKHoFM+UxNY9+37TmYsfctBwokzZF1Ze82a3RoDV+U3tnYJ8wNt5UKF52nddm/NwMJGMLRUv
gL9Db8+yjv3uXE99SwtlBck6R9gPpZ+OaivTbVWf1xRyoQ46TFEp3I6aNna32ITbzSfDk1mEb0s0
dK/Y6qfgTC3lsK97svzkR1AI8XT+RLwTu4HQujjgZclw7P920gQEZyc1x2BjRe7OeXo0v906H69L
u8XuFFVAHPwnXffAmzV43Aap/iwTmlbeeua9uXCIfwU60v7ZN13KnGXQR+kpRHNQFwFhee+c1rs8
9XXXL7cqa1x6EnR2P8RQxT75bql8ku2xp+fcG5ofjm4VWGhNlqSYRsohnHwH8cRgrsKRYHCcuqHx
2vx1S9ZIX+O2b7BeTBN/PW9r0pKvxxF8kzCpKOuNHoIijEX9I4hjq+5pJnRASbiCW7bCo11FWHkQ
ZlANkz5nLqiDcx2l/W3cOpedsfdqfk+Dlc8aPLq5hVMfTbdJztP4Nub1wGW9+rMuN6sQkQyTlDW5
Vcq0F9EcS3wSupf2bgmk+Y5nsuBmnBPMmaUcj/LjCs2K+PBH2mCSgJuylvEY3I5hn/orWcBLdAka
6l3R4otbakxjDi6PKCBh2guCp7TuOLl35c9PJgw0xXXvhex70qJws9Ne2HzSJjDrQ2JWGkZGBOFH
EMjm1PoA+DfGjpsDn5Rg/TgpQ6ZkxybGMLlZZDQWKUsQqH3vKl5XGI/2NDd7LErT0gecwIbf+ev2
K8M2IE5NnazfDqH1Xi6T0TRjHlTlk/T8GQRmAY4q8p3pjvsoCfaWimox4kSQRsZMFyshLAMT1wH5
FcwlFFnWkWVQ0z5PnFBzqB7SLqz8k/a34XOUy3wsaI447Q5fxVG5RXXclVFWo3fv51pn50ofPR4r
Uk3oMwkeCTj62ui8BV1/vKlNU0uqj6GWwkWVN5XzkMIhgLBD3Avak7/+ob0fx5QswSWlul64NPs4
IiiZ6fZCpeuSP41NnVeA/X32NJp6y4EJ90BRXfb8DFKUcCTRpg7FbYgS+TMPpuM99ELHxIf19n+h
PHZ6mWgNMCuPcasWlate88ljxW9hz/2XRTXX+Iqi4JvXCUt/kfTAXzmQ1cROVu4yCo7oIscAh1Pv
YM7yQj89Ig4b4jl9XDH4wgvdDRkBIWHLGbsS+S7OQ+eRENK4bJ3Lrdt9UXYV/h9ls6fLj2hW2OQ1
XW3igvYatKfZ1uOX2Nboj3JRCnyjkvDNTm7GmGymNsLuNGYz66zREdbyuucOzSP52/Zprsr0o8IH
HDSSA3yuow85hl5VuSwB0wBDPnCObS3NUyWd59F32YwJn7DXT9XmxHEW/j7WJ8JFougp2Kt9KXuO
g7/D2Od+YWNfP2qjIqDBVs/fwiAZsIv1j+VRiEm3J6fBaYq2wdX1Me/7tLmlmZ2DS+i2KLx0noUP
bnqp2GRBFdkLXM+GF0ny4f3Wh8avT54Nou5mOduf86QbvFPYpgBMQElZW05HotunxHld+7BFnaqL
OQhwUDEb6UZEV4k2Lt20Lr+jZgnGUzL6UpzzEEFoOQayFXhrxuF/gkFXvs3RTxaDdhOH5yOqZ1Na
E27fhM3sZ0lcLbcA1vprGdaT+emtXk71Oq8JLt5qINBTNR2xTlswpt+35AOC3FFC3unc09vdqP1m
KkcXRPrsqTW55aA57iQZCwgKVcvglq00IOc8H2R7VU5KUUD95JyltSc+T4tHANLUUFXpwu4cDSfy
BSPmQx0XtufAZ9baDK+T7Acg402n2bVbcPUsOworUVgndgPcryMGdBh9IqOki0VVBrL2AZclzOol
nwzI8ERf1hD3iF8h7tJef0LMKcH0TBM/zPGUmVtdf7QWU7+zxSquCMTuAJro5TJpljKY9mw6rSrc
f3asMk1G+dBT9I6iBfjMm/G02bC799ZUeohlvAgQhpeIaXvPDUiZFY8PpMAA5eyApZ8xVifXPKdr
uxky42ciKnd/A/uW+tPSrD6PkKwICjCRwJ7n0O1v0QjOwNr574A6vTsFmGFSMCmGPillJk3QJeOW
C7F9VG0gRYv4F7Q5JuyetrN/DceMq7VzSP1PmHj46kYhInUZsEZ/Wz4XVYGLm+yaOXDh72tkql9U
ZK4pm25vSfccpzGcb3oPiHLPJl96912gpu1yWP5VwCTBwYlonULcfcCmPvxuBLCQW112Qt0vzCVR
c/rWT0F/v9VDypjxGE8J6ZTMyL7Xdu/HF2+wdeAX2+G3YSG6nOyXvUdAPe27c1BWa0XoLqhKCb4S
JYU/aHucTF9haZsBEX937U6FpHW3vRLLXX1PmiP5PVXdob73ijLzeeYKSb6EXNru7qj6oHnmKXey
wfw54WrDpy588JMqrH5u2hx8MDWNn4Jxk7ZU+VDrkv1lMTeLsom4HpxCfhgGp1gMsRJfpk0wLlD5
VlKc+Hul3tzYbxxrUuKyS2nkarGVw6Il5gliTrGzrHwR66ct3md9V4eLDjC60umk3gbnBXyL0abt
U991nXdKKHP50ka3r8OgW1RYdEv2z6C6RQCQQxbQ5iPykOknEymigqrm8OWlqhovL7n3NtxFVpvU
6/3SeVnIga0a7+RRrW732IMEX0HHl8cpo4G79lQRxJUZ2yWP7tjMf/UgjGMgXMXL52jwcUmIGidB
sOkWab1zLWDp+ZvkneytnW5Luu/DaZ2z3d5b2CqO6Q9/CSq3YH2Us3Hj++zSoQV50CnjuyDwTH7O
Y3wb9tWXt8Vq9MlFIvaluiLs7YPz1FUCHz/MEhoSag4+12o9/we1btoVneh9nD6ETOCDguj4eCYS
2Mtt9LFYkXrj8VaZZg8AdvN8pjJNMEJXazoXcWBQd3khkEfZLzYdXw090nBuBefoiWyearpgkV1X
V+ZDoq9xRpXCaxOtd2qXwf1sSDSlhlzHqrLnAw0Z8bKbHbq7JZ9j9bAHYk1PTUda3intF9l+2w6O
xLuuorypwPhc0AQF18SS/I381EdVdwTp3VLHS1rkOhI/mPINvktvHt2fdqmz6jdI3Z69cL1GNCFO
fSgTjaRIagICpWKtM7irdqCKVSA1lPaNd5vjWAN0mUbjb1oBbcEKIFZ0O+CYifPjxkll/PLISRX5
Z6w+5IOXNHK7NGOmnggzn5DFeUdElWbmA0fBxoRD2U6jOl576pB3r6PAK12aDl8g0aFycGzVzrvP
29yKb+MQ4oQ0HdQSB8ZYw507+DzlKHw5nurZ19k1lZtOnvItaPESGfv5v6CNUhS5bhv6YiTIK70J
fI2fsm3u0sLNS3BOO7KGq7BV4XmsKPnOkZbHw659kxZ1lSOPjEl2/BM2vZ89Wj2tPlgUQBhFarqn
JQfO3OABb415TXS4w3No6TNg2fUUu3UvYyDpXUgQzkU0tCIhUxVWyeMunET3pfkwuT4PXor8c7XE
bUyrdq+W6rq9Q9IAvKC4G9NiHDUdUVP54TsvUzzTYeyP/bKlP23Oxyp03Nhr1h6VKLJUzj+OJF+i
QiYDJVczpVHNKsgmRPpjuwCQbiZ9CcAxJXhBmjH1MU1iLwABHKkGW+p96YHcvQIVZ8VxrwgfwHix
pn3OR0deBSxGbHgazTRKxh3NLppCd844rb9sblS/DPDdc2cX6jDPN7qMCau8awewp/Po6PTKoF94
pjYezER+oPX/KRlESxGPU/B9aDz9qw57by1Gu8vXmAIrPq003ft5Do152XAfIc+LvLxv66Ao1Uah
kvPRuInUxo8CE/4i7d+b9KApl2kD1ZOGTfXeD2QFtOoDqF9ovM87ooeWWnbqtlOz23Y72X5Ic/ZD
bN5yOGgwqqV1KAkBUlQ5N2P+3TUoK+8Giv/PB0OEb3Vr4fCqYCKdqdqsexo8AwQduMb+qquMcr9p
B4QbAcjZ/ay6Pr1sgeruqnnDH5gBqQOPCqBMviONPGvUi/MbFFBCQdPJ9NmBAbxzOUS/0fnADAnY
cDi26oi/eB23Ox3TOr5HvEi84CV3euEZSShDotrwV7rO4vM8TCMMRjBNfemJxXKIRaF5X3K/egli
/BfEcuRfnKh6H2rHYkYdtAagf1gHELu9DcwLY21Jd+Z0pCqRdZ18W8Otaa9Thu17Eyc+cTzwUJ/2
TRHA5fWOEN09X2BndNxZU6ZUgHd7HkuN2WW+/KkzOJAC8FN+TetAAYQBGr5iBaG2M9L/OS977Xxs
7YJmjspkoIimh7AVX7px0X2G5VtXTHtrfze+Yo6SSxmgNki2abtRQ9oYkB4qu2RaXkKajfHeXca5
8p+navKzYtvBuUqhd77vGvvbcjUjcT2ksDMTtG+hhEu2w/61t1X3bxvzSZW1WjJYpG5JvyhP6QiL
tki/w/aTSZ1v9MClmgehr/zq8HPdxO1RzFubX7uIigEOomLwWbbtq5mOcL6b+oVFFZN1pGkScX1j
kzt9G6eOuGgiWvq3ZpoPScRmvqtzsmISVfqRE7+PLmLwbJXV9opAoH+WPObTWicbK2L+YDVoipfv
2lv0J4CB+o+zzUzrSNX2a5mi41H2IRCOcOm9DD5mV+ySJ29R0yRMbKgh/af2I8zPtltT9bZHUG2s
QTferQvLyvhx+I3e4gMytxkaM1sr/TCtzTADuIUz9ZAf3jWDq7LzHCUOJVraN7/yYV9eSKbjpy50
y+4CPrlX5b5F+y8vVkpd3GrG76gkqHpEnbTpibLSwzscPOB+Cx2WmttW4/Gv/Jb8nF66bbx0lLxv
WRMd0w8kpysJNibRs7xGHhraUmbedPH22kwP65zDNKeR+1hl3WSPW7qFTXyDrwgb6HJfyrt1tCSN
7elOkkezeEd464ZcfuvYajFIrUmi/8Bil+ArQ7WR+UFtWaOu2HDxgf+OmkvodTooObiDHwDwKr0u
+9z650FvCy/Q7KlHG8X/GjA/Q1y2rgHODUigl+TZRxdAOdhW43SfHFSypxBG+EeqoMZPFWeUf1ZD
HyOZgN5HSk730d7oy6qtFPtW5ZfjWHBminvgqWveBcPEfJmbACmyTf8VOQQUyFu3vGc0ZYLVnvIi
LcLFvmRDLL8HIaREHH4wzpSvmxfcT9T25hLJFRC8kN2kvqoakua34I+zh7H1vbY0IymjZxLbxAod
UcvodBAe57WFg/rITubgL/zEmRbnD2M1dwSBgZ9znlTZc+LS+N86Ob86LyIYg6J2bfZTEHcBFuGv
PmwwTPwlTTpvu3UNcyLIoWlIETP5WCC7ObbkappFAxmQZerN52TbOWR3D3jywnhyOp9ZdqACcNUx
OrrDKQbqrcdGVc6Tz5Hu2/ZpTjTYaAp6ghIiRl1zT90aYxDW6grD1jZGQVRx5cpySOJWlZEJHZXr
JJI3P8gPwqdGRyuZzFMPby+zaaPZyxugtMjvhwsyGKbkXYzkCNYzU1B1qwi+9mHwwXMMeOzc7W6r
skILmwac23mylEOT0/ysVPSi8DIg0i2H4y2B48V/7OMd0ci4LjCS+zLXJ1xKhPsa9oYbX8ht8c5I
p8bu3rR+x8I8Gmgxi4wiPduUrrXkQM1WpqRqF53wTW95Qa6T+tTLMNqf6m0OYHgN/Nxx9sK5O87r
KF3zvJs6xdVohoF6TiKEfw3nqc3W5w00bTupRB/NvR6t7J9M6jf+1cZDuN3lZgOul3Pne89Iqvbm
1qZDntFu7upRzLpeKMK93HZfAfB6S6MzGv0aGdf6DsYnHtsvQZX0+Z3QGaTLOnhJwhsGZv5WN2Mw
XVUgwejzw9++RLRnadHgsv9hvtvMw2l3+eaueaUz8LvOY/pce+P+B60YcBgBwpm9IPMjAw+0MtKX
vj/EfKkcZKuO3fafjbx1vQRepfRJaeH20jsMwRtbrBHoOZ4LgoXu7lk2dq1vFgNX7ie1VfsDwruF
SAkBM1s2iQWO8IGgQC7lpvJy/QhfLKk/NuaQZMicnFwOEFmxmHF8rWUDUs9Fux3noE+Ym5ja/ENY
5G+pu/aTWH7Q5dQv2V7Dh4RZO4fljI5hAvnAfuu89Mo+Gnj+4yK9qa4xUaCw+N7ZbGFCrx1FdeEj
I4RTA+wvuWljvZzGbdQ5qorwyIE+VDV9yjtylwviobbu3O6axSSXaEdUZia9fx+QKpIcZ8LZvh/8
Sv0yVyjzzmsio+bVrrDn32vh9TEitAoD7yTQAzX3Pkj7ZBgbeJwIaFq+BeFhR/yW0ondZrl8y2pq
MY+tgxkr27HGmzQvKoLh2jcpYWjKKma8ABgYchdQqzmqR6d0DF2UZX1TwGOk6g6t5B7fqxmZ7RnA
ut0v45ozC2rHfA8uVKgiPQPiKEYM+OTVnWtr8+RBYumbY5yle1tzwKx3X4xNeK+4epo/q8rE8hA4
xpaLLvOT/ea2Pv0U6GxprnW1y6NUjQtwKU0RojxW+8CMNqpKvKrW4wCdazxx0G9DKrRfPT+LZhIb
Mp1/XnJPrD/iMepYXXG9hfcHdQ6Gr1VsTGn4sfJ0LFsHHYlgZMUXagi4tfoqE59wV8ry67rDL96G
Ycl7sNKUaq5cZvbPFSZ4XotIhnFwwcayc+cpSqqcVbZkCDKSOW7uldhYlRsiq/06aT9Vf4PJP1r0
WhFCt2XMcwknNuvd+yriXibnbvWq7opKY+9PXmKD8YlTeXgeZcA1qINs3J4Hfl5+U2YfqndFXKN9
9fF359G5rqrHfqsob3dp69+Bx1z2p6DPOJlTMGrvAfaQmIIBvBeThrEJuj/bnoaEPsw6Mud61zHs
KTh8dde1AAMoNo4dRoqDex/Ox74NAfljIlm+eFA6ywdtA99HvSnQJAJSV83dSh7mb5CITXkFopvI
nZRxVVpYOLzhboUJgE3OpQkvnsq97ZL4CRbsLuxEfZ96egmvCSnLXzJVtcfNc13YXK2F/y5mE1e/
+7RGnrMydT7AknBt6wIsBmAXyQvNBv3xyphV5o3rCWYcNb5nl5TrI+eyRpxmwg8pyZwtN0+vnnlg
myNkEIeM+//UQD9WuHAKkvOW2zA9xXZNgImCcEyxTdtV95DqzD7kU0cL6BYPW6YlPuKdKMSOtBef
ePb24rkewUiU6DguwzlB8cstybXqj462wFTU0lMPC3vVaI/3QlL0mMK3YvFOUilMr9cqRIDXAvpA
YyDQYsImh/o8d2pKux+9XvyfKp7sBOZg0OGhu8hNYbYs+wFDHJNcJXTwRn+Ex5Gbupijr5un9jOk
idyuu4LquetU9LGXF39n73dyT6Gt0p1r2sTpVE69MeRTHr6/0LgxAX7v1V7IIjgSwO0w6bujGOOP
/sqsYeTQrahA3CkGANzNO3QHJStrCjIvTqKPCmKmF2X8OslPqkI2QRs4COyI1qMmfnKc539Sk2RX
p12XniXcysuhU9CafFU+Y8BVdrxzcjBpNNGHvkQ5ZOh1qub96+Y1DPjnWs2vAPrjUy6mtqIFmt1b
i6HHdm0nZY7LQHN/oCacor+K1ZQUwDxUNm0QuRjK9EghF9MtQF2Ui+Vf4s0uvtXpGvDj8fzoQYdc
i29Hlni/IFGWFtXdmL7ODqatXPPOyLJSC4oyU/v2EY8Mi/sKFUpwC1ye41W4OEdk5r403/w2D3/Q
nY2frUTjXaxb7velRW0c3Ay02x8vjLsR4XgqTemTrl2f4F1nZgqzbnrE5LhmsKrpEPk4iIOvGUJA
fcscGqH/DHD3ijQwY9miH5ftPTBFPOF8Ka1frLsWqMpq1vwZzdi2UAGGLLjeTD7owpzufzM7HAQL
kuzqXZbaoqrYiZY/rijJ/E+W3dOfVJ5slLB8C5inJKJ4NXMbXjEAzZEGKCHDs4rA1k4rkl3umThy
7a3ytdHAD/2irkq3eP+xXZmsztKlA9IRjX93RMLj3syiwWLXIJIH38/RKZqRIBLuAi4tFAZ7U1/S
tRNhaUOKDjbYrMbz4ofIEfcUApcW60M/mIbrzmiaRrcEq7AFjuSOigVeWUfDQ23k77dZdvZzg1Jc
AcVRQWCG1eGEYYCWtzOlcXfz8jwYH6HQ8y85/P9wzuLVQyc/yzQpV284orsOOep+D3PAbvAOZNVn
2W7UAls0KXSsHbBQmbb1RHDgmO1fRUp/VIJykk27pQMcfj/npj2bVMZB6R/Wh+WT6/RqOuI0iyQT
6seWJiOSWmer9Baugmc2+/w5WnrxN9Gd94YkJ3u2lUFrMM6o/e55GPCvvQuHoRzTzaI2nwReTrQB
7veSTYn6vpvRH4tMuXAu+rSrk2fIiqjBSE96MoRmqeMgvBvg6Fh2kMsBKny0xmfjz8nxtRHAtwUI
VIsl9RLhctrH4zpc5vRIPgd8nbzUiWmnTx9aml9A4nIo5TG1cxkpXb9WnaGil6yse4gS1n6U0FNe
VDvPbw0hPaS+OMjE67LUHmjn7FffOe8PcaEEPaqTrEagOTOzw8vsUL3/qLLI3aJjrtHaukVRarcL
8DK/vPe+Z9lh6Dz7lqEZu0Vx9XOBCbp9hEgkCDVYwu6a+HJG42/6/c3z4sWVVgB5/FRLZOhXxgkD
PnxsvQD3fU5ioIzevcjKKTReqSF/IhuZK7lEQWj2e8kR9wUeRvw2CerGu0HM688JDUVzmpKY3RWi
L95urckkI9LZ7OyLJqaIaKnGzc23LN6a7cK7VRyDS+S923nK0nNXcw6X07Ak+/2m68pkaDvi6NPG
NIdFjGUiRhzbJMsLUITDXrK+ytOLbXv9Acv0+c9sDMR/ag33ERWwir540szf48kj3ZIQJtedVVqt
rlzbQ7zMY99x33LSmMuQdoHHAHuNxxQCjhF6Vok+qj4jyGzn02IFVmWUHcn0BpuS4rGnKUTLbEux
lPfHEUR7cdL/uca2ee7mJiI+K3JAjcNAu/Y5zA9ipce63VHDbN6Eu7haRHj6mPSYQDB28x5uKpxK
9CHVl41grBEBbNvWXAkcZGc6Y/kgs0VwqcU1KDR1FQMYwMnDN+WPyx/q535/1L0Bs8k2u4qzZ0Ld
3LV8hb9LMvb9z9hnHARM6n/SzqS5bWXJwr8IEagCCkBtOYmURJGaLFsbhOUB8zzj1/dH98am1GK8
15sbdwoXCzVlnjznJDfPqu8G0AqrrnlCdUnv4VWjgrBdO2ETJN9ZwBBqNhlqtxqRwON+y2ucrRzL
Tr6XPI8HczDHVzi4iVp6s4K/VIleNcu5MZ3v3WhVatNyc0Ykhk5lPIvkpJKj9MwrnRe+nt4sNAyH
pIRr9lbX8WjsGljR5gq+XlTdxPgKzo9zQClzGTkxqAJVXvDgNSKaLN2BJvvNT8Ig29y0njPK62Qc
8/JgiLrmXhvnwVr01kB9RNW1JWA6CD+xbtpJNf4KgmDn4I/T9vaDKkcbW4+YS2A78y7QfCMYIrh4
pezDq3puhmQT2k2VblUTZO51zxNt7MCIKYDSFZY6vCPsVqx4HUNzE0hFfTwgGQPz8IL2IWo02bqp
7OrLEJbOtCgdj4qvgDP16Og2EisewxTTVImsHWpFSDm0zbyKy312yrtyosU64VRt9xso2IJf7U/Q
4unCMUKwmy0uDYrhfX5V1UZh37Id3WA9tuTxy0AAhC8qlBb2Fffg3C0z9LPGVpsCFl8LK4zPm5S0
TjcH4xUTh+oxrdu6u9dNatnrYjD9N6eBcRKlKvVXQ+6HP4PR9q1F0FpRtB/dyQCQQZIV3koskd9A
NvRbX7ikwMloKu8hJds3oZrAaEuuEsplUIypFHaPPvonqBhh1hB+KjVyFmfXNzdN1E7hblDQf7mn
zHBYmbVVTZt0aDz/1jR9ycs1eLI80h4lpN963Zz4e7HjNt6rbZArsEnT6WUo2kRcCVFDePf8Uovb
3pmp/oz5PFl734YAsxGunAk0hJC9W65zRBZVB8MnheAGCpaPZXilokmVEBoKUYIH2MrF3TGeJ0Yy
IBnnmbaNvRDAsgGnVyhkyBSiy6eMkmO+yQAE5mXV+JK7QWfJz4j9Bp+S2qlL+iPabp0ZeWLwzp2a
MMVmPFjf3cRqEANpa0C9Ro/3Bv+KJpzBn4nFhqGv30rqYL/0ZOeICCXGhg/GOOVBuCgNLwXGKKf6
KYlbUxOEG9IoblozSbii0qB8qRG9UTzqzeLbXI79U21OnfWgx4BWUEXZ5V9lnXX2ss/awVwo2sQ6
X+ksUMIcjWDzLmQ4ZmzAeaiAEmOCKbkcRjV5G8vDCAOtjjsXm3Fqxhtp16Q/0NTm8DCAVAlS5giE
psOFuPhhlzPAcesVLY3VUW9Y2boZvPnLFGrvmCFWqomXZezuTeDKjGbPfhvc9jKMvTUsrijZ22ad
B/ejlc9WTfikowwmA+HVBIGyGL37CYpz/0xhXHxrTCpEazw8jHQdtnBduKZDl4cWfGFYBHmHb0gu
VPiE21zSb3sBy5oyzzhmB8uXJ70NmruBBJBeGWs/NXg1/DSMf1BYN4H3IA10+ujUmMU9ph6GkUt2
Iu8L9GrvW9vE2VPiUuNBSZNlwLLkr2LTJNphN/lhK5cQYdtbSr9kr01hZ3fwn0/S6rGRw0KKSX2r
XXPOjtQ/iZ5GjJaDlSua7BXcyuIVoxYJ96dTBcoJAfDeOzFdkdUcOWgm8hPB2YzE4N3CR6DUlnZu
AzuKJCxdBkmUaN7lktq/r/ivv4F/g2DngCIVm8iBqkTUAdGeW6wV1Qrhp8j2Pn0vxToi4oUE46U9
pMjUtLLhEBAxRrvBjefuyjTz+jWmeo316mxNPXm/6KOFG4fVr1GNzmtoViXXRC7iZdx7ybHwB++r
QAry6hpxDRExQO28Eq7XqFXeFchDa1Ekr/XQGeImUgKdBFT2qF/LQDe7ZGgV/Yrhyqlbqx2i7mtc
q85fcIRdenpQTK1XrhPBcO5sA/ZvqS0c+eM8taiFV6P3QlhNA1EHUQIuT36ALg3GP3xI7U8jK+R2
/njSbEzhgk9PvNUnraqWyL9bkyBd0X+zbDIxfOsaC3iQrvdjsPXs0kYzqk/KO4pJBPRLgxJSiP5x
yiT6OK++V3Vv7UEr2g6MNW1/5KPnordRIKHATcho5l/ES+OXkWJbtwnKknB0E7jwZ/MFudSwkk6Y
4vJGfkfybSdjt/Qin/YTTVXkcuWHNTKL3A6zx0I7YQl1JHPqZdvHFbb9ojcK+Bp+fo9uk82mZW9e
E6j73so0qvCRDge2cTPLTNSreOz86a5xwozYty61vdKA/AEhmMNdxaGA3FHXon2hlVbjLDuXip+P
VU1Phc4bX/yoC4eXeZwBo2vpRB3UrtM2HYLE/gVcwzrE6C/9rUmHU2JvjjWrNM6WXFI8VKyk3dNV
xIaZtXIr28BrYzgBHP58CpWqwEKp22iqmhDqI/NmijTSdplF9lMVVBX9Gz0JEccJggY8LTCMjoZE
XfdE4TeHk5OiQQD/j3x/5cp6uKE9TAwsypc8kJ0nB6f1kRSBRBXZUhXd0K1pnW32i645qaSVYVLS
jZB72gvKmvIGbKR77RPRD4uxj6d9RtIX8QD6/niV9yfKJlVo8340+Sh3fUvFYkdZrS8xCWzyH5Dn
S9J0pfI7PmA8gtLBbaUMEln1RuikoM7Q2wKBEbRGNBLFXB8boyvTVZAWZPyG5keslV173y2rQ24A
FAoLPbNlRygeYD5L584ZzTfHIatgJ5yonYORkT6aXm4i34UkuATW1C+Oq5233IwL/hlU+6VNTfOW
NDaalwVVpy+BT8i8tIe5QDrQ+cl9g4hNLDxYi6C8gHML6OTgKzxKcH5LYOYf3L5VsIFJj2SQJRmt
zRj5o1goK50474HGCpxoqXP30Wy2xyAypmMoRW6uKFFn1ZWT6fF3VqFIWcSqpX7okaI+U8con5Eg
8Ux5VpqorWhg4d/UVC5/ZImPamFOrF6tQydMHrBV7Un5K6u7UyVl+hMdgGd4bKrs0R7rVK5xSYM5
GcxjfO3Tpw1FXm7i6+KUyiX5F5af51zBUan33MEG5C9fSQ8ugTCi8tWGj4QDDiqfJv4ewYiEsMiO
yK6FbVTDqlZKIxwJ6Ldwb5rk4Ue7yr36mrur/43rgF3dkmh14VWVqfxlpAuagt8VF81TXNqFsYny
1LuLwCd5WyOThWUikOp6E2gEKwELKkIZ2xT0SFNb+0agiayQO6WjPayzHCTzy5yp4DiMFPZugTrN
h8T00vom1g6odmuVVnQ3uI2qb/zcOhGzOy3CdToSvSNESuYfyIipH5HnENiQBlJ4plAcfPMaYif+
D1/9tlxwXVY3LGiLyDCUdltIh9t6Hjy9zFPpHzCXirp1P+rmfjDoorxTVIvFV7/2rSe7jZvvsy2G
Cp5SV4YLOy1JWSEs6NaFQJElRrjoEk0fQtf1nWlXm6k536CGKbx79NXTo5UnECLGuEJ2fwrM2uum
dMORZUyR+aH2oJo2prFnrOKyriBQRoPlr6WZ8VhApPK3lAr651bm1gvQS0zfoK6NMVZvHM9bBmFQ
v86eZ0Hy7s3JXCD6iL7Xs26/aSI5DuBoI0cZIZ/+lERIlBEbcJwl9OixfxmMpKOU13Erbqj8WPZt
I0byYjRF7W2K+BWJnA64jkjik5WeitFeBF4GZboHiCh4E2ZKhJ1lm6gmcMd0NrZJnH+vh0Hro4tq
CJafOwQPBqhhfxidQWPOYJHa5KDuBoRbBJ0+tlRGDqkmQ6TaLs2qqK2tbYUw0RJyCnc1UdjTy8oO
mqc8UT36uQ6ZEJVf11/3tmXau6opSko2oVt/K2ujaa76LEXLGnZduhJ15Djc3n5ewc6nnyDhlvmt
7GeTenReFgCusZVtBXjvScZWZ2uQCdVwfsY5W/axJI/rbBluh5TL4ho9vA+/PUqM4SvRTobtEsWu
6C6BQNP+Io3LMdFIfcyBFmCkqcu7Hk53JSqCL4NsIc/mLbHEwpJyqB4nW9vw+WY4pfxcT6VfiEm7
aIe3V/8zCREoLSAsVdwPpWt9U7kx3SXmxCYsoqJMNn3Vlc9jPGaPbpTOQBJDNb12PNY/e2gqzkko
1R3zMDLKFR7dk4Tdb8Lqdb1RPSp/gkOoas96ScPydBVMrp8tEd3lKetBqAcPEG7lIqpanHRaG1rY
SvM73cXEXfRF4TUB46qOgi+tHybRowWfi/o/92r6WMkxfE4yb5zgKrbdEXS4LtmKM2KaLjC9fktB
CCBeBW2mNqZArrsoASB/uRNx5qqx5viunXwUuijOGhgvSOOeUjzofDi6EusWWo1OiGymKH1t59JD
cDkY0FV5Gr+bHO96BYk0f3XB33GfQovYrxBz4GOQD6a7pEQ9vOAQN9loEeP4gF+/pvmeZxrmVUuI
uYcbEb7ARoJRr8o5xl4V644XJF59vcGiOKiufFhPAUTxJqm+z7zjxGBmYj2SZ3rhMrNyuP1m1NT3
cE/G6BreUsC/doYx3zmYyxS3c5p122qua3YJJaWIvWs7EKEpDLzg3M8SuE3b3yVzYb/WEtLpwqX3
MSa69QDUbWgEPRCKHFhTQMPNk02S/gOlR9ZeZX4tfuPbUcn1SO8nugJRo6drZh+cVqOTEQx7TM3m
jgqfOSvEImVJgbcqZWEt3aScsE9nAsadW8/FFwAySj+BP+QvXLr53UhMYC7BaT2ipSbqTm3uw+gH
N0AnFojCRn074VpBwVjG+hq82FJbqLBZ8mDjCtAzzQI0sO5ajzBRJ8PetWFnceWVuIhGFSHVIkpS
Lpw+VY3z3OPLFn5HthKEV7nTx7fQpywNvoizEZsWbkYJYDluAVeqatuEHbYKKoZEuXRkTE+tyTZd
uZxLd0AboHL988Sw2vdUEcyrufEGRcBeTfXNCUv+HmFYkUBRcK3nREkNdj4OoXcoxNBUD1Sr0Jhl
3snawIgSUd+lVt4m687N1dc2DiZMh4nODj6VJ2J5iE9fSzEhaullPlM0N6Ipp8XxRIqs+6SnAlAE
aQ5ydOJugMKzETgKFRJHs6+J991qEnd5MwcHnHvi20446LAXXHB18pgh29N3jjvkgiitjVF+L03b
NIR5hwkLacSmiCvle1B7O9W8zRn9+OoV6C102UXm2e4wbuj32hvdPXR8UYmjN3Xoq65EKKMMTQ96
wCx40BMOC9WNZ8EMJlMk37KCtYOiXrkIVFCHRzu6+XkGfZuVSA3i1DqsvjulM5tkgLCeVknUlwjT
c8f1N5FP+5x8VdRSYksae0TfOED1Zv67bIIKZiZV62HYG4W29SMc9dlby2IYiLzMCBsFq2hdf9FZ
Yvpl4d1SXM8+AQclBrvMn4bIz8rrkJtQrTq6T7xqzJvMY0M9/6TW5pL3fhp9NgRH6U6ayo0nE41D
5Ril3S4xMne+yq2B/s8nPxGAlyHIgu/z5NTZbiqH0Nq2YJ7BXg+Yf17j+sedKZs5zFaDGbvjY8uZ
phFx7joO2gwcEb5UnYznm8ZLlL9HYYTeSpKgouKiJgoZQnD6W7mAkIcsa5FzuhRxKxKSNchHbTwA
niDdGRMKuNcGFpvjwsQDhtMz41GAj1EKOSdo9cQfSym9X5B5Dyegr6If5pDlUOK0EEdMfBOY9d0o
ZqTEmjIBvIv4WfW1810iouG9KAf9IMo5p6GxBPKcKDAiFkqzmMiGdycnEde+WiSuPx1tX9n9gQIV
bxgn0n5uLI8WnAFn/K43+h7DA5ZbXxuq1j/GsAreEj7AvA4hhpsADSA76652mh9ZOBA+DnYEEOpm
VJF8a+DPjPx5QDlny/lbOQeGv5VJadRbinjjlz53h03uOLK5aht/7O/yscZ6xYNV8NhrgD7IEyiB
t6NfojrF/Wdgr7gJ7qc9O/BuLnhhb0IXAhDkSW4HDINif025u97O2dxW66Ktiodp+vPeWWJ8rixK
catahtQyEdDkzjJkXHcZDlqMIOUqQWtSdfa49YskfMF0JCJr6DJ9i5wVx5PBTot1agvlLuBbwFWN
FGT0BQBuV2y53kvuLLvH/WcOw3vALlEvSNuB6xqTDOwEXAlr3aDEfKSQT4HaqlLjMIUhwG0dZEjX
/V53v4fBaUlPOUDlOoZVQaoOXlwAEqJLuwuQiPoYPxSi241gKDfe3EKdHunRTgNVPHzkTWeVHmTr
oIFBYVKgrThQ2RivQ6tsmFrgt/OtdAFDEafXfr8cGrBp3EXETELSYD98TGtrjK68xgtPMq2qMm9l
j7qAAoIBblfWYz+uzIyMa0n+a8KgmGIYWW7RICgJeowWqMvFi6CRVrGSSTD8gkBP7udDO8UkM3Q7
+6po3AAhCe/1VYG16LzGHUw9hBWeCSucO/p7c/AodHe+T+IES499lsJ6e279yqZkrJtm5dogzhDo
zPoeA5gIPAvhQn3rYjT2ZSqG0b8r6Dr74plTvUqk7Ppvk0XhGzR90jFxL1V7zjfVWuSyGILCcqx7
vaC4Y+ZLbEIxeBExUOQa5glMVwuLAWgXpGYCxWatXspT2rPyFT7B/GKnzHbanv3n2nRRPVO+VY9u
aU4rpOX9oerrdDNDdw1g0zvtT0T8MHjQh4DC49NHsjED/pprsnjzgN2MPumVqZYuQCATFOtIuMXa
QOWEdQdsZJiEMCcQl5Yz5XaZ1elLkg2pf+OlqTHC9E7NVRY72AVo4fH3ulS4nA1qmPcVSfuPArEB
UnVjiB/CuVYSKR3imAU85M6iWgnDeBML6vzsM93cFKbwJZ1PdJ0/lHYAjpKbefM7F335VgAN8wvq
3CNJBzGY3nqV1e7a09V4yIC2hkWU+5b+5ZgGhSSLCv1VIBJN+6ZJtI+YSDglynEvIytqyzyDL1BZ
16NdU0lpchUGu8JpvHmlKUSVa6+T9NXx4N7fiJPR0Hoqwv7Axdona8pNcNEE14FxdercZt2VWTcN
N+gBkE0MOJCIXRWhENMk1bABzaZ5c1xXj7foRrRzBL/WNupYhB3uqDGU6o2UI4fWMDTirZN1SMEi
2w2/oxuI4QU3emgPYTA6zd7qxhM7rRfR3kZDER6SLsvsvdn7I2UTBC1RsoHN4LFxhwRhoEAD/CMC
A/6uUV4cYQ/B+Sag6F1sgjSKR/5eFnsXgYOxI2vpJergtkjXFbWoAkcIhDSAEhFMtYVPLGUsNT3G
kk2dkjhxsiJqg8uotgy5clLf86+55XDyVJZxohJhrocbTT8P3RFaPkbmbPzSw9IkmOH9tUsV2Z11
CBpqBuECPXE08KiFKDTqpeCyzh7AgGYUmrQeU5uh1UGx1SpBnkjJrbM2M96c9s00UHo7IcGSzcvz
uyI1ncNllIr259BV1jGz8bVOl7oD5dlPNBrEiip3TJ8rM5ja6gaqTWZ/FRhKUApWhjHcA1GF9Rc4
kyGCahcugb2KIb3AiZEUCcEG8VXJv0Ru7/xIuWjggFjUKNy5t6n6DA7mjxDb3HQ11JDR4YRTft1k
ZdL6u3RwevcKr566udIDAQsPIkwOvTTjOilhPDsaR82xjrvrIs/QJId9be3HMTADDUodCuttzu36
Vuag+19daF3i2EJAxOZrnlrvIS7byr/VSCVBL0rDwCd9ZpirCtmt8VXYTV/Qz5c/7TF1wfu3uqop
6aOBkZDwEIkndraSflDdt0aby10HtuBhwSTlYyyjACt4UxJcV8kAv8c4CSJzihHmNTFvEO/GgBO7
DVmVh7YWZJm6brEayFwvfCXBHJsrbDO7Yy/dqllHg9P1kJVbI9ihLA7MZdkXE5oupAjCuPEA7zHt
8nXo3/tJKX/EpRFUu9KrSg9+uiYLQeDrvHKltPgLtZTscHMKvD4BbHAtjxJaAzGm+lrMPIAlKros
TK7DMDbbV88k3gYbQAe/LqKpsu4U7nThtojhI2CMhnvUQgHk0SA4jYPkBaOWITgxdZX5UFRNWRzo
AUyLidqym+bY6ArS28ySmTvUQgExuzSUVT3ZXelQqO4aQI9+wPFtlTWhnR2Bzcfx2nIg/xi95aAH
cO3CR8zW9TaR4qiGPabT80/b61UEObeN3y6Y4L43uJZYGMIlUabk+ZVn5qpJnwkP/lO7hz3cRY8y
zdYZTDwGhOJkLmYjeArmdNMVYudt2+WSlbrgviw+cif1JCQjk+YgdAk5+wmVk7vlqPkJdLWbsLsO
1hiJrGCH7LMdDSuWweZid4GTge25fyjtktXJ0ttCsnhmiGowrT51g24/pNW07ms6oNQQsagKD7QX
RE0AtUJzqyVj1W0Mx/2WI1zbmX0oDwFCBf+CFfG79hFCajil9Lt3TSxUz53MVYebTlgU3Z7yx7qf
tnH2Swdfsem6sNjvrYZP42D2zsfG+8c7+9LzIDqJQqnbe/dj+1Qsp3Hn7pWxbpeueIryfb2ygqsM
O4ZlQTfHQ3apM8sHK/3P+Ge+wgAgocRjAQXqdzLqsqWjqVoj6pt+qv2wgWC+pXISik2oL3xg8eHM
ATE13bElcz+fuRvRis9sO/qvlMu5u5txzSDZCcwrHAg0D6Uq0RX8Ju0Edl6XJ+Jxu5us33IwNmWR
XNjy778DAJxpnpb71Gn6Tyf4v7yD6xaZZ49z2Z7qziGoNpTQ9nH18PlqfziIoHkD+9t1xPmmokZr
jSkyhr2ws3sYfTdW9xDbj//FIKSqlAGIzOR56/EkD6zWsf1+j5ntF+2IX2jX773QumCSfT4XjgUh
CKJAV4MrKu/svDqGbkxPlXgpRS+1eJDus1ddGOJ8hzCEMKGY4CasiBnFWc81UfaazuIyPsBGLdt1
jajU2dbpFo7F55/s/LCfD3S2FQmhVesRlR3i8r5NHhL/t9RvdXf4fJQPvtg/0zk7ahE9C+a0FvGh
qd9k9NPTh/lSk65LX+zM8FmFSUqtki+W2sumO1g8XtMaGrhTX7g3Ls3lbPVLY/TDMbLigxs9++rO
t3/axYU+D5cW5fQT/jqRWLGNtu75XIN/VMEdi2LGD1PzH56W86U/a+8S9hZSK5NRcBJcpgKzDO+r
7dz//1b+tGx/TSVCLWBDA40PFgKUxPiFiSDyywvb6/TJ/35A/3cmBJaWMCUn52wm8ANKozSd+HDy
IltQOLs2W+S4n8/kw0XxKMYrHkUHrtu/MyGRg9VMQ5RDWB48HGVjLEdF9LMeygsDvXseTtORigvG
cgFSLOvstLh9LsxwStJD1N6CbkTNrddh5wyLcC6/TQrUjjoXLpmbWR5892uCwbeVecuRykwIA1Nj
Bvb51M/N1M9/0NnZGtvZngyfHxTOcp1ighYpSak3WNVGibCOZiovnw/40bf++wucnTFaYPhOAyh0
6PWV/J7jL5l51DUvfunTmp1vnL/HOTtos1sBmlZBekhwMc1gLqO3gx2E6Zu+wlRPI8BMxo2LAuLz
+f3ZkecDe5bLq2cJyN7nO7bzEmGiDkkPOjcOyCfh1R2x2EMPgH2f8Zg8uG9kiv1tdu3cZpg2AYNf
6jPy0Tf2bO/UzYBgz3bOvnFshaqbYPAdylXYrUODXiro+1V+aaqnF+TdVJVwJDoDRWefs288Cc+H
etimh6p9APJd4JmWkqSJb/7Cvbc32GpB6EuXFz7weU8PV9K5iXDGMQmwHOmcXQkJFK8agGk6Suw8
TPLYBm8IGjTH/YMzPIniBmAwBrDp3CtPvo1VejytBQSYCZOwcgvqsVF9duFXvXujzn7U2WXYRtE0
Yvw2HTvkl9P4FGGHoDEY60AvRLH5/BO8uxRPgxFbW9jraEnvjH/vqxIPUJX5fAE3eAD5WdT1r/98
AIc//9QaChum80wJyBKKkSqn40AVz7Iw6ja+fT7CnzDnn73DHP4e4mwORj8qj9R8OhIPLRzvNrR/
Muc7O1kPmHdTFt9hBNJX+sI6/R/jkom5riIA02dnA8wXB8S8n45JfteX3zBFXBkn8Z4+GB5mSG9j
h+nkpe5u7w4kk+UzunQIpNEJIey/C9YgaKmo6c9HA0vpNkMgwZmEubK3wwtn8qORaI0tyDZpkUHj
kH9H8irfr4egMo92gAE7xlJ+vMM9HKLUhQ7WlwY6/446HxM7SM1jh8fAHW6/BnAl/rkc3HTXTtpb
fb5hPhzPleDzf5IZ7+yNngAXyIhH8yibZJG2j5r4CY/8Ktt9Ps67B1E6J4zAlhJ41JXybKlUADcJ
3ouJDN49tCq5aqunoKoxVrIpz8hjX5iPn48o398dDOkS24BKkHScX2gZCvfGHibz6Ba4q6a28db4
jveczZR6Mly/bpRtFdcNZbtru5nFT9C+amuDgq5wjG3uspiS1ixQCS/8IM5uxhauOx5u6ho/kUXX
lq8tuhcE2qrd9thTLFpKH0tjMO4yT8U7nD3DbwjNwwsn7aMPaaGFwRaLHS/V2U6ETFMgQ5HmUQyP
+bc44R5czv2qre/KC1vxgzNNbotTJDgL16E4b8RKOcYomlJzvPAOT0qxKR1nHc3XljcuSzx2RpQ6
w4y70zytP1+790t3ukboae5xSboEdv8et6JJJG07xvnoOsYGDwQ8QIxNn12H8Nca6/Xzwf40Q/z3
zvx3tLNPithf8PL187H+ATG9/Tb/FI/mtd7EG39l7+SuD/BBXOjv2W3w1D2V1/Xm8x/wp93Nux8g
Sb/JW5Vy/jSY+yvktw0MfCCjzsfhOnignHBDs0jjTj04q/mq/HIXHTN6u+pds433MLIuDP4u2pDM
3rY8Woor/iJPN8RfgyeYI8EQdudj0GDhhMLqJnTU1o6zryKj9ovbMw5x7VuBXhrl2Kq15q//zS/Q
AK3sa2kBEvz7C0apYMPjPnJsGoPDVX8Bt93542qI1Q65+itiabj4jpcsOuLazwf/aKcR8dB6W4mT
N+vZvdRFwRw3VP2PVt48edeNu9R5/pjNv73y6v810p9d+Nd3Dqm6I19x/uzpYmGjnKcef53N6c4Y
0Dl5+ZfPx3t/s59gI2J1gE7F83i2rrkF7UkngXlkhted42+wgsYZonzw+gsjfXhRAP+i+uUx5vE/
GwrQOZxtM+NOOlROgfDjR9w80RcuRvJm+OWiSs11VbiX7qcPZ/jXsGf7BodBK0tqhjXcZlP3V1Fb
I2Ap92nsP/m+hFO+DoNmH5Q1TtErvL46Y7iOdLIuQefrS+3HT1H5+SHmtQGhdBUWbc7ZThpl0Re4
tJrHfEijK92Pv2k3NGzHBJuAz1f2oz1LBqRMLWhkpM53UiZzBZuVedvU35IZm+YtxMlyeFZomD8f
6g+UeT6rv8c6Q7vmeiwrO03M46A6VF90lllSft7aRv4MqeJukJaxjO3xdq7qe4paN9lsP2bpfBvj
abXEZzpeNxlkaIXJ/sLVeHblwkLSZR4CzKLDub0PIoGLoVHPqwIEEYcLCjO++Bl66kpCb1xW0l87
/QApWzYXLn7xPuCnVIv3hadNCfqpzybnVnEE/bQmKJEKX2OrveuS7sVUc7zM0rxcwp98wxB5V1T2
K7XBfeSF12ldSHTE1hZe9nzhbf/w91i8AIClNBHWZ8EYoScIuN+Zx5ZYYjEoGS/h1toXRvnguHoE
CIruNxbpHljlv/dt2Wn6bSWGOBYLfF2vh6tiWMcH+MBxtcH67vMd9P6Q/jvYWTJbo+Q3LCuQR69G
P1HK28y9m2mxBnPb3H4+1McTo3GAQ13IMqU+uxAsrCCtEkHPEV3I4Gzilfsa3mHHhWD+efyvJqYs
LaVJ8KzNs4lBiJ6jDkSak0E+iqdiiH8qRAOkOJ9P6/3FwhckhOUm11S8ziM+rIXS2ZkYaO4aXFtk
NV+1dLe6CgoruBClfziUY1I419imOPIUfP71RhliysqOBOhYU//+jWQsWgbRkP9wIufH55N6f4cx
qVM6ANVPatM7XypsqZUOGCmHkAFlY5n219ApMpy0ivRCaUCcArh/LzEG03g1a8cTJCJnV3OS2klD
2xIJaaLEEhjWnftMc6mt7T617msGiSCKvqCCxHB1m6DztMIL7dnfH2zK5g5ZCNe1R4nwbK/kIQrC
aqBRiDdBZSfEyai2Z85/sVHI4lybUEbA3TwbBYszQWl6kEeCehNmjA2fUOZL+fD50n10ov8e5uy1
t2sE+bRulsci5RK8NqJ7XF3hgn0+ingfl/LNTiEMM2Lfn9d4y2YuDR9LumNs/ZrgRhrJU4uhap5t
k/QXhKWFndFdHY73/ecDf3QG/h737CtOJfi75U7yGFDAtTP7xh22omw3n48i5Ad78u9hzr6i5ZTW
MGdCHvMCZwPPt1YFvcjWTQ36f2KF0tGj7XdkQfUdZt7RNQaU2T5xk+h2wqLgwq85DXZ2QGhZr22b
t4dnwTk7jXabI/sfAvc4wdwBayDzxWVnEdSutcaCuFt/PvnTeTsbTrvk5prnh5U9H86njOIkNiaA
ffxq4SoOVrYMxntZsmNblD1BdxNWzYUz+H5QbSK4V7bnAO+RZvCj/rrbkNL0yNgS9xhVYmvki/kx
tY7DJG6T+MFzrrVzYbwPVhjHClsTCloksrRt/XdAy49HOJWDPkrRrSscQJrovkp2GLljSVcvqh7a
SfdsW2Lpovnl8rjwlT/IayEpe0gyTzcfcelpC/41Y42ExovtKbzPuu9KH5CsLuz4SkCJS8ZlB71n
xIWRT06XAyO7h784T3sX1RSGUBXmYZ2T0Zjyp1bV6vPl/+jLuB5ZibZoJErOe7b3C5TTUHmEf0yQ
3EClMhvix2uI6T3E+JDOqgBDiI2/OpvoUrvmd2yV00OAKbg4ZdrEU+fN2vvZamHeBsH90MkvZb0r
k2XbbQAYccHfu9241hi01gYmVHq+KrK9io7C2AZRc+HIffAoQeAgiCc5I2QhCf93dVDf/A9p37Ub
O850+0QClMMtFTq33bblsG8ER+Wc9fT/kudgppstNM/MNzcGxtgukSxWFSushSEpIfZPmJm0JOWZ
n5BVqR7zTxG9Gwc08PK5bwJrx+qLN81nuN/rLNKlcMrRF5nSdMDO8E9xpjvlCJhzgC4Y8h+AvpsF
uv4Ej8X6O2v75Z3HZgNsX4J/4oE4Tt2GEGQmGCeT/BMgnDB4GKKrDXCSxhqgKaw6zcJNn4MLXDt0
FsoaXacBf9c0aqPmn9QDwCXlcJMNR603SKLGdl6+cTrjorHkUUuTI3CpgKrNPxXtXIwCuky2b0HU
h2l+C1City/PdVpTQuMJeo2QrMF7G1Hupd6gl09UgYMSnabx6K8TeTP6Bzn66XCAcfTUyqiyAxe/
cEbVPyY9UsimMHxGFrCZOFPkVga3qwGK7AFHtSw4s+xXmBQMgGieRCHroXF15pefKlHvGVAqAp8/
bqNT/hy84cD1+/K7dAe73SRbdKO5HlrVGdtzFWlRIikr34M8FuyFfXSq+zcJlN7t9+3tv/KU1N+n
bCrA5bRa9fD35Q6gI3ppYlC4DN+79u3fy9FFFVleFf5RokNWvauabJzG6NT0L3JVH/UCJilVx1Po
9xzjnK5icaxJl3FfEDjCL/PUMWWl0jdc7GFNWpqt+CFPAEFa4g08Ffm6Httug7lPRpR1/VaT0A6E
aAPmANYYKfpLNeZHPEwBIDcdWhNcJna/gnZuMPsQMtvWrq4nJCG5Ks0PaiRo6LA4VTCoGHY+f0DG
2ho23DE0dYdfhwyvdq0Zl2IopzYaWpBGHNiu2+1gxWs0r4qs9+21cs8iDBQ10FUxx0+Xe2aEWspz
csgfmg2y0xaGl0htffr35haQU/uvf6uBF8LoyhDyleDNm7Bt8TqwDFPcC5vbAq7V7lIAdVWTOT4a
+d9z6e3A1PdoH2CciXhtgS5lUNe15A1AJPUBf9AeMReSYqgF8zcPwx7b9+LdhaaHlfVWeI+k97H/
NE4e6TeYQXG0fcu4ZFce91cL/z47Xbo8uwbUv2XaR/yhtg3UFQzT2IaWxljv9aOJkjJr0FnI12O6
pgbQKDTE6m2g1jm6JX8SkSCXxVjP8q36Zz2U0wPwWdp2EdaD+bNdZHGmdhLXnMUSs2gnznRep64V
IIwxbZzhBGsb3TwWEoKwE9l7t2Kpo8A6IcoiARcDWMIdJHknY93a8yXGfMkpdoudcRQ3klk64gu4
vwxLYjgt1k2gojEQ2ANHTYRk0QzMYifZPnsfWaujbMdUdnGJeS7+MDmGkw5r6QPht5ntZCKYgCs1
1aNxD8BWo7V85vqW1RIZTQRkaGZF1HKplmUWyaESJLNatra3TSxxU1roI3HA/cSwKtePi/kKnMmi
zIooeiAiBGHDYT7E0Y7X2tqzsnWwluzcSuzbNmzRvpwJo+xLpujSNA9OHTYPa5aHnP/tRcRMLYSy
GBWSVqWEVoBDB00M7RR631uDbeJdboUvt9exfM1UVUP3CJIAqIRdnhDwcFKOy0oePeTxGogtdrGL
74uDZ0YMu8GURJkomQMifSBB0nzBauJZwP/aZlvPZN0qpiTKRAkAO+bLeU293W1qEtqIBy15X61y
RoProi082zzKRhXgpkn8sZht1GDJ5uwutW3zv28dbaGydsx1BQsCOuJm2ERWQ4QfE4BeD/+jNlAG
CXgghhBJWFDlAMeB1MQ4xqZggl2KoQ2snaOsUgvS+8yLsaIWXjHB0AhiQLM58YwFLRq/fw6ILqx4
BddKqoH1DNbsfMUNivgmy/IsWHF0BSJgF2DkUMumTget+iiPYsAZQgIzgpBxn/6Ha3ohgzqYKZJB
QKb/qjRwhizSEJJvuA3L6y7s14UY6lgKAwRYGDSZjwXMvSYP5wdOCsbZX5ff0Gh3tmEq5RV8YCCE
UwgG75JgfN9s9uAZtSLY6hDw4xgmSUydJVK6tqkXIinnAJIuGXBTWJh0p55mu8qZGZDkSWvx1vaH
ZReW/B7KwQZeN8h5oGuM2kcB2IBR3mmz3xs2xVuxG3CLtPfQAmsfY2nX2b55N/+RRXdb9+Ae1Yrm
V1Z67IDc/NDDGtVIR4BLbC8+eneCmX+JJNnyO++BaWxns015qwvx1M6Coq/CbOSv+NmsJxbaR39v
c+mAm8EM8M5jGKn5L15JRLMjOjWxv2gNxu/PYl1RUIUEEH3Y3JBgvnxX2DIZTFC+m8A4Zlj4RV3F
axV9oUggKrJCOfqmRvq9qWPhkKYYsg5Q1ldPCp5gr1N/UvxtnZ5EdChJT6DIJT1GvjVOZa134YE5
P5j//oRZt8/WKwRlGANrVoA7E83EMo7ZBwas+zdvjbqqqR+5vWfmHzzPkPs7Qkjv87lcymFPg8IB
EgNya5u7A7J4ZYWWbk77/gi/uhefQzMFhDbI6yzvrnkHJpVVswp4C24ChTNDxbsXpdCrbAiwX7D3
6PXE21oBt68VPIUP4cNsZcG45KR7cLeBeSx4yI4ViS2WoVq8WmfiaffB1QkSbqAePQR75a6xDtVe
3jb7cO04wnEFct53sLr9TFC9bMXQ8aVbpRiqjBFPDDfgJ3XmSp+L/FjjzE+trazrQwCf761nMyIS
ccd+J/zm5K5O+0wiZbJ4tRt9KWyEA7D1wFNs96b22K/mkCZb1+Zo42GJhA1Qq3bDpl/ND1lvPZkG
AN0/wayYkNJhv4/EhVAYrS5/b4NCeYqICzFcPGEbjLVyp59Q3T+128kBCwyCLdDUZx/1J6joV4UJ
Xgs86Es8LBgnsRDpX3wCZd96L4yAjYZPGKzEAjeBlR+8e3EzmdE6O4CY2uSeWAHF0lPmQiZldPBc
q1UO/Ng4hqIg8Vr6fWhjZt5Cu0r/aKwZa5y38cbZ050GWiUpvaRXwuGPtAsQlw9QssI0LKYg1nlS
JqUBV3ya8FiYhOuUH2uTM4EJawIcpbfApb1hrItxixTqIVABjMWb5nX19vyu9xBkpNsOy0vvPdgL
/z89Qi9OjnoR4J2lVWk0nxwuy/wMHfa1qT1k69FCbzorimYqChV6zvwwMudBOYN9Z6VHEBr9nl5v
AYtoW7AcAms7KaM0NDNqvAYT0cIRdRuMqYGNzWosYFXZ4sZbezAC3ElBiF2YGpQHHOHIdTFPddEp
nBkFylLpPmAMKhWnCkbe37wQUKbM7m42VrIF6Guzvp/tgGFxzGSeNPvaGzeFDl1VMBeC+wnnq5+8
bXmEKbTBtHn0XxoLbdLY9Tuk+e7Q8rY2wCtLum3yrFbWZIKrviPatrWSY3IEget/zAGe655KWSrQ
pOuG0kEZcvu5tmvkOO9XyoknLLe4GN2ia9gQVMx7IKymlBxT9nHUxr1wUA/Tp/ZrMcBWbIMjZM1M
5C4Fe+eyKA2vuLZXa6Cf/KYBhcfB6VfdBmy6sP/Z2r9viLZKjrNbjHChARlDbpuQWaWvz/ufpVIq
D+zwFkwHEN9ugYNpInEMpxexGlpZi6Q0OlIlLwTUO+yUicjdzO7C02wWQWNw959eQmcbSrtU2HoB
ePOQhao78qrdk2d1s/fE8YlE/m+PPbRZYmQBLbJoLqO0MpESJJhG4a/bGu31A2DjYS9weJsO90F3
Avv2kS1GbQgZVeAxyMC0VKkzS3vNTzMQOx5AnvgzWOKz1GyeSktYlXtutAG3tC4OuRMccjw0uZXC
ilmXDhPWCdAQmghgPnqD2xEwSCn41A4GboYODUXfqwmsLAtROut1suS4z2VRm1u2Op80wJ46jCu8
2A+GOTw0JNv+f7yD5ntGX4RzSVRIAlDAoZYjrEq7A1j8e/ekrSM4VH3f/FTv2bF0ZBQBPHN8uH2Y
120b81De2W5Sjx/YGYDmdlghyEFP+bFDTKrsPKv60ba+KX3zpAHSCEPm4gmij27uigKtJ23kPc8T
4kppRfg5jnR3+da3cYorzEnzu/9iYIwzWdQJCoCQCcupgbas52Jo+F1v0NDOCGKXPOa5EOrwOkWp
hBiAhL93fjadCOtXCgK82xvHEkOdlVLV/cwIM+9bjNx7twUaPEEXN+OCL/qf8+XMccrZg7gaCxEF
605EYbe7q0/SzrdzZKq6lfwSMublWUuiIshG7EVtAon3bw0Z1Nq1Bb5kaDvrhJhronxqCB+noxwv
wqfO8b5vz2Z5MD0iHMqX28e0lB/HjNU/+k351BhcmbngY1GVhWGbY2gHKC8EawRv/6NCUJY4zyYg
Lc3KDbj+/ZyTmu0+FsUyg/MpXBmnswVR/jPPhVqdGSXhpWefFq/l9/E4P1IBpmgBWd+a8pXx9b/t
oka9TaXOE5o6gNC55MojMZOa0xYIfqbHsEe/Y2DU8gDVwktIVeugBaB7prUUCMiJPIooE/bHeI1m
hr1kfTboAugtzIa/u7hodvn46FunE2trFwKgC9nUEdYA1kwxGCEedq/FvWjHu4kAk9vsTAhWTKDX
2qmTrFh7O1uKWyumDrTRSqkQB6x42qPsC7xcJO9Bg7NP74ejiiBTemIc5kKO7XyZdKanBrCdqCRY
pkYOguXvCuduc28Xx/reXX8x9nTBplzIokx+NKH/WY6wuNYGZywebPE+Iu1aYVy+pTjoQg5l9Y1h
CIHHizW9Ajz8jTc5tAVMm803Gn3J25voAG0T5H5QV1armrxwesJvk4+qodOfbvOsw7gRjaHEZsrt
MS0rN07iFePAFny0KKB7Sca0Aqbd5PkbznxAiL4fQRrr+cr/VXaJD8WuOc5VemZzxfJ6/pFFOQEg
fEuAWZ5lmb8p2IAA+nqO7ObUE2qylsExH1lLCole1blR2kC/H0+trw3Hqm2FSjxEao0RSJvj37T0
R9WYoBNLgkQerbHompRmWLXLjWzTNk6FSBYP8qrDSx5VTCTXNg/ojrVFB7lGi4cLZxzeklE5l0kt
TollMMAkkCnceaf0oX3ONrwtWU8gTDIrO3tOjulTc5Tsfn1b8NJBnsulDhJPkZwD05B4AMooCBuc
Wvm+LWApXMVc0D+7SblxMMb4mhxDAgcsxhkPWbO8Ysd7oGbJ7aw71t2qKj7ajNsUyoteWhUogFn9
50v25fwbKPcOAE0hazBhcOBNbxvvPmLbt/nD7J8A3gkz2lsoY4B2E90mrJu/1EtzsX7KXXRiC1K5
ThIPIIy142O3kfYCRpo70pGEAEN4tFRHsisT5u6JsfUspaJ8hiwUIoYIZk/1cfgAMC15elit7lEY
GFaPPWFVoZaqI+cr/bW+ZwYozaFI4JbB08tUV5P1UZK7P4m1ASYKnKMKz1zN7+ldT77+103+/bQz
0UEDZGphxCaDzAl1Wo5Mm7un1f2cBXkHfxKStydW2oChU7+J+jORciVqA8qns7ntITJyACyKbDvr
BXEN6AQcUqBtzBgAGDWSaKRDreJC8EQps/6ASSLad86dcxeS7+/KrmxQNb375g9Db2Y3SMca5yIp
Nyk1wEEPfewmarVor8i3JdI8zbZ6UNeFyaxoLZqgswVS5haEaE0blFhgECAj7Rye/N+rIb7yn8qW
swrr9upY4ubfn52bKHNamIYQp8Q5mfijnEcMCb/e/Nb+UUbV6CKwTnj/TxtlU7ZDOzdxXvMNSNaV
+QMeIobMxauOKVYDdGsyhgsoC8chxQLcAFU8ZK8+eAk7q3hB220p2aAQvr1/lCSMRqFBWlHEuYyP
KUyFsmeiCFBYIxMz1wEovivAot6BOW59Wwgdqf0lZUaZQUkbg290QrXnk0KICzlzn9F2E90FqKED
oQyECOYWuJoEBB7rfv1o9kTIWG8LKo66Ek1tpcFpvp9oUubuLKf9DqwJ7VKZMxG922RAmTbNn+SQ
f/SF7TtxbTLOkQbAuJJOba/a9n2cNVh49VnbRYhR2pS0T6b0jK4Mo7Ur59ST01yoWbMky5e3/i/J
6HpDgRsD4JJK3fpQ4gLQRIepm0ifYKsagD2vlgGJphB9wrr+XAdAk0wAbrwBoHU1c4SzoPh+h2rP
Ls7vJ8DGAVlIFVHipdNMmpz0ABOvUncAn5e+qkFWDdACW7RHYKSb43caOyM4ZOLVJG+MVXyo7qoS
lWbZUUHyvhe+p9QW13Wzi8J1ptzfVkkqKvzr2zCBqesK8GYMmVKLPvI7kCfyqWsIYArncl3EtFAG
0VFhgmqQVdOZbcTVVmA0HXE85vJ5GrJnrAS5VA0lddNhBB1DkhG5AnOOLqxuL+sXPJUWBJOBKw1Z
GC+l4jNpjHO5U5vMVVGi+gDDXc7dY3QHWDr8M3DWSsJ/1wUw8XvQLW3jTRU4XOVM8Aefw7DCWI8W
WYlnTymA9bd+CMaobfwi7uUHjPiCkN5D4fTHT+0ptoL+dPvT6bmx3yM5/3TqSMC2EsN1tJmrq1Y/
pJjgAWsmSfoDj3Bqx0WbrCT5ur9jJZl/gWCu9kybx3ElDGxcodSEMVihfA020FNNDRwB5ClG82Zn
3QMEzwTu1rhqQF1Pyq9wVbsz4w44MBskBz4Bi13vQ3nTKoxjpPsC/tqLs0+ifA46/oKgG/BJjWON
tmyP385GvV9l8KWfxY+8hudOHYw3rTBx9nD7HKQly4GJtr+3g1KhQGi0oBSmzI026il+f5V/7sIH
badu0n1oVjs/WjX2DxKF5jZ9DB1lc8SM6x16RPD/HdFiJSjpxOHvVsB+GZilxxjvFcAWz+VjM5Zp
7soAwiw3oPsCYD/oIdPXrhP45yYEXaclASIdL30xzB7bKeWfgTOfvuaSkfgMf7JkN5CkUiTMuuMN
QseJY4DfgYEhd9smmBy+zjMQ06efdcMrj13Fs4bFZ52nVBN4zEDxkSWkMzFmj9+fhTfGoIH2vNZy
FxPl8kYPBdEp+FKwNA7cTVIJjsekSmSG9tGPnHnLgbqO1zI6PmXAsFMJHHEUYqFom9wVE0tVSBXZ
uJJVvpYeKjTprITxQbbKQ6XuJGGtoX+jQnGEFZDTkfJfH4H6lgwYV00CjtHl0qUxGEWlaHOXW6vC
QQQ7sUzKfQkwxpFg19HYuKllOwOFUusADrT41Da3L8KS5sGIYhoJuJGoKNJgXXLgi1qglLn7gSdm
aaZ/8qcGsxLhB0POgk5BzgwkK4Po98o5FJkoTXyAlXroE8FC6+mpDMBMD20qY3DhgjQD5HSCAqBX
jrSVb06TrTzHAJ0plX872vi77ehEEwDmMMMeXS0aVJ2JL2c4+8pp8q27feSsrbwPCIKUr2dGpnDJ
5mNCGCA1vMSrQOubbdGZflddEA6+MuZuTBCYIATYVSA9yUzlCArZlmiZU3CEFRpRRcW/lghzAthv
QJBjXPpSKPgXOKEFE6jb80VvceWoEbEV5HUBvkDC5dlItA40YEmgP/WG762mjmeV4MSFi43LhcNG
6KHzV8j6nVBGHm4+vsHz+Jch9LmvbJAMycpAvQichCoH1jwCqP4JPJMo6Rq5XmtHL1YM8JR6XRxb
MUZzQY03JD7ozse2jfYYbKtjix9j8SUrJPkFVKmYh+eDusd8vBYK8BlaLuz9PuENYoh98OwVovJc
ZXWHXkONk12pywrWEPGSL8OcJ/gxgcWIMWm61S8BEWrlGTNdLPoaVRt8bloHUKSYgOHG5MoP8Q2f
w21FieT3fQmSI8FUP/rX0lE9UxdMgKURlW8Y7x6673VWAoAl4HswoI4wkAaIF0F8WbWB4LszB4+G
vr9YRNOjqq0GcIhtfUyk9CBjSwZ7ko637/vv6+3SqGNeUwE2PZo+Aev8a/nOlL5sfVmPwS/tWq9/
RjvboGOg2XDkT07+YCPIXY1RsNLMUcbUN/D3hJiP1s/pZG4xxGft9zCDKJ0l5M001yf8tx7J42Nm
PhYmSNXRmbTdbs1H1nvi2kbhwkjoiUGPKr6d9ntAhUxLyfC8J6F8A3ccqZtNHNwHA8P1XF+LSzFU
9iDwckVvATD9hDSb7SfHGhAiABDCxO5OApX77YOghyihA5fSKOvj5yUcTwxpfm+NZrHRCBpvfor9
4XBwwEKx+f4cDTJsB5Psp5/4ntVJsXAzLuVThkjomqoHXpX3ZKkr9HofnI/aBPEQ2cj39y+8UxAV
ARXYjkxg/jPimOsHyaVoKsjTxVjX4lk0aAvl4keI72KQqd7e3+tA8lLGfNhneg5KGz+FWfGegsQt
25KEDeMm0amZvw5QkWY4HaRKgK5yKYEDq1k/STn3lK69++/VsO22RwBafqGavVOskaEv17kSrEdB
ZAxxMycDtWd8qfqdVLXcE6CzyNBsZuq1ESSi5UejvvQKozK/eEKwTbOb0kCDIV6uzRMreeLGDtIU
TB3Uq1R7ltAOfvuIFmIcgwfEF4wgLjePsPZSyjih/q9nHPeU27GdrvS9TrY/Prp+WUndJQOCfZHR
5w4ICzy0LgWpaN7T6sHjngY/dYZiG9USqetD2fz7kBkrOhNE7ZtUyzmoYSHIyHq83dBCIfPgkdVI
yH8mycTawCWLdS6Oslh13cq1Vxnc0w4ckphMEU/oFiV4X38Kpp3Z5lbdMR7KS9cKISmAdxAvAWCM
2slKKqVkkrHAxOhsFWR5Ct7tt9ViQfcQAApzbhAVTuB6Xx5WkdQNWHRT303U6qUKqz1Ya1sShKl9
W87CjUIdFeQpWA6eHL/tv2cWQteiPuqm2nezOt8COOfOU+JXIws/pHIkZdo5gsgzrtVCVsq4kEkd
2CAPQSDpue8enDtg7QNsAD8GZOA3ZLUhcLbmdu0dE7xpHxnR7u+kEuX4L0RT5kqoFLVueoh+feXN
Z9V+7k3wPa4VYjnOxrDxCR9Il/sE+YYK/G872VIxwGU2K2QJ6/WusKwfRmZ2QXsvvmhWhLMD0DjJ
iJSm9N0wNNbqBK5xhd+Xg2ClVWPWtcjY/EVxMDLzqwqkUiqlV5FQ6J6Y+r4bg1RZtMNWASbXOm52
RZ4yLuaSc0V9WZAljCoj/fnr/M+WJnZx3Qyy7rvtttTN2seGSiTTCcZL75r7zFI8s/ZIg5Ft4mMW
1COy9wT42ve+rEj+5tWM76Fb2WdfdfE9lPcAWy/gtTnRdzEpLrweIrRGOKDN+4nQNWR6DM9IlbOu
hFGuFwy7StyB1t6tp1X50O15YfeuIJGkHMZ/Czz1lyyAjWKGCzUEZB0vdYgbGj4t4yRwdyk5TEQQ
7PHra/ecIDf11a8lFjzlUtSGQsI/8qiceuQFSsejT93to03X7AB5GO+CztHAuMyT0FsjPxBOwLJP
rCSQLEnedeGdwL+mxkZsduhk4knBbbXMBkO2NWT72NMYcc/vA5K+5+dfSGVtxiCZPL6LAhcz0+A4
dFD0AFIsQXj55W/No/BHnCecG/v76e7Oedhz6PA2H0/W62G3fpQ/wrvQysy1Z39pVk96smb1xy1f
jX92kO7gzSStmOQgDlxR2UUiaV5qEMBijlw1I20LbOp8OwLkWKw2opWcRvVQPtUCGd6bBy4zR+1U
BIxk/ELCCXfj7IMou4DcSBj2NY5UAd2B9yZwgq0Ya8krrL4xXCV3cqDGSsg98RUwu7d1YYFf1/iu
9AOY6knisapiC69DfBBgCkAYgqwE4PYvdRogPkMJIMvA5U19K9v1anoR70OTf+2t1PI8DGLyjBu7
5ArPJVJuacxEI22CPHC1aq2W5lhjajwb/yA1H7BymMvbjUKEBEKLGayQukEtMrydMmK7S9mRAL+Q
WvJjdQww72jY/TEhmaUFdzWPYsBqAm00STAH93Tb8y+bQ0WdeeBAfoeQ8HKH25l5HBygOPJmNakV
+n+kbeS/975ZisjvZtEm1eOV6Glgi69NhVWSXAp8UaUGkCEg2yS4IspqKZ0KiuoM8seVQsofENRH
BMzRgmnGDsPv000zvxYSm41cD8gGAA5IqXc3gRi3zMbAxayt49fPYAxPvcDq+JMY7iJ15rs2Q/B5
im9lQXzO4jVT0Z4ZG74U051/BKXSU2HMQHVT4LbaY6ubhr4WMK0wED23xlMcnMaxtoQ8BLCbM25E
PPHVSmT4wN/GDdowor8TlBUw34Bzo74hLiYhmRp8A0qhTppYQkPeMFx6zI6u66ZObGFsgfzA5J3+
y+LnTDLwk0HnSc+QD7WiNz6vwuKZqa0BYorDoMuqs+13xfzKPxRG6njRRyHI+VsedeJhrcnloEBe
u0Uza/WU3cd2s9fW+UG1gvdqLR2nLbc6gvUBrFnbgLQfmCUzWUc+bye93WggADoN3qsKwHEv71jl
V62YJnUIDtdH8F6HJ62yQe4m+lvNOKbx3v/ithKLSWsxyj2XSnm/MFCAG9hBaiCZzuufQ/DZrmqz
Js7sB1/xMs82o6mhs0cN7XuVqGQMUUw7ukfwepGKuI/jy65laN6SddUx3w4+CCjeFbagAWJjI9W8
wA2LVdA8Ve0uE980DIMOOWHt+myp6V2fjQpye5oA4gkqpgb1ZDElEo/0Xm+HxN+Oh5DoYKg9ikQD
T9x/8Z0wLDNfLOY5gAR7echGhQZUKeZCN299W5E/fY1Iol0MwDYxnFa953MzxIB7/tMAo3CfRhYI
vE1VNtNqlRisx/csjFo7dhfMeLKO+uEVkBvKYGUZ+mLkGs1KTdYCf+q9VaQwAqyFZwSGxpGJgYAZ
aJTSsEGKJAl82ZHbNVtOMhvJiu0xuNenr9tmY/471GrQrqLJUBpEAohvL7dWlFtdbxQuceO2sNBt
DJRZIreb8FBJ61D0CbqcGQ/vhf2TUFSUMUoGAAg8zS4lhkKnBvFgJLBTd812dJjjRgvKeSGAssBV
HY1e1kJAfpx2mSV+Fzv0fiDeQ1+x8dR/cM7tLVxeEDLdiKTQCkKDepYZQoBGhjx5JF39omjHbNpG
2fttKQvlFCSmVUmFbQeOwhVLl5CmlViXUepiMDSvSGNpJHpq9t0eYKx7vKkn8tCRwr7PgCqTZXbz
LCBN/ri+/RXz851Wl/OPoC5+gAYnv2vxEWCMt2VMU+X+x20JC7uJGiG6B3nEphIszKV69GKrCX1d
olFrgOOeNiEQUfvy5DO0cGEhcBoyYhXAsIKwZf6Ms6dzlXlJMeZYSNWlzxrf6I5QVYV9ey1LEdiF
FGoxQGKSAxmc525i3HXdVtp7YWKCnScRDmP+Kk2regADIysWuy7+ofJztjbKJ7YVqJSnIkgR2cfa
ozL91NMpKo+Z/yTUeA9top4RCywYEUS4MowIIC7RXEJlWKs8NLosjlO3V0jbxCSKH8bhrWqcQUTj
YHBivcevdAQGEYIASoykMV4u1OF1mgheQTXP3HCMgJCbFCgbr0CTFJpJLDIU5coQU7KoI5T1Kh2E
KM5codasCMR8Ae+kaAEPQXLU8p+3FeZKKyEMQfSclgQMFRZ3qZV5po21FqI/CFxJht99dFX9dVvC
9bNvFjE3PmBOALl+ulRZzLg7gtChTxGNFQFqQt3rqwCoOMXx78XdjmMp41VMjrkHXC+0WICODmyy
1FlJBYhaQOJQoPwNg4Wxbw6QZD75VjH1PQHuA8Hw7RVeP/0pidSJoQ6vDjEnFe6uGHYf4IdYdegG
/o6cjoDszDy15Gttxp9WzrrtC6c3J/3g1IAqyKMjkDq90AvjyA9LF68b64+xA5SQ5xBftN6blRFZ
zCbyq2uHhaKZAgjxcKQKHhuX8vwwV3Vv6EtXXuUodtuBAy6OKSbF98BIal7FlpSk2eWeWcsoNZBm
1CCpDb8S1XpsefI4joybxlrOvL1nQpSIE7NuFpISeTQzea0axNU9i/FQYomhXZjKxWLlCaVb2nPj
cYREtGHHARHelKcwdG4r43X3x7xzwIpHkUGHwfr16meLQpyogPxWLaH+6h/9j5P+MepjuwEG6mNP
ko6lglexD8TJqPfzGHqWwWBALU5tgrop0Hfpou9VI7vwvcydWrZe1IxgtFBNmTNO14mWWeJM2yyK
CCRhWC5PjffkogaudeWiujaSCa89cPaAUOdOQ9YKQwbyE0YMc0vzzC55bLiH5HtiRZTXiRbqGyjN
6UIwsdVgEHMxTdHOwOFWkZImMIHRsd0OCkNP5z28iIEoadQeF5rWeaUxVG7lAMN9x4IlXbLQFztK
WUy+DnQpV+vKLcMN7jWxDo5eEr5+G2JrLd1rT0wOwznkvrUiymJiOC4Wc7+t3Mw4KOqqe+VEaE+U
nkpva9RomyWsVCBTbagYJdIKJW4kqI2UHwTOmlK0n77IdpE60WeBoRuM7AOEPxXRLY3GQCJwsSm9
oVVGYV6Zq2gJxzlP6M0MisiEKpTPbfoYHYhcWruC/5ACIErPiCZsJ89sAJvYnyabVWO/7piHFwRb
8y9/Eu7+by7tzCYghh/bMPZqd6heY7TDucmLgpRkOrepR0edaIdsB9K0aas7EhJFty3SQjwDkijY
I9DPycCnp+4Kz3dSlBhG7Rbta9SanaV2j2lBdJkhZ8FlgAptbiXQENFgyIOyC0Gb6kKeNm4UPUzS
WnP96gBF6kkwMNA6pPlCUOoLWhgBdRkD1Rlwnl6KQk6kBDug1Li83SIH84E+I83xt6H7dIgqTFi/
b0VkX4AuA7CxlX+Xmab98Fh97zBTi+k51oDiUvyBz0EuCkxwgEyheyimcjQUr1cbN2nNAOyfTlra
2T7cacMPTnYNwMrVZOziZqNMazEgPfLtnCUf9Z/ktYoZDuE6HQldO/8Y6mr7Uxh1faU3cKrdFwYJ
AfuHNlcCIGmEYah4EBKjLy2wNdIDkW7HSt3M2kQfjSJCBxBoggWHp45GqAu144qxdSsVrE+eIU1m
WoDQ+rZOiwtuT0WnI17Fc6chArxLDaj6VPJaoK251VQRMASJz0m1mYkcSZ3aEWA71wGgmzTiT7bc
r0o0U9fgf49I9673L4G+i+Rd25p58Hb7u36z3pfLF9DQjHn/+YmJn5SrwGM+arVUHNxKIOqDBz7o
VVfZ0idgjtZg65v8VSCTsTD7cj+JVp/bgnSXRCTl11pm9fEOzeDtahSsov7yLNBJywZ4OW1v+orF
ybz9rQt7ePmt1B6mSZzHgs8Pbk0O0EokGP6gajB3DsxwAaH9lO2Ko2I+JiYiiS+G8Oug7FI4pabI
MoZ6Xk4Dnqx/EvMw2shZxqB8+JiTp08Hg/x5Ccnbu7ISTNc8vrwz5F93Ys+0azMzAx5H8/OLSkpx
hjxkeqkMCNPAMhDb0zpF+2FcWRkIBXxLIT1m7D2TIfbacF1KpW5HKhmNLivG4DbDcVQQnyU1mDTX
qcDqTJKu7+GlJCpKE8FEKYc11uekxLmz/ozm4LT2hFGxBu0XtrlHlvoDkIwkXWF8GxPjFTH5nQlr
TVh56utZFGqv5289c39Glg5qKXiDmz5ne+lFBoz4tH5IICqAPSrNBgrnfxkRsU4oGwAVg+GZaOwU
IKhdbgZ1KycBbUdCiw/wyy+h2WUBaeR93MpEzN7iqJgbPwEJThgqfm2jIFVAXmYm/gasMJUk4UIf
cKACh2UT4dMJHu//bLjPZhM5Kine3yUN3bDenXeUSLLifTKjUjI+4Noj4wNAlIp0JNw+LNLlvit+
aIiT7o8uxI8JOWAm9yne+uThW/5aPWySxxVmBTF5/CEfv9Y/gOJlFeWvJ7fmjUdrEtiGMVuC1qvL
L+C4JJK9NB3d593r3SHcfYB/53iHUlVIHordarU62o8j2W7f683R3SZ2QND0e1o/396I+Xhpo3z+
FdTxC0kj5p6YYB+AgFi9aHVMgBDHOO6lC4fjxInP2BboC79cKloPCq2qi9EN/4+061puHVmSX4QI
ePPaMCToJQpyLwhZeO/x9ZvQ3d0hm1gi9t7xMZo5hXbV1VVZmaPpVooZc5p5fxhzy3lpgTrSZeVm
sl8Wg1MloJyTYiIIOLjRyuMUQ4rw3BwWVZJvY8epfP/PoKj144awB8dyNji58bzfo1iQke3w8Pq6
f/f141Oxf8IVb6Sc/tgTeyS2a3vkSdjaib4ixDSdjCOOD0pLwFdP63NINmZ6QHOs85vq38b9yZnz
rMKkzoaWTLSH0hlCkZkKtAkOW5dMYrwP4fieo6s5UReWedYOINZ4OwAuC32062UO3XEMk+lM5ciF
T6lPFcEVKwNAUf/eH9Hcrp0K62ihAdALgo/XlnJXyNtBiwYH/1FHJAkNgzLfkRYZ0P/I0A2NToe5
i6dDqiVvLr+tWUfgXu+bmJ21f8Zyo93cFRWkasMBMtRgfvZ2CR4GXPTi5Uu1uoVJowHGbSN5Gm7T
wWnEHg+sFOcwhRxpEfn2/RHNHfeL1dGowyjV2cAMCgy5Hd5UGur8Wf1vrAv0LxHiwnVOHUXXG6BR
eTFj43Jw2qgxuBjgUe8ghQvpWppC+u9uvLRCXRKdAg3aIoUVpIp2yfQ4ed0fWfNonfJ1Sx777eMj
eKNa8+1D5MkHSwz0Z9yfyr96Ge2fLz+Bcp3ATrSuWGID5sbrNiOKBjezt6zjI66q1Xg4CQ8p2X1A
EOa8Bo4i1hdcx9xS/jXOCOgLBL6BOtIDj87Bv/3f9ACJZylRo/f7I5zblZcWJs9+EQBVeSh7YY8B
VhEwC74he885t4TQ+z9WEt0s/z0O2mFICa9UMawE4Tohz/tsQicc7UcJGXHnsTt9iaRD7NGC5AEE
K/o0l+jBWPCPC0P9C8Uuhqp0IYRdVXxEPflH7UdyYs/6/88minh4+6GBEnQS1Lng2r5oFG/AuUD3
dpVKlluodqEt4cVnXtIoFgLTA7YqpDXQKHS9anEUikLDtyPwLuC9xp7sbTSfG3a0Jybkzzy93Cgf
ub5eai6byW5eGaaraxBzS2VIfo6OQEp/JX8E0bZ6Z09FS1w0yolr7ZR93p/SudACQSIUd3F9oqZH
bVCWK8NayKrRSQBiGlJTBCggbB7xTn6PwoXszTRt9GmHHfTyowWVxSP5elrTASo/VcePjjqkpInP
DZcbuUDYVyZ80IR8kxRLPTuzj71Lk9RKhnWaZUkljHjsbQdwfAMupHvrd5BXWZ5DkkZPgXtYwgzN
vjqQdQOXLSRU0VY9HZWLo9DxaRSqrTo6Y2RpsVX0LOmjzEiEl4AhHbtrGhPdqvb9lZypP3AIGf6x
Ol3FF1a9RutTrXBHp4XIg0zS1gSIWBH1tvnldC05QSEXFADJq8uv71ueXdcLw5QbLeO2YPkchnnt
FGw4aJdEb2z25gurcpMsMaDNBaaXo6Q2Uaa4kqKlkzHvoYMkvPSTZ6u4f1jCltDc4X/X44TsY+EF
FMSQ1D0fobHWSwRpdPb7St9ayCKt26fCYcwVuhj1wGINh9O/Bsv8eEjgIpp1vvoNzWb7sHBJzQ4Y
3MQiephxUP9eWhfLyhWuEHSaNjrI1AuqVa8FX4cG9FJlZXYRL8zQ81pljagNMJPm+/Y4FKSDI0jB
8KZqzzUETO5vmdkUlAzaZyCDEFCDDeB6s1YNB1nj3Gcdjtg2Yz565tPx811C0+jx07YfbZCrWB6z
iEu+vfEVgNlQMkOODmVUWj+taJq0aWqmddiRdxgp1yVhycsJtxfhZANtpWBVQKDIUhsnKz2/KJuw
cxDR4CaWde2T2+ImJunR/knXXy8QNQd+blPV5Lx2XOKvPzZrEOcohveyMMu30ff1p1CzDIRBrsRe
1DnPAhGOIP8gnIUHHCBEyWoSqmPt1csbeuQO1fH8UCzhVG9xTDiKlzNB+UGVAe/vEMG86rwOv+j9
148csSbjiO/k3deLeAS35eFQ6wPx339Rrb8//vnV/mclKI84RmIlRzVWIh9ekvpYKAu18pldfD1A
yvPVXRcrnogB5gb42a1XS9THqfuq9sjJTFHm2W309fpbNRelOaZNdH2XXlumjqvasJ1SZnGHwLIC
9RSLF6mheUaiRXoMIhelWmvxyueOpXSK022SL3YbL30AdbOOtcqOXYS5FchrdHhHMcY3noS1bRPR
WJmstck3Z3jEpShzJja7GjgdAyr+2EfcZHfbIjQDz1dsPf08hi8gxN/ovrlmTms0y97fRzPJ/Wuj
1FMpYZQw4TMY7XSpISCee99/tuen6OEp29j2SjJfYiSvU8JabwgOScNNJfiOLPLDzVxK1x9CPZgG
qUuz4M+3FOZ0nDvz/b1+0kg7JWj2sv4UGo+rdEuS3e4tk8wDfDg5T203IP1duPWXTvdfPHJxMfFa
U2RZis3PrJ9fwXdRILaSdcsGjzOo9B9/FHNnKujy5wnnbB4042HhdC9+wHT8Lz6g6dshSXysykQG
CCYyRHe4PzAJAQGx4ypfnxhFfzHNDWYg3j/4q4UX9O3NfL0YlHsbBlVKWgb2fbQXut1WzR0O1CZu
qofFwjvylnPu2pX+9Y5fjDVUtabXJldamAlKenvRPNpQcTmZ3Oag87hIjKVNvzi9lHMTqjxvmhwm
gUqQLM6w/bNH2ikuwLvyEXCn3S4x4Lg36Oh/+X4QvuXHpb7+mTTy9RRTbk6JXAaSu9NpB6nBdgIq
AK3AbsodFnoit+63ka7op5cXSFOAQsIUBmJCJzAl7jEngKhj6dfrhWWnCb4RGV5/FOX6ojQpvLKd
PgpKRUfkGnG3I/35uPoicHzBCT4f3N7fgn3fC/09G+74/L89crEHRs1nkmiyGxFxnxCj3u0tBb22
rvH42D/uCPOArQCUHd6lC0dtYaf/OeULyy6YddyIhWWhKGzkq6whz7ZB7elhNFpZy5v3RzoDm7ia
YRruVpZV5ic57JXGa/GxF3aIB8mqs1CiO2GIZ88yFhZ15s12bZKO2jSfZ6IYJnPD3bsryQo27lo8
utthyW8uxId/2+tiMuPkf26wqVdrv293Y0aOxxSEvx5xd6sTUm6pTMCnfMY2WlSwWFpKymnVWl9l
2nSi5GRVVysXHfcJpBhHm4kW8yjT6by3Yan4K1LdPC812BpWRhiQV1xRBbFQfsJA7ceTon+p57cM
fsxwfh9Ab7Bd2LbC7AcoICSCkM2k7kktqjrEVRimiJJEEOI3SG0WuvUY7R/Vp6DTIUBlRw+2b9Vb
4RFViwxHJ7D09GG6rNbqOGH2FoGcM5AR7LOLT6IurcIL1LIO8UnDgxiBCGUPV05sZQR+1LW+yAEp
urOOt8DCVMwu+4VZatnRGpgUiYClAD2VIeu5+pYEue4Wq4TT7x/ePxTVzapfmKJWPVMkLW413Bvg
O35ov6bHMYvgn9c/U3SBYunxJ7d9KrELbJzqw4E3UPzNUAFEl65VPu9eBMB4WZAFteSnrMkjb780
1lt4kDYmSIKMB7QJgLF7Jw9LkzTN/b0vp248Pvb5XhSTzmlc/tBErMNwwlJ9fqYmPm0AoHkBYWKn
Gul11FK4aRFo6hQ2ISOlTBELslEuTr9ijgcg0tDVYaKHZZ2ieLb1PtfFYvvY7V5QWZ7VZEVADnVq
WL3+grHgq1apUbBs2NgI69puXKbUWTc58KpCUlaJjftbgpvGdD2xVxbpQlORtlwX+ungGAxPop8w
hBq2uH1gDGzGBVO33vXaFDW9A3iqotHH4DqdXUnH7VbVt3twYSFm8Y1i4VTdvq9hDEVSeJgp/0Uj
7Lg2q8u2x7hcXw8Kgn5XY+E0zaAnJxMy6kBYLdAYUjnvoEK33zCiEAt6janp/v3dW4OWYCQvw1Ft
yEF/GFPr/hzO+Cgg50EiBmZ89Bei3fJ6g2io2fVh7Y2YQyiLAjD2eXwc17JRWcD5ZjbRndDsyG+4
qI48cwsDTS+iMQI0QWhboPuY3QgvCqaRBidsNkNn5ooMaqJDVQPSBd5Xpf4CYQNJ86Wk4u09cW12
+vnFldzyvM8HBcwic2riV2cQZO5CT2cWQrhbLgXp2hB19MKiVFof3erOM5JsqXFEPiTaPoEnDz1/
2rbSP6vVMYAYIIds46TNfLR3Jr+F/KADuuGVk1nyul1tNu0KokbnWscfm8w6s4QlA3pvl4Asc9sb
FEdIl01dxiAfuZ4WuQ7HOJf80eGGc7otCkcLrKjzF7b4zEMDk3JhZnLLF7PPiVWhlR22G79pHgoR
XRxfMVmZ5mEqVP2eY1Nf19b6vP6IjHh1f6vPuULkA+GKRRXlHpXa6XyRJ3kipKPjuZ5ea0dXAB4t
3DJCgnZIdcHYzMNhEgjWeHA0oySuSNTrXXNDVCEz1AXSHbPNQZKHLcDg8fCo6J+o0b2oWEWIUu6R
PSlXS1ioaWvRPvjSOLWYvFuVZRMjwevFa/k5lxHsKMjy8r8V3FZZIACpF4kn5vz+pU1qZVvN11ov
wYC5XY8W3nytKHrAgP+4FMiAauhLoTzcX9A5D4IGJBlyfkBp4ClCBTpcl8atEHOto7zA5YPSOLMK
0RC1feu4iY07/b69mVm9MkcFO00JdS6vZ1tH3IQGeuLAucklOlOdPH/l1gusGjO79crY9POLgyLG
o1THFcYm6gpjDalRlK/FsfYW6nSzc4jIYELyomSLxuRrO1pby1AJqDunZ+P4JEvRXu2ygvjuIJlN
UTJ2FyYcEcFgnTS+tpLEYUmKjJt2BrVbcVDA4w9+tQlRS13jQKhCZlrQWifoDTZcSfnEZMlskhf+
MfssPoWOJJ/3V1KeiRyuTFKjTgKZy1sXJkV2lZdvzSfDfYqBngdbNiVcYQQRCTjb799YLHNvSPm+
SB9y8Nimq17bx+5zMhxrwCklcN7+RBq0TtONClnQYZ+5jyL+by02ZUQlWDzpYXgHdYHcW/5oJJle
QcRCXcXpqoFS/HncCKhK1t8hWHM3KasX9Ysff8nSV9o9yo0udLZUVXri7uTc7BU72BRhC46TWgex
qzws6dPMXAKYFjgrNDWht0+i/EbbN6iRlCiZiPl2PFeczliNeIyGqaUq8zdNDyJnU1DBzX5K0YL9
0i9h0WYu56sPoJwIEg9DLKQB0h6dIQ4k+R38X5Sok3bVyAs7f6a/ALwKEAOdmkMQdP3tkYsTJrB5
zde4jBy+sCSSQ6Y5h3ibFR5bq7TSVWxvVV/3rXGbOK41xkgrCrprJXjCnpX3P2Vs8GAwC/fGXAx4
9VWUk4nznoGCDL4K9Javkkv2gM1O8FnGfGVA1FcF28Zf6bmz4Etn3A04dVhVBl25BL0LKlhJ5FwG
nXDcO+koY4uyegqB8xQp5QJte+Hr/eM3c+AFTkE3LIpyE1kAFYKhAKvGWVf0jlIzwXOL1ykR5d5d
2M0z5QNV4FRw9IHwEiwidK+KpGU+76qA6SsQrIGOgRW7htb7Bqia8paUijOivIoqvYsINzECAaCI
To87RReHs1xuqgrcdSWzzn2TE6z7M3DL/wluNwU6uED94QIDyOXa7Yaqxw3RqPROiC6o3iqTnSjl
5KHwf3hwYaBYCUZhvKUrw2X0olh5LLn/ATNP0+sPoI96EgZwyICOJ89g+LLeO/PV8D4j8vC7RmVl
DV7XwtP5t5YlybDFv1nKwc2cdLAATIDpSYoXPd/XE8AXLR5bJZ5TJbDryBa5nQF5Tes4EvYoH7td
cKrscLNeGPXMFX5lldp5dTeCz4kHcGlbWzEQEyQ6FESAktHTY7L6qcmus3Zfig5Ya2dv+r2jL3zA
3Ov46gOoc4a5QHgqTq9j3AOcBUqf1ug/eA8QrbNxf7BzM4zCtwjSALTTgxTzeoaHjGVkb2ARgaL/
TEKhon9Ox6cxWQ+arahLh23mRhXQawcgMZQwsKcpzy0jVEirnhsdP9GF1+YjAowCybcTkY2vl5dD
a6I9FtSJP+cywkiXpnXJ+vTzC1+u+Eyhdgqs18UeHJzwmwIaf4jmjmQQ9AKhDIhdorXi6/yTXxyW
hK1n8DhgZgKGGpI1CihiaYhDHEVylNcDoFWKVex9jqjeL4AAWx8v2djdedJxbNceZAlZ8/+9yFeG
6YGXnQK+ph7vqXDNcxtPJry6U8SWZLzuZwuvt5nwAJ000BoBKBWd6Rp1N2lF3jBqiWdFLezaT1H7
LfsnTVkYkTRzFYn8lBZQFQmUIfQ7rcALkas13A4CeR4g6yi9ht/yb7/jLLDd65JVkPfRag1WH3fq
qvvgoNS1ArRh1PMP3NLFrjV3b2hz2Jir3c78GGzOFCHbZL+M+u5ts/ld0mGdOWaiqICMnwe5A1wZ
5UiVtGW7MOMHJ84fQFepFYYWodOmhuAMgub7qz1TFoKUyIUx6pSVaGpllQDGtvuj/BEboFt3iPJY
r79WKxNd0SCQZMC5zr90iw57xnVemaZ2WqsJDSCY3ODwqwJhUUA+re33875CF1n8rK02H4wtLXiw
OW95ZZPacF2Vp24twWZCimeFvIb2njvkz+GC+5h7rItAYCsyqEeQIqA3dizWFTO2mNYMCbDUyHQZ
bw5QSrM2HrAV4i/Xqk31NTGKI2Mrp2/pCbQXT0tyPjOlMKzuxWdQd2Lrhu7gd/gMEMZz4PE91Jhc
fjO+muKRcdpP9Fr2aN4D56t95tBPKC1sr2n3UA8xQNDxu4wWC9ANUEssulWGWcDJG7KfKjxU6uP9
7fsHpr01gMcFj+7sWwTqGI4opvZV7wDO8Q4FSmPcic/qBth9GXCCGKr13qo0I7soDWXlnFEa0Yzf
SSQA5GrMqUUDYw31IGhVkqVTPD/0f76MupfxBC7YpK97J1DYaht5knqQ1Ph8f/zT/N0Z/h+2++KW
qjutFri8hBGXf+N5r3kuUkSX6FpK9/ctzQ4H7W6AuoOG/Sa36g1oXGgKTLQf+udCRa+9sHThL5mY
/OLFYASpktrQbXrnuRn0BAIQWNJjbv1hgnaJjfZDWdDfNmfUqO+Pbfa0SheDo9eK75mR+7P8ym/2
1iQomq0egxUCd6MwzDce+2P9q9kxqipLmbXZJfzHNp0ul1NBbYum7Z1WltYd+8xqn6w8mvdHOHfP
XgxQoSI3tmZ68BNhM3rZT+0aSv/CBVboJ8a/YQYtJxO1CDoIafrjvgKBTyv0vZPnnq7Wn55gtfm5
wtP7vp25xw7ihX8MUVslGSPwqPBD76hcZSYpurUltyTYQRlJ0bjtAzgcBUimhfyvECp6Dua9tkV5
ypVEq1B62+PFZ61PFnbwZPXmNF58FbWNBAlgeI3FUo4oYj7xlRpZflwCKFkDf+L7RfQwtOJnyajC
ApRwLsCRJFQ90EOIvk1pOlkXJyeBNIgrMeiKrvL6oeMDsygehvFZSvktqy1l3Gdg8ajuoNWAxwsY
7aF0IrpPGbz6C+Rl3QpgmcCQS5JqQIyTCiJ647dYo7VvE7/UYHIBXUf/Kyf6KID5cCGfOXuXI92C
XoA/RUX65EhSq0G4Bijg4jfxXl1ONGLBzNp9KHwoohX2ENGBqs6ovS5svimtTy/zRGI2FdVUEfW7
69n2fb6FyLPHAuzB6hnSxHvmkJPk5L74CzmUuVwqaCyRN5MhcQAMAhWupEPfeimfjI7BvXAgNflc
NSh2p6R6aRZ84EwwhhsUQjwoEkqIkylLQiSPpZuilhHadaP3RgUEHDSc48ellw2Io2/nD+hpdLxK
YGEQkWi/nr8mqsQ6yhH0a1As2Wv96MpmVSMZbIHemFNJXNS8rxejK/ZWzCvMZ9GL7uuQ9S2zYtW0
l4k3PQxJ5ONI6JngS6CRbWUm++kFv46emhTChuiRUEWPsB7A7zpkwKP0UZG9CqCjskAeIoizPN6p
tRLIppyLWmZmCbK331Cvd1kLanKMigSrmgW6KkrsYJRiy6bH3k+kSXIMHcvm1FKaWmkDJCvhISzM
mBpEIQTiRcMQGH3nhbLdjZ32ICRtLBwzJevjrThkvLcv/aBkDNlnXIFAuztnV2OGOsoWxAp8eEzS
WipflUxps1MbBqVm9zXQkquyioUcV7scACM6drFoaX0scNssH4ZywyeyO9UQeFfe8xxboDmlcwXO
SuPKe4IP9PtzMgRxtfclyVf0EpzfULOTChDOZmUQ4pWniSA912QxqE9R0uWhNQIx1qySTFNLQxzz
Aa0ZQwL1u8BlIjDx8DHbmJLLC/6aK9U+AK1TwUZOJsZt+iVJCZDsxB+RJftM+JyHllnkZox/QH1A
zB/kpNPEtdKDmP9BKRofPWVDKTCEr/kiM+NKiQdMfdkHo652SZa8p2Csks0ACYPqq1Z5r/wSqybx
wF41Vky6bjJR6zYew0jhMxht/ND00QUbP2VRyEcFKSt00kHRIAnlQ9sqUuBAfsFDGxtqQGii16I+
R72nbDUk5T2vUaDrXckp9+hlXTMaMf65qEkhNfhrrqWpE2nQ8DW73Gu9bVUiMfIbe1wQd5uqjSX/
wDSNLL3hl8kBj0iUrn2vhbquIV+Xak/xGA8D6SFmyJtFk8SZ4RYgZDZ5zDS+SAuV/lCXDDSjmyHk
5ZWXxUG4a3jNh04YL7qRtEOChgm2bumy6Z6JkRBbwYGo+EXRYb4VRrFhSNK2WW8OQZZCED5zqyLR
qzKTIl0t0A8M+qsqHconD+qGQgjlFK1Lz3meK+MuVQoIjsR8HzO6yKA9ai2kEQ+5ZQWTxJEcyYrO
wLfUnl1DXzUFW3eacmbDlEKyLTI2xeT5XS1BLRVRDYfWtzpSe4JmSY0hbdUlhZ0kHVecwEAQK4D3
DsUwrN2AqdizpPaAzIyaXKrvXqco4eeYlbm08gZGrlD4kIPWbN1YG3SeD1rf4mQvErBUQi8eRhks
STgbTbHh/EEGaUUOgfpVXJVxCsaWgtO+mDSBIALrNZ5kjNB7+9GQ4vEtqFh6/tEvc585cGXKRWac
eEVtMmrQZxYX8GxekpZl4tHw0Iyi/nZpypigaxlfelD7eFA96vqfhUtm5koHXTIqvuBKQy8Izf0k
jm2EWzgbnaCGxnaobdvQYVlbCRzUKIkm7fv0vVWfiugTeBxS+MFv3+eG5v4ECXhetd+Fz5m58/7F
fCWAwQ0Fb+p6KJMxBdBkKnV7FlMTiNZxK6STVcJJhlqs7lubfjHqgkVVHck/1IwwerpJOtU4lwHv
KuuksppYAqM+S2pgpWwTGiE7JNZ9azPPDlx5kLFC1AJGD4mKjYVyCsBbNDEOoVQYaR14JnAzb/eN
zJUkQaeF8gEAMaBq+QMbXoRoQt2oIeujfTFm0GCO53iTH7gG01cjOS89SSMaMWqCh1dtxh4oNbTS
yFTVkBf7U6mLHukkMPBd6KlToXPUZJ0mFNBTFziSjLos4Y0c8Ab71XwHS8gYaiFvbFEBMSuXZcmn
Kr9HLB7uHrscyOr780qF3LQFOgasKm8U5QCjyRG04JkGcPO3qoGtkeRL2LuFiaPfUFLgxZLiK/xe
3gcJgr4R4ikDETx9WCPbfn9YdOD3r3FNRVNkAJGxpBlQBChFVpkUCvskdK3W3wmlAepcyx0z+N5v
LTiobG0IYMFbsDvlFi+O3o3dKXa72KZy1aVaosIuignjTkaNHiIUAVpTVPzO7atj97IE9KX7lv9l
E/A0FNVAgnZTI5bYLs65yBf23WAm604mULfV9OoLVxa4A7i99rZkcnYpRYhP4KkEPjiayq8Ckkps
wkjYI7eqxoQVjVQiwffwFDp9uLSUk/+4mVK8CsH2iqCXv+HqDSo1biBCum9+QRy4btfMQTj0z9FT
ZAGOdn/9Zgf2v7bAo3a9fF3bjFKnpZhKiQAiwD3JCEifvO/MUD/vW6Lup38t2oUlymsyHpRilA6W
VFWXWgvkj795gbBhaUNSj4UbO/z1iCKxlPlossMQdh+8q+EkTgLWzlaPTsO6dKpPxe4UIjv3h7c0
kVQOvipZVx2FRNi3iR4GqVkIPwmkSUEY4O+YEHHOy39mj3rB+wCz5G6MYYKxHZkMNreUkkSn8LHc
MKf/zBR1xNlAi4s+xH5kztEjeJ1MF0zwTwNLlniOl+Zwuh0ufInLtCzn1dnfmNRn7gU0x0GAPhPO
0zlhYePf3gPQJgAV9p/qA6IlauP73RjFIFvW9n2toq+EJXGcm3x+jAGsZaBW7xVLG/PWU4KmF0kA
sBFML/O/7MTF6KIizFVAeN295EN6uKzNwlXtlAM/4tAYKc4dADxR2RImjCBhfGqgZTMw4hJ91O3x
uP4K6njkTNh42Zi4e4X/GaJVlqJPdSEaWzJBHQWGB/kOM8TuvhF5K4xtvLM6calXa9YI8lcg/kYs
BiaC673CadqA+LJ195VXkTY/1cWu0RYQArf7EWA0/AamSxEJCNo5itLAQHJn9A9qtJFeuWMumGz4
XWnHGB0zVbmQDKTCSjiua2uUgxwyiNwBJuQfPMHT9CZJOcJUYqnfP8w0ugdmVNTHZQgUgFAfqbCb
je8nYa4E4aEeUzvJzoGI8rCexQTPKiPMn/EMJ9DRMLWRlKPdCQDiKTkB0/oxbHMzlFvTHZYY5KbF
ur7xrr+JGnrB50wdIQFyCEVtU6RnodNsL35o06XdT1fJ/0YPxVGQG4A1G8gfatvEzUQeh0bigxrU
RqG85CmkohFker6hPbDEP/AB6X80acGF0pw5k10I0QKaAIo+IOtv3gxjAHmXrIkPDZg6UawwUTJN
jdDyVp7JGYxZGaoBQBcpVwkqtwDLrmQoOtWWw32rC2lQGnV28y2UCxi1sAZfSBsfYp60/gn9YEGN
hmKhJWmzbblPLkr19FuQVqGq6CoUCYaaMPEaIECeea2hNP8eJIbabBnG7AoihS9xek58gwtD4h3L
wgiL4yCR+F0o7QjpA/ZFW1SOvT0r0BhABAg5TAij37QphGM08EUpx4cizr7BBozAqD/fPyi3Duba
BLUn/RxkK3WsxAcPeMystXvZQNbsvo257Xg1DmopRKX1QM0JI2gegdLTWBM2NPt0LexHU5P0piZ8
bg5LQd/S0CgHLbSBNPADrELEMWK3VWDy/MIzi861T5sMMk4TTzHAAkjaUm6G7TxPcqsqOzBlYVXK
iSvPYtToHYCp6WDEkq2BQbmropXfLJi+DTSvLVML53Z9I4xZnR0S9fwuZKWpxvq0fbslRbaZN9e1
JWr1Ko2X09xrskMeWQpneKpZhEA/kE5d1fuBdP5CCDE7Mmi/qipadCZXcn3n5UKShFqdYWTiG1Mj
xaQg/5m/IUdIAn4pQJrxySDT+McY5SnZXkwCLskxuKbVw/AoNB9KtirB27ZwBqZZopw/DAHxC+Em
lC5ol6yExVhGDdbL7wq94mzZ3yBoV9AewIR7zj338gmALX86hAuecH4BVSRZeKjLAj1DpTa0MW24
jCmygzvapc8YkNNhSZmhU9VR2FPp7vpw4SKga2HTuQCyAZzSqK5CaIbOi4ETNO9UX84PwcdopadP
Ru9OIuQLTRV+n9/qzTp2lGUFkdtw99rstLUugk+2ClQkh5X8MDQf4k/SAprlxogvzIpBQ/Ba7kz3
iw9XorrvjkOkOa2q9/2bAo1s2TPvLzhdPL+ZAmrW695DQl8W8gOzZnXBCq3I4cGp3W+hlhHrdQhN
lVEHUY1Zgk6iIwOKMlASNbMXcVFX+DbCu56W6ecX0zIOOeCJOVYjtEcwxgIFghyXnq7REPqq7Ytd
uP5FZyRzUk3Ovj8LswuC4uvE4I1+dpaahJAvVFZJ0/yQ5Zk+SHidDp4e9VbIIzkEIUtQC/wbBuVJ
VQ+EAugGogx2Q+35SBvnh0p6BbG+znb70PUM1DeqDFCjJXTvjPsA5zXeOlBBR1qa7uEvlJFxh4bP
D8ngHyI3XTFuQTK8jRttKaKdrhLKgUgiHOIks4AczU2DqcAmXFAGxUQL4xrRCskZ4nhHfgHQMhfD
XdqhI2dPFnxuDGGnteKn+mkEyz9HwiNjFkYLuXHGRDC3R3XAcK1e/xiId/ZNdZ0AyA+FyrNmL6lr
zARB+B4NyqiSoCrAL1xvXlZOQzivpDiUeahnWah31cLUzlnAwwfCQ3CRwo0yHJ83YS8JaXGogoTb
9orqm6GCsuv9nUk3gP45BGA5J022ScmJ1pbRsrzlyqIuDrnN6xMYOlqzpmhK257sPF1ej2b8mOtO
NyGyYn0ptzc/yH+sUxddpjGo+vMNrKtVCWxIzp14PxgWvN5f/YXepZeDpFZLlLqkbEoMkt+kT8xr
sMbzjiWhAeJ5cadaARR03xber7Mj43nMr4IdAqT/9QYp0xYCpiiyHqIRjFHJFlXLBadCVyn+tXQX
JqiQRPKkQq2jvjhoa34TfoHIzX2TjdKsdpzpbmUosy41Ts3eoOB0/N9RUes1VpwYZBVG5dvSl/CK
CX0OjfIz3QY2atPaJnxULd+cFBnvb9O5aAHpX0A4kP+Vp+zz9XQGXhhUvobzL6UZESodySLXYKHA
tUq9PYdXghoWCwfw/7AJnmkJHasqR4d8UgrNngjp50MNOXTetE4xKFU3SzRX83MqI0rH+DQNFbTr
ocU9evKFoStAEi+vonVsMSYiId/Vq50AeZNmK3xPjP2/4ZIg/dwLSILb/h/LfxNwcQOXoGxLuBGW
pWNvlCBSkh6BejiO+odmNFtlYQ2n7Xh1CEWwGkLFGLo8iMCQ/7sep5RnTV6BUOeA3qBMLxW/WcsQ
8zZLvMSM+9uFZmuDgu21LerC9V1OC1MvKg5J/5SE3z/Duw9tboOpt4PmEVU8ViiV5A8uqFhqItXH
8B1/Hz7LftM6nl0NVuzxS9tpafzUOndl43GFim+ShVeQEHOK7XNnxn8rRl9nfRLZbbQKwQyIntJh
NXa6wi34+tt34dWsIHl3vQKCJvQKL+AL6u7XXbvubwJFtuI4Cv9F2nftRq4sQX4RAdoq8rVo2kmU
1PJ6ISSNht4X7ddvUFjc283mNnFnMefMMQMoWS4rKzMyorPq0YFydz6+SOUapf20rmfrPmVdUBZF
hylCEaDkZ1YLkYctaRoX2BC7IA+ttJdpZiZQMOb+n+sLfzHHUEejuJZlOAnoMcxJH0OqNGVJSOWW
afJWxL6TFdC/aJqX62YmNzcbEsrqIPeAli8eg/N6f9ZrnZZA/N2tB9/OlccQTatdjpLYWsvF0nhO
Dc38bVxjatMGhoAVeorywtRT43ZU85VpWxgPGjqm5NjEbQFJ5vMlompdAAIUYjyFW0C8VA+eaeHk
xlqJeWErYCMgzkCQi/Tx3ItLoQq+5W6o3OFFTZhqVvelajeGc311FibtzMrs8Beka/VcHSuXiplZ
R/ehPSJnfN3G5VnSsKdBZ4p0oghB+LkGEnh9CqATotqViIC237ZUwPUpVa2Fd42VRxox49qLzaKN
S9OQ/ZL1tRDbLY/XqsBLc0pwwNAvM/1GZm5FTNuqKzSldEXaskRTN2L4HauZ6dEQvfBrSdxLz4px
48oArxGanQBAnG2VKIs6OdH9yh2L99H/zksZNW5LkVFoQw1a6fKtUNwnefDcF47x0XF/w0EdJ7mB
uNXk1kQtgtAGWE9QLt0ZPWgJrq/LnD0PuYzp+5CeBHMwikzzrRxXcZuJnV66TWVseZaZ5DtQJhmN
D2kf1Wb8VFAWKFtB3Cdx6OjKruhv64BudM8e1NsKSrDJy/VPUi+dBToqkCoF8QXIqXT5/HA1zRjz
XqeIcYfytTRCk8fqSrC5sOOpDFAWaiWKAWW02R5AN1XQZ13J3UIaLTnc92gEi8mKk1jYaOiV1kGe
ATGl6QyfjyNsalqOcc3dPN5L49/SMKwoMkw5GBlVkpXs7IJHOjM2O8NJ7kskIxV3tUo35eYuKL7b
4ickH9fXZvoxM0eONcG1pKio7+CGOh8TKix9WwV54xL+JQDNphtovfEhLCffyuKzhlLMdXuXzy08
BsBBgjSigooENsS5QaXzC0UlXeMG+kbhEeoPfmpp9RvnMlMMt94BLxZSe/jOn8RDvMufQFJgxHvs
VJccanV7/XMu942K5BsCT6icSMDGTlv3JABM0mQQEjVs3DS75+RHT28imq+cyCUbSC9Chwu9g6jl
zbZ/oOaJAN6Vxq2A6Qwh1Jcjz9T+r3lnDGHKd2ARp27+eQNmkYmkjpqicUeH430A8kBwNYKPdO25
fLlfzu1Mgz2ZMLSba8BDw44+IHsm2nq0idJNO0IhZuVIX3qNyRLONN7mgKH8bqQTS4HSqQWKRY3b
KCQwudTfyeCDXVmbheEglS2JCJfBUAaG7vPh1KXvj2gcaN3McmITqWamrqR5p/18fsAgtnFiYbb6
DSmNCCDm1gXEBZR8kJzb6c7DWr583s4Orw+N5olNQJQnocC5AwypkVeNErVuoqa33RPpEMHznVGh
VTF8ToOHsSnexD7dDbW3TyD+Cd7HXnVqoppQvPefAsCD0f+f3OaZqZSPeZjfkDFx0NMkeMfrR25h
XfGlFAGqDM2fi/ZWfWgkPE7K1vX0WtjxpA3tth5+rhuZt9z83/n4r5XZwhZV1VfFULduOt42PmSX
zSTA/ax+Bvdq2pvand+hO9XI73sxeyn+ksCJRtuXkxX/sjDYXwUlSHgAJSD9ki2fbOI2J16hZ/Xg
AhrNjLYBhf/1gc5JHqaBwgJ8KiJK0InN8VptpnRikbYDEhLoc1fe4mP01Lz0N/wetCkbYiWgEQ3v
9cAKRrveyewPsa9/wXTiZxtcExE0A/aLMBBtTudHSAjiLhZqeXBr6EuQNDCl/JDU3Lpu5fI6xDDR
lqmiYwhX729UdjKRJMnTfOy9wZWyfktAGqGBpyLLXuW1hNwlRAETKmMsE6wD4s/qtKQnljqeEZHX
1egO5mj1O+VQPPpgH+7Nzsrs4YAO43vf/BttxsfrI1yax1O705+f2A3TsMlEoRzdN+t+7eU97fb5
Gp3+7Gl2T362KkdcRifJ6BpM3Xy1Bw5uO818iJ011OlCdHw+e7MYaaioADoGWBrMr3QTWfmtvlN3
2Xbc1G+19Vlvh43gEBdZaWhPVpZn5ysnbuFAICxHgy2qDWj7goM5H+uojzQru1x2+6GLTeD7mSe8
RmLI1B9NtCGDguKlST3QZB9z+aWqnbwKnDjr7kIPXPJIUhZk3Lb5zTjY8pqu2uV1AwzWpBOI6gSe
mb9vqpN1qAIQL8m+BPg/4PlmPqIJbJRJsE36AoQsakocgYgNyvAK2VzfXcuWESODvQB0bPMcBNVz
ZGiRvHQrYEw6YC8yPWViv/F3ef0WQoH6urlLvweAiwKBOmB9EPvPvZJOxUgYo0h1w4rcakLhgOhm
JeJZiCTBsiEinYaAXNc0ZbbVpIGmqCkaqssDu7iPPFRtd6PO9E36k7jpTeHKAotl1t1UqaWoDod4
oHQvOaElme1qJvHSP51/zGzXRR70P2NPV93hQQQpATlIoL5CFBaaYb+rm60OueSn8QVybQPfyo7R
7K5P+GUSFSJOgFWhCiVOvQHzdHuul90ATgnVLVUBgE9TkR7Qc0Oz5yKSGWn2SXArN/tY32sSo6Nu
6okTaV/gluq+rn/JZaXq90tw9ULHBenqedZY0EpakhENlPRbT4D6Zio/xv6dYIb3WniXgotE2KTl
bXmQ98FedaMHclftk+P4I3m2zORXiW4BvTK2im6CBmhcuUgu4zEwLmk6iuAGLmVQf567h7iq5byI
8HUD/25Af8mNh1T5+1eFfnQp4Fn+en02LmsUmI1Te7P3jgDmuI6ksNe3G7rvblwDMgHPn+7jn5WB
KdNFe+7kYQl8QphzQPAvUF5+mkxiTLHmKncQ+9XRoXHfj45/RKub5qDrNdl0Ouv6I/B9Vc78Q/li
SI58276PH7S9FZxRtWXujPRBI9tM6M0CstKlI2xCdU1Q4/KqO//SWcjA44q3lKQaQDItIyU04ce9
pq6BHS4vPVhBNgTQbrgJtL6er7QcSL1P605zvcGMq5EZKl4RxxDdZH1QMTVgqooWljh21iKiyxaB
ac0R44LfS5pajmeWDTR2D6nQam5YfmsHYRIPtbLaakG0OWx5eDcAFN6IxzFcGfLivJ7YnYUu2uBJ
jVZzDZ7vpQqfMqx48U9rp089OVSfgs5ZwqDinTDE+ai5TcjdkcbbVucbRetXXn+T877YzCdmZvE7
ioUBMfpec7VE22hdQkw6FN8VkrKJ0aZ2mDTFypW1cENOFxVy5lg7GYnt8+0ipaUHNVtRc5PiPa7A
+O/UsXZEqzrrhHAb9IJ93TMsjRDqTGjZnDhZIV98bi8nMVVGn2hu12dM9V81udtE3mOGtsm+SlcG
t3QfT4BbpOAQPEMk9txYGqI3FXStmgueScKEEaxFeZbRFRe0EP0B1PpL9o1yIV53sys5aAQN7cyy
6hKQi2U6WJzjY5q8qBp6clSbYKP0tgGBOLsD7z8FN9VXnDmlMfVwo2XOUN4jgK04OCeb1F5NKCwG
DESXwDeHRzK6aWaToDXh2MgxUd0sSva81BlEmy0B64sGjYDIDF3Hpga+Oc/zcnP8hHgB+k4n0nhF
efKNbaG9GlD1foSEd9vcJOFaauyySA+3gcbXiap86u+bIxGqYeRKp+MKB/8h0xRThsZvVW89C0yZ
n54FaHSjHcN7KNlag/hcr3VxLW7IE/Oz6elVJOyw3RGc9mjK5AE4qcOoLK3aRwMZZhPYCGNQVk7B
0sYE8hyicxTgGeCizzcmOChpRwdcWp5c1xskuCLwXkJHcOWsTd8+dyfQxsK9j1ckYPUzd0ILBQ3B
nYJY8QkRvm2r7GiYN0efOR8Gc743IbsVTeg6O9QVLNO2b/av9g/7vPl8fmwO4Jr+E4Cl/hGMWu/b
7cN2+/b09+ERvIHWwfLdt8PeMw8Pa5CppeU4/eTZJVnoXcvrAbuVj9zso2c6HDpaOq10JwGucX1+
FqOUU2OzG8tL/bHWB1V1FUDsi2oPwKNMn9XMkb6E0lFVO31W9vpNVBw8ELFfN750a53ant1ak951
HWVYGyV5V5G87CoLXezXbfxqe17bADPv7ntiUfCequ4BXIu9MzH2gEANNEwyiE7ppOdkx3bPdAsK
Oz76+vf1DZ7HkBy31p7ISwGoTsFhBjA+MsLzUx6rjaIkMe4Zf/jI+2073dM+4+NdWB9EzamydGV+
l44YaiLgtYL3R0A02/sl10th4kxwS09kGlqogpUawu/bYj65SNLCd0l4YeANcn6IgSjIAONKiOtA
39DcPY3sh1gq+6Y2NX886+c+NEuLMDsCiuNxS3fJ20vKoJhx/LPWCLd0zk+/ZObD9KFX5bGdxqod
BtdTOrzAPgCEWNlOv4t0bcSziw78DMGQUYw4ZcMe/J1vBnQDvmpmsOrm7ct52unWz6/GjWWY99/d
G0SaWMGQYAYrnvM50XjFzsMhh4TmS2Ou0cYtHSgQXkoQHwGZNBKt58sxloGehUUD7ggwdjTDvlW2
edqu7KrFmT4xMpsBQeMVZIRq4vbwFToQlqBCacAomn9eP7mLu/fEzuyCqCmyxZxjMI3fQ3yL1mgU
KeNhJT5anjL0uk8XEToGpq84ScyIlZ4ZY9sTFzxCeCjctMNWAr/H9aEsRZgGlgS4a4q8iCqfGwEx
SOsHWUbcQQdk8gU9CcUz7dEpiuRE/nXd1uLynNiaOXRZBHdUFaXE9Y3D+C1GVlFWplSvBc1LzgyE
rb8lZ9zevxoQJ/MmtU1XkaAkbgEy70jZ1bVoDkFp9f0DgqkexUTDOF4f2cK9iHXC8xbXuAH8wWx3
62Bl9otEIa6hDcNBl4LS5qG0GQtyWyNLBCaecMXiwhaEWCz0sVVQIkx44vN1MwYVghwCnIpSgdco
QoanrZ+uD2phuc5MzLIENMxlEEbAn0ixyhTAelWkTUYnTdc0YxY2OkW/AR4B4vS3MdvoyRj6PJZg
qCz/ABkSoFt+6Fd6CddsTH9+silGLlKfVrDB4w+MpaFbqV+BQy/OF5KZqoZEh4bg7dyEQYY24QO2
d5+QDPwewxMheOKrAji+YrRxXF+dpS2HZi8A9zTwYeDpcG5N9rMUsuEdcQU5D+w2yMFZPeox8+oA
rVNpGGyaPFg5wL/657MrBmliSkEbh15JLNe50abwgkZKRQwRBNG3FFzNL9HmpbI6SD+WENIozTuf
QXhyc7y/f7/XrSMboBl3I0EzzuyYDAbAjq3FLosTcfJNs4lIBYAKwfWA3WPwJx72uhnrDaQZUIiB
oDJrtUJl16d+aS+dzoJ8PgtRBRYUdMMRqEU9KtUxkndJuFKhXTQBdwIqIJwLrPG5iS7rUzAKScRV
x7vOfxzRRtXpK+d7yYUAYPYfGzOnZfggUg+5Cj85dt+9xL+FvLavzxSZpuJiw5zYmJ0JrohVg0w+
Wir2w/6ltvGmNjn2Dl7T+BWz6g36UM3+TWGVgyD46Sc3hWljgcqVoXkhN48/uyOOz46gISg0oU0D
uUkvYD3+dSIlBVUVYpjX1oQ0ksi2mvXwL9uLKEiIgH4CYJT5qW5rdeiHnGKxNV91ZD8BnVSavxUD
2cmNnN4R9ExZK7O2MGnImUL8CcA/kKDNJg1xeix1NKGuRp+HZIcXUA7FLjmP//cAA+3+dFJXR18/
SM7PN1k6NENXSSFFGIMWBjFTcitpUX3var1bOTJLh/S/plAsPTeVZFpVapqA/VxXj5Havqi9/EpD
iTPQoWtmAC1Z5/okzlWNUISeWkCApAHC6zfneW7ST3TYDFPqvnEIBld4UL0gnWMlZoR3Frq9zOSu
ZuDTcril2535JtvQxibVFsWA61+ydJYRXEFnHVnfy8amTNPKPlEr6hrCXiAPovhjIPa5bmNxfgFL
IWjhRiQ3l4oQaKwNrZ9TtwzGyEQN7B568kjNaMgpK/djtLlubnFIUPlBzXvSpprzawO4NMqhx6kL
OjimoR8t1z/5+HzdiLx0oaJqijw5GmEAIJx5djoEqhAODXUrqPoE3aEDaxbu7eFvz+/FhLW6Y+ho
jhTvS4IMnboBY1/iHbKxZtk2FI59GzPUOVgv+Gzwuls/AHkSRL2ae3ENenzZlTBtNhwiwE4B+EPX
2Plm63pe1RUfqOsFKaDiihPwQ4eHnr+TuaVJJkF7hlnLxj+sA8UiqFOvF+qNMxdedYoO1g6FulIH
BWpK+YMAhraNh2TjSmXztzIx9+SnpqYdeBJAVR36BIQIphqzdXr80lAsH8Dnj3QFWpSAIjtmux4y
0AYigTuEAT2LTR/E7yN6FxN2729+fJvdhJgFFhhmsH94aEzjH6I8CtgHEJ3AHonzaxMJ9ExLwCDi
hiN5QhD0RCpaml4viyvn7Te8upgOBPuQZQF6FBKB59MRQJgNVI4GfDRuqmQXs9aSnMGu2R3KWFvJ
ugvZT8u+E3aT7wqQvIEkAlVfyYavYxj49ZPy+7649jWzl5U0UVYXPr4mIQNTG8sA1+cfodtofONl
B5K6UVCbCkHOzkB/DoSVAL+H/Eq9G3Jb7WSwzPYOSJagsgRYtnAwlB1wy1ZBDkO9VaKDHuE5HZuc
xyAIfpOCfdqHrInv6sapBVAD4/VrEp2JbghVMzWtrY5A7MHfacVgknZtsJjZa2OdwpqTjShEYAQf
ewqv0KLZEES9aN28Pp1LfgelYtSrpzcd8rPnFuo4LnDGfd2l/T0fwdkZPukKGBCblStqKWODpi2Q
uk/gIQAwZmcKRQs/DDIsW4Vzk7M3cDJZFLERanIMtxJoMQz0/hETm+kIwQr751tn398qI7+KCtw2
xe8p/BmYbj/EFjIRzIrMtQLKQoYAWjBQ0ZjUeohCZi/NtpQ5VYJIdxX/Uxw+s74Go9lnmX0aWmmr
erpyW16SccCVntqbRSVR2ZcKL2CP6l+if+spTgnBvLpzaYBbuyiZWJppx9TEMg5h1JlG73jZLkBQ
SIYHLsfgoenNRLKVQcEGhCg8UPfImqaPdWkl0vsgmSO0BlOBFeUxaV/09jH2mDbG21hY66xYvBam
eZuaOIAJmUM5+6bL/VJLdTfZ6f27B069AMWmnbptIZ6uuv1KrXUpZU5P7c29Eo2JEZSw14IqdczT
V814FZvAJHdabvrGQ6HDU4McYQxtEj+AvtDTxpVIby6Y8Bt3nX7D3BcFICqYuhHc3rsTA9PLHkEz
zkLozEiWYWzQ/SGrD4hgTIU6Ywqi096m4qcYVscqgK6Tx6TVrt1py8xdBuq2oEZCuQhA5Nk1ycVA
rMIYW6rD+rtKiQxQ/l0UJiH7xN+W0Yr/WGhDmersKKEieocMojzbwiUkMoTcL3QXahBKbWv3GrBn
rt+/lyZPazaC/yPfXfdZS4XEU5vzGjiy7IVH/BzTDgQ0KHycwOy3gg3yHnavs9cMfgJ0aBYELl00
YlvpSm38sm0Rx/ZkzPN8xEDKOqgn+1rv8Joc2qIH8rKFWp5F6k0w1Cav70CUm2YHVbbqfK0xdPKV
l2v8nzn/RaKcXAtN70dc62C/NIq9IrzpiknFnaigfzIIVvb44n5C5AuJMNQHUV04vyAiNdAG3atw
rAeJgT3KNGorQUQa0YNA7mWlNOO1YtGyKzmxObv2QFwNmlUAd11FsdVNR6FXjclFIRjIB0b4a/Es
eX+v76mlKB+1dzwPwSiEvojZMHUtKsEc2+luqIkWz95EoHHy+Om6kcV1Q64WXMVgrwTI4Xwuh6qR
1LzSqRtFqRnKW69LLOrZXK1NYU1Y8/flfLFJsEfAmI4MHV6958aI0AKvXsMRoPvbinbRToQsOg4k
85mKKpHPngzcwwFYoFCFGy2BfaEKtiU39/lNZ71PGCmPpbub5479ScwMoRzIUVBFkZ3nP9dnZXGH
4S2HxAMm5uK9HAhErrMOjlwLMlf3sIOH+BA3Fl4hTjz0H3FVgsL97brRpZsesiRAGQMOCkTGLBwR
pbxBPRxG9VphWYxo5CbdNAao13LEJNLK825xd51Ym61Fyas4KjVsaAKXWMhfqvxnwGvt+pAW35CI
J9DeCDVT7OPZHh6MNM5kIYDrF17SpmYJ+WrrXdM9+f5bwrcJZw2AfWKI2+g2ytxU2vYaBflHDizI
V2TcDhNRQAMaqqGwK6V45T7fVOGm0DdFt73+rQsnARECWH/ANg4OlN/k64kHi1VlDDrQw7t+PYA5
/131jugcZHF3X0VrhFcLvQiA4wFODnAeSkvG/KUUG3TIjWRyYQj0EZeU2yDYjHQ7VCqLIPWaUTby
2IqRpGtZP+J/yqAEftK6leO/6NcmbCA4yyQk2eZ6wb408rIQWt2VfDvQ7DzfpMemMjUkFgJAo6Vj
vXY9L23zU4uzaICmqh9FweTWQrzV/VF497PYzj2OHq/vKu7eOoQk15d2zeTsZDVe3kTJAJNDHNuj
irieP/XJXY4uZT/pbFXQVjr11gxOf36yl1IMb6zbfjK49/ZpHd7E3p/SP0KswcrCdnt9eEveapJI
hGPFnXhRqdQaWakrZHDcFEIlQnWQ9G0nMAIUIwh09bdGWAmwFnN76MCeWNSmpr3fOPhkeF3VZUBP
AKcmAyKj73u8mvxtca84YA5kH6pdMrKfahISe4pBntSyp9ocKZ6+dpasLO20W2ZXio4UlYFho78V
hC3nMy357QDBceSHsZFt6n/JRb3lVGd5t8bNtOQfTi3N1jQRigRcG7CUeB9crNj0FpL0xkpiZMeE
lSVdHJYKnVZ07+Hyn8+w3wY+VI0D6qL4hAgqclQZMi0kNyVxLTf8C3S6mMLfFg3gT1DSnG6Kk9WM
i3b0yzKkE/okjHZoBBjpjuTfo9UK73Fvx0Fhxc9QZOBfg3QT1oMJHgjAYZqd0j8NZCPHaxXJJa8E
PUVA35BLglOeY7PK2KgyIUXyOO2gtTs+V9JR1e2AfBRCuqP5veLnL4ryev0YLS7widHZ6y1GbYH0
GYy28LlC/wPkosXznwZ9IqhfrtyMU1x1Mem4EFFwxY2PzPH5pIuCQrIQyhquGKaymSRAEApJucb5
sbiNTqzMTkczhonYjgUSctJ+SFGJQzWoRRd8By3vYQ0wsfTuAi8M7rVJfhNIz9ll3ykgA8TVjTTY
GxetrxEq3h5Id6Ib/ei/JCsIo8WhYepwRvDChybA+QSOUhklWVQjrR+96xxOXP2q61dZWAO1LC0U
QUQG4MzUC30RINMwUdp0oG6vP4Wjq/OVUHNp100I2994GIrzs3FUtPU4uiOoCy5mppXvPUggjOyl
hPRPp31e3+GTi5pvOvTZTNOFVpyLlvhS6aIoQpsbOkLtUa5YLj8mI2owDzXS12ueeSm9Bujof6yR
WdEJ9ZBEBn6aulmt75T8VszBLBW9V8JOyj4DkGp5ZqXBswXJIUoCq6gkcPyM+z6pbAiyszF+7Wvo
xdc7PXihfco8487rHoIcAiqmALb7Hknu8BBDLUXcTW3AY70H78QOXOd6i4N7RIsw2EFYJqBzJLsB
iXUzMCE9Uj9k8mBdn9mFK/hsrLOcJaifvRDkF9St5eDY8Y1OBBOQeHRSHdDy0+24tFZyWtqXkOZE
nydSl/Ajs9ntED1C8gprmdLIjDLxVheK3fVBLR0xCDegYQ6nGomUadAnF4PhNc0AmkrqxrmqsjaR
DZMqIAIQU2SUCt+nK5eeMjmIi/1poPAKpQEQfc7RUFQM4rThHnVv3zRmAesCKObLlOF/+7j9iqwv
qHKzN/zuM5SkzSmvr+LXhiRm+3x96AstnwjQ0TOFxxgKz+D1Ph97EHToNpfxKWpvKw1LqZWSQxxs
SbMTx13bx2bn8hpM33sRYLcxwLvFQewOlkS+Rt+xBAI/eyzMvsXQQ8WX9FJ3hXJLeLgVSpvgcTIc
c7C7GhvkO7Lor6eYFd5XPyATGdYq1UvZpbMvmN0jpdRDqGvAcyVIPnLq1HWza0PwxWkO1VjbPUy9
H+NPkcQszXf9Ghpj6RWJTnwd/ZFIH2JDziIUvUlaIW+5DjJs9DNXstOk46MK3A1PHiPlTvZuoRDv
R988/aspT1G3G75HsLBrqDZG72I4mH3BJKVmlQypWASGkvyHv6eP/ZpO89KzDrUvlLxRmhIJwJbn
u6ZRBehplbXuesYb3rF+6lktWg31rLrVhtTU1ZgZ0SHlZnCvGJlZeNthtNA/Y0lrc7bgHgxwDFDU
iBE+oXBw/iWtL6Vh0Ul4eI+gIsn2yZrew9JtDwv4ySBDMMAAPNuVga/kBakhCsv1TQNV2q3AHyTt
duKTKR8KorKyPoRrDBDTSs88xJnR2UbsmrAuvUzVXSN70oyvqdDFFWfl7C+4IWNKhoHICmpKQGWe
zx12SVvouYBMgBgBpJyCeV5N1RLohPw5g3sy26CPnB6gY9R8+2gLmsbqVowa/YFQgTCpMP4huwpn
BPguFpSCA2P29qjlMksljtXkwq1Ubrx7QTskSOGnx+tDXwgQkAcEpJEiGwA6o9n01ryM1DLG9MZI
ComI++X40NRblCx8RHPBWvZhaTVPzc2GNUj54NVQrwL5/S2XP4vwVgMd9//fkGZH0hDiohkHDClq
kP2H4FfhSJXC5NKmN9E/xNtoMMcyScrEsyTOdo4u8yRu1NxwU7QTx9KT0qBAKLw18tqGWOonPLM0
c4kq6K3yOMvAjiMXrwl6gAYomVbqpvYc2tWH3GC0/KwbPOUsvgZaXnRzUB6icMfI5AAjd35ApFyp
jSYsDVfeqOMmju8TiAd4janId7FkoLK305ojN/aF8iSA0Td6VtBovab3OfmXuSuYHBzy1rIIMtHZ
wqqDqoS1Vhtui55+DkKPUUOZvPLNWl/J5iyE6AAaAOypIWoGo+/MUpbLIY9GwUBDUmZp/s2QNoxH
Oyl80LuX67t16UT819QFG2EGJYTeaH3PTcV97YGgAC3jAAZcN7IQ3MCvycg6ol8TveFzUF3uhdEg
RNg8YfJYalaWmFrzJtV4EIS3frdLgEQId136QQVAdkrbAC9iswH+jQtbugIZuVxFpDgkRFn4By6S
eaIjAdCOtwQnJinE91wq3wBygRoN7ZxEqdce3Qt5BXR4o/8Xyc5JZ/g3sXUS0YqlBMRlJ2ElJc0E
u1RRTUlXDSG6HhbmkDgiUwv7+mxfLilsotUGL0joG8u/GM0Tm12MXH/PI8/liAx97jSQhu1W4EHL
AzsxMrvuay4PYqgHnlsnf6PoaDhZxkCYSSBn/C0oopWNa+/iy6sCWgpQtQFzBIoW+nwq0Ug/iB5K
KG6gAILrvechcStf3bTBnyS7AS7lf5/FadVA/wQ44QUFS6sWAUgfIsMV0ac5jPtyJ5bRWhF1ejOd
uxSM6cTIzKnWClgQKiUwXFVrbEm5yaHSQA20fsmbLHrojVfi/RmEYuXML0RSMIv7gkAhGcnMeZEk
w31cxyPOQJe5uRztPYi6QRODVbtmgglRpwvaTeWH1ioGeeFpcW56dmEZac4NXagMt0IZs4+fH3ro
1W17C4pQXrTJLP2PwUEc0Do0twXt6fqa/j8GjjQygAEY99wPURUiAEkwzbeUNSzrfiIgmm4VeZuN
uM1GJDtNxfef61Fd2U0LxAjIUkmAhKpgBsRNPcu6EK3gVZjh8oB8zPEJBEXAOn9Tk0D1RjB7VCQh
cmf77GNk+E+ksDfV0RoOhgWsFdQSAXF3rk/F0mk6/Z7Z+Y3KVIFONr6HPGsd6D99UyZ2i+SnJL+r
q3w40+jm+1wFYzU46gHIQJx7fn/7IeBnROc4TDp0FkI8iEJtU4pvnWc4VRVAttjxVDgrSTcrD/Uo
6PIqt7Qf8bzTahPi0GLzR6wcmiB3BLrLekPXaAumfXf5haBERl8uRCnE6do4cZq6pMQ+CUbDhRL2
fSAEkDau/OP1Ob+81rEHFHhfcPUDGjxXqMylhNfdgMvAALV0DaaPqD/WOaRo8bZdJTpeXGBUFqca
Dboh6SxkQsN/rkOBBgetVsxY2uFF6ANQq+s5q+WMRejnVoQ7Md6EQs8EuTd1ssmLES1TsV3rlKn6
kw/R5eszsHD5outMMUCLhGZQwFjPZ1lNqkCloYfrEDA37eAhsSZB+aLmK8dtzc7sWdHIVT2WIgIo
oVFv6zDbok1wr+LpFq30bawZmj0owioA/WwFQ0Nvawbj6SYIzDWszeLePJm1WTgYSnlaGDXuWtLG
n3oQA+MDfZbrK7N4oZ8sjTZL76l4soAkHyMZPdMDyk7d+Ng3z980svzmfqDOdXsLNA04DDqaEPAP
hIRz/JBGIzGRhtRzYyY8igA+Bk+9NYEznkCBzpFloxsChrAbundbENVct750EsFYN3U1qWBH+QVX
nZz2RO3VCafnuVQLWIbYD12jSvYq1sAqtyttYkvh2KmtmadF/7wktGmGcKzbUPWjTB9KbcXE0lmf
+O8o4j3gCebA+bD2Eg+VEM+FZD0FFXAksaY/eMpOUvZkbeWm3Tb3lGhWgSVUXiDWPduNpMzQDDXW
gJWl4g2CExOdK5YQCD8EifBKl2/k7rvqVl5EK0bnFLEckt4FGQrPbYYMqGWkRY1DJeLlB3ZsPibo
gKbAmMvBWtC5aBfCh8gPg84c/UDnDsvDkcjjqvIAIFL3vMABZ+NgepJV77W19+XiRjmxNbskGzUr
0kjExPrZ3yJ+0tU/pfAvASfqu/8Zz8wBp17tC2qE8WgEsN69vKtsaC/1w0cU34J8Mve1FY+/kDfA
s+/E4swVKwoHLagMi8Tr71p+qwLbIuo+qim3fn4skFMGxS6RbvoudSo52F4/6AuJ5Mk8GMDAAz7B
TWa7NU9JMQ4pzOuoRDGJ2EP6VUifiv9gFI9SujW4wkSFJfE+HhQr+4cb/8T6r9M98TPjOKFACu4B
jSSxEiAjradb2lkpNIDJyp23dEuAbR9/gawCcdZsq0aVmsWSj2cfSltQMAg212dy8SSgBx4dhJCY
B2bp/CQMcARao8GNhYjmTMprqw81auatt2lbu3/juQmZpxWjC4kfLN/0o9HigSmZBwx1Vxp6kUrY
PSE3c3CJAh8lbPvRSiAapZZvXHeKwAz9jxCdZU6Um2X52kirkqGLc3vyGbNNLKLGHJMOnxE3CjSc
WEMex8L27cHRNr0FpjsP2BNQ/ZWYFWFlDy05d4rONiQrVH2K5M4nvtZDv89DOPch2vL4HdpWwBiz
IqlYLZm5tsbUsXhiflWI6BQLI+d3bi8KKNjlRSw0oBtmT9LnVt2Vhql6xMyzG85DUwRLbyXGdoFa
jAhizeYfrrOpyV1G+yVIl+fQ5qwYov/D2XXtRq4syS8qgN680rSTmi2vkV6IMRq6Knr/9TdKu3u3
u5po4pyHGQxGgJLlsrIyIyMkMsPZo2nSldONXW7RmhJWnqLcW+XKzbLkdc+NCXGypfTdoMvc2PzK
O7jqI2TC/o0TPDeiXM6pRecpYgSuHeFGWNdepnxSFWTc8nsSMlceoh1Dg7HTDfOmzL18pGvniC+a
eGlj82A+JciygHvz8gPCTm1ozMwwSJG7pJoLAI6HHgiglpBwY3dtv+noL6s85glkjJKNSd7+ufc4
sy/e3+ASRackNUKIYfq0wWNzpE+VO0mbUu+fJTz+k9VejKUzC3gDjg6wWsBsCws7SWlKesXGuRmM
LcsCXfk91+91eCcVdBtqA1yX6UFuT25/VVHqg5rzaNirmWtuRZx4xLgIHUBNgQyAcOEqrdSW4Lwm
cJvoBJme425vVSAdA+lg1IJacuwdE3wBlZoGRSE/3571hd4MXhMAIQ7EFkH0Ywh3gmINVQOfToL0
nqstjhtwaSPdggWAHkaQba194hPmK8Mmd6vd2rtl6U1hIdRAAhvtCHj3CksQd0NTZ4pG+LY3aObF
yYZpT72fnWw00Pmh8rAy3oV8GgyCXBbdgDaE9wRfOYYmoxlVSNCYkttWxAfEpZugSN84Vrg1y7+S
Pbjq6ulaWOQLs8IrUGayVmL1SFDQ51F+UDqQGpsWkJEOWC42oLFE3Np4dbzGHL88wQCuAT8sg4dE
TGbLcRKrc9nhzgejrpw46JNis99aQI877V2ngXV1jcWPb1hhQ0NCCKIrgCdx6RHBlSU4aqNVw+RE
wF0ObawYuh6Rfgf2if3t1Vy4+CzEbCBDAJm8Abb2S5/VFt1gpASXbl9YewtZCiu5Y8zaWUbiyuq7
CSbR2wYXjwunxgE3CRoGVLHqWaZjU02aAjdNUAZBYQn0c2hQGo19YjG0kT1Cb92FWIMvF+DBM0Hh
DFybhgwOomovVX7k0bMSvaprEcBSDA0ST06oC2Q7J5C7nIk40hNFzVMS9BRKVcTXc/y5T1U4Lrz5
5Nxppm4bNVuFDX5VrMFB+KERV/zcurAOuhxFXdPFJDDDmTlNA3iRHhilU/U6iNLWoJiLqw4GCQ31
EqDVxSp/QmsFwjElrEEKNE6xrVm3m9QEYQY6FGgJXSR5NQ+/cFeghQ3EAags8ISZ8PTK2450WE8C
vAcU9BSl8/KT3W6K8JSHpYM2CVDZIm8Wg0G1uFOqU87uinHlilwcuMHJMQ00gEDR6nKR1WygHUly
EozG1qrajVklnomSMU5zrf6BWNfKbl8IfEDEAVlLUHFCpEcTQoLGAP/3iIwPtJsNybNLFHASIude
bxZrBCqLfkrG5EKsHOcYaabLsbWjFEZZ1MAWchUu9vKOxNK47wG/8ixaHCMbPfsZLfTDUMSTG8vG
2kW8OLuodeDpggIuCmSXX0CmmE5dLJEgxM61KbIGMUpWdx0YY9L2I6bvK65k6SaCNRlKQ+huRdnz
0t5sD9MYMqxmw+7CNPOav5rh6q1+guKDqWcOnt/SWrVx6aCe2xRWNAN9VKfKsMlqx5hLp/Q79HLQ
X6F7e3BLcwmpaE5gjYKxJo5tqPu+JbpNgtoIP/Kq2JQUlJmgPqKfaN7Q2milZLtkD8VwVN7x9sRl
Jzw9i0xWOpZh7TrTTdtkS07NVu4UV6peRra7PbYlT3BuS9gnWZJIYcH3yTDOTtIBcb/mTpcu0HML
wjmv8tbM23IiwVvcKr7hNgnxCcCit8fB11p02gBL4LZAghOZOuHEGbXRysxG6GVUxnG0dtH4YoX7
sgL/vFzhAvHjx9sGF4cFFBrnf0eB7RtqeZbq0LUibThoIchnSFIR221DCMGo0lZak/9ZclwoqKP1
AmkOFQpol0er6uRSyRmCvFJ/G4z73PwRr3VCLt645zaEo1RR7MYaidsgBH916Ddvs7UzMxdTmDum
l6hf9pe1VpJbGZcpbPPRamk497BpK39p99eyT2X/cXuRFh3x2bhEN2ioBIkUA9tbhQ+S6J0MAmQ1
kMId8sX1V/Q+12vMqksHCi2zAA4DT4aeUiEkt6uhTTpLik4mHSRvVvXJmfN8jRFjqa6M+BeYdh0J
A2jFCjc4S0IlqssS4ByvcmIXFUbQk5l+6X+8luC5lHZrFpf2+7lB/vOz/V41YRnKKiAtVW6Dn9nv
7V99LYPd3V45WItDA98LcMHIugMTJMygVcatZSUGSrV252Xoskrmn9UBXQ/5ABB9ecjqY2xvZlwy
k4wMfHhvpB9sflrZOUuXy/lXCKdOL2J7JrEJCBb76kDTcGh/1PYrnh/AvI8O6NAl6IZ4YxGMiRsq
9/gS0t3P2RridWnaOQkiVH4MBQBF4WBSCbzigzKGAViEnDIDDDQ9VrPt9Fm74kGXEmFIQv3XlHjt
GNFsMWrNgLhAX9QCFRlwCYfcSHdoYz0Ndo901FOWg0ncko+69lR3KxibpZMDgQjO9cN1m8THbJOW
jZ7neP800nEiMagkVrzBwpLiYHKUGceY4YK93MK9YRamNefRqbFBN5ZEcAi487LPuMKTrlkNAheW
zsYzDs2u4IBHYC+Yo6XcRJ1K4xP7qx3QbH0CScaB+dlxfEIzRfgcgbA2RWfw5vbO5Tvi4iaExCnX
2QBwSAJVllgBiCaaqlVvxifQwY+qx1EHWgM9EEdP7ktzUw0r0cqKvW8XfO4Ypjkf2gL25CSHlOVn
rFCHTCe7eYMColfnhzp9uD3Cq3XkIq5I7mF8tg64unA0O7mNiiHUolPfUL/KtV09bGn2WNnaa0i8
27auFpHbAm4IqCjOBiZ2J7Gq/F9bQGEBKrOtQDvWmmS7ihlZMyQ4dGtkXZRmVnTqwodqUMFzCaVi
pjjVGiHBoiE8t7AhOQ5ZJI62kKGq8WKITmOveil6hCztIZ3tfaH8uj111w6Fzx2OgIb7CTJ/Oj/w
ZzuDphKod4c4PoGgqR4gO5lOHpIcnsaKw6gmd5QC2wYuArTyYI9IxefqWJf25vkXCJPKWQCKbszi
E/AXY5jtSX9oDIgBaszLGmgPUubJ0dftYS/NL1edlPHERPVCLByZatlQ1WbxScLjEqwS2gDyqHC/
WttctmOCXB+APZwF/vOz2e0bNF3rYxmfNLqToi9OvALyivgfU/9iEfE8/68ZwYulFVpljRZm+mjy
ywRqehmY0bLGbSrwsKxtzuuAjZvjcGNAFZDKFs9bWUETGq8wmGsnV4YP+0iTwQnjILJ6X3+dyI8s
lVfO+DVMjhuFih7eDnjCXiFI82mqWjrBU4MtbEt2w2N6H+/jJlC3xlppjfsm0TtbhoUUPRcGQYb8
ctWqsu3HWB5isA2jSeU+wkE4hskrUbbx2ka0+ZvnyhbfG+A44ZBcYekiolv91Pbx6e7Hp+k0/ukk
Oyfb+bPZnPYb9H6dNifnyX+CBIPz9JR6m68XEB26CCe9ly//4eXzIXj/AiWhcw9GnUPgfgT+w+wG
sf/n7+ObvX+8m9yd6XTOAfy3H7vnxz9gmX90nx9d/7CyQEsOn+dR/m8ggsOnBRr/TD6QKNAeWqfe
ac68ljDhE39rsrgrOTtOmTonal+MsBGliH2MzkCgF60FBd9B1LUZXM2I2wEQF1t4QZFo1BnoSE+y
njpG8bPXEifOgL6bfkMdetYSV2Hjti995OWqYdfOtQsGUVfKXmrjKYcAz0AKNISpHjBf29uOizvD
W58mbE20wABvRWo4rgOkk36uQDEW5xfcnXgua/CMYrrPICNNUnmOTxkI+zKK7v6ViH3JANpWISrL
Azzc2JcL2A2Z1g+FjZNFdbj2Cq4qnurKuz1JC16XS34iEoDoDmJU4dFqFBng7aGFoO7JedBdZSUI
X9ofF79fzMeECfJ5Lf/96DqdYwaaf9k32xMKBo65+yrNF0v2jOSNMAqqb2fUvHJysnIvyX9jShE1
/AuoKCpm50NWLie2bzu9siZMbN8z7WSVurxXw2Gl23zJ8aMGgUoExgeOAFuwEvd5n6DIhas6i9E8
BIrAHcRjU/URAtmZg1fXWjf9NUSZj+vMopAyGkzVpHIIi/NvwJGdF8t7+XV6yNzMbdwfBD2weOY5
7eH9/sMfXf+P5R6cnzt1XDl1172XwmcIxw5EJm0Wq2F8UrN7yYJWBVowZyQyeb2pogaw4UdtSj1q
do7ZWXeyGm9HSFnId8T608qFq0+/SuUjjl6GEY2a2z71Oh1UXXHiwkvAA60E3wsX2MWsCccsZcPQ
RwbBBq3APSh5KaCEHdg6bPpe0Ao95IV/+8QtOP8Lg0Kck7GokZiG+UGJ7yG2Q6+R7uww9kixsgUX
gkUYgh45Kk5gxhBZ7dShUZK4yyAVJ31UPSCZuafK4JNrPKZCCk3/0Ocft4f2Xa8UXC6PONCZgycv
Wp8Eb6IZdZ7WBU1Oav1DtuDZ5RZ62LGyVQiIwkN7D3oy3ybj3kheNULcrn2YFQCDhjVupgXniTYv
GY1evCgE4NHlGW+SWmqKCGMfTTkGjeQEykhW/mOGF77Vz6wIe6fNpSlvIW116tNPbZvq2y5+a3Mf
lNm353VpJUElAWvoYwFtjRAvJB3eJG03pad2RpdXUESHsM9BnNn/ylns2Og3dfHuuW1z6Vyc2xTi
h9AIE8IIbNqIH9H06mt+1B2LWHchyvDPTQFhi948CAKiFZqfmLNQxaimBC/EIj3JrdtzzXEfSM1K
ewjbI1lNCy26SV1BHgMsWqjKGsLA+r6XQVTQwhqTfAIJxz7ltcHhhZTbMJKPSQ/tVSjpGo8k3lTA
WNTojLKTlzHFlA9DUPVfA1F/s1/afdO49fgTCr9V8t6h0Dgi+EmbfWzsTPDetPtU+Uy1NfqdJf8B
kCDmC1E3ng6C/0iMuZtJWqWnZG63KIQByGaweyaDq3Ktgr90ikCpI2PLoY8eyKPLhQnbJKPEpulJ
Sf4gwZyupemX9rWBki0Qgt9pMuH3N1Uy6XaGpbARmJJ+3qfzsaL30B5ygEkcWkhQtP9YexKnCOkk
NNujPo2AR7iXU7MBuxfknU65gZYhtXfS9IDE6MrpWZy5MyvCXazhRYSa0ICZM1LbYa31B5n6NbG/
xek7MyI4OUxabsh2l56k4u/IjrrtyfmbZO1iI3Os4iNd675eihVBffwN5wDs//t9dnZO5UGdEM5h
6uTIi7N7KqWOqYH5KF/jpF3a4ueGhIG1o95AaBKGFPNZ0htfNnH/nxKz2eSad9v3LJpCGQpxE0+h
ilhFdAmPCZkbnKa29pT+ye5Q6CWuXb+l5Ou2qaVnOfjAAN5TuaY40t+Xx0kCiR8UO/FWUiL9gU35
zqolh2sBhdnkZ+HsqTqIjV2LvCbJGo57Ye1g28QbDTEBpwi9tK1RbaBEge1efSrLXQ6hAbj0NYXw
hdm8sCL4JiMaiY1MfnzqLLlwSiBPjfRehWD1OBtPmbZfmVD+0UK4ASIboPpRy0ZzmihSNimJRpFZ
T05dqkh3YUYrT6ImSO7LvPMjiVJfH4Z5O8oVyHRLM7wzmyQ9xoYZbtBalaPMWRRv04CXZ2t2ycrO
WjidEElC8h8+mr+vBEcDeTc5RCiM8MuOtg2ILpBW/9NqzBkZWsHV0JOb9hNy6j9vT8rSnHxTNeHy
5jBycQkI9My1EZfpMJYvWcaecxDCqepaFLv0vgEROmec49AuVUyT60oTtamZ0RPIeaYtqPUrp5tT
aI5GAQGIQGkjBHyFA9WjDpFnuaZ8uzBMyB7iDP0P1ZZ4C/aqorKK9fRUg+s+G13jY4Zg9e2pvK4i
G1xb8f+NCPdTNpsmae2OnobJqSbQvGvEAedo5aQ/Cw/cYZvYv21x4fzAIDps0WsJekYxm5JKeRKG
6Ic51bWV+dgs0rGxZBuQuTz+YcpN9RBpbI1bVDSK9CTQh5xqG+ATXI6CW4oNKWQJaC9Og9IDx7s1
o0AHCK0yzG2qrmRNrnLo3BjaV0DYhGZ6Di299EMqiY25VWEskj7KDtzXMnGUEor2YLexTrbp9fJH
B4EqJjmhKbuZsVKUE/cNt69D+cMAKZCmIHlzaX80QnvM65Ce1JA6yGaPgIlk+r8xwtlXsIwgkxfB
GwzFDzsDYvxU641j6O9j3TpkVXB1cShnVoRbMpohZyFlCTtNqN8MmL+Cc3eAuPv2nrx61PEpwx9A
z/njA8snTJk2NOnQyvSUZfKmsSA2GOevaHDSwp18MOWtpOd7mVkbjbRQCmnAeAcp6rWjKD5Hvj8C
rIfAFXIGURENLss16TsLUwoEo+W1oQeWLbd1gX53yOH5z5+/7DQA2XF76EsngyspIDzllBNiBRll
1YhZFJulaOMnMM0h0Yn9GW5k6hfSGuJn8Whw9Ry8m5G8x3V2Oc9mpsSSWvMhzlDqKL0e4RWSfrxI
TpGUaLJxn9ijU+FNMkNioYz/MvAc/4sRK3g2c+YSQLWEb4AYS1jV0MQ5SbhDXGvAtRohPPInE73H
YdmEDi3GZHfb6FWXEBYXahp4+CGrj85isUgCJog5HCxY1cHGQsLPYt4pY/FBFdcewO0B1v/BA6On
av+SdOY5UwvVDJS4VX0lY3K13ryMDvATl4S08MbiPz8LcKWuCGkMrOqjpRLJl0LJNaAY6s7THCFB
pYMIs2DN9vbg+Sk9j2FA5oyQDOhV3NZI1Xz32Z7ZJHpMxky1k8einWKviRUZuHplXrlYrjcXNwPu
PdyXKmg/RBiPVnNCLg1mQNzSDl9tWbnqJG/yNtkYJWgKhveqvYuTHuyYQVIFLW1XfOJVJvh7oGdf
IHpeINr0obWSR4OCqYZ6ZLrrs3tdKz9QDet62UF5kY4MekO/RzQ1oK/30JUgOzOcVjmScIf2GnXt
m/gz7GLyv9MOuGkRn5lAZwvbvZxBMM86LPjA5GKfFOmwzagsH9QQDdpVVKvOnDYyQK1yC15v3Thm
ZdF6bZMoGwnKqA9abPFe3bYdDnMrz46dhdQlJUQxJVzeXsnat1jXfpEO6vCVnaR+HCMZdnsDiZE9
J6jB96O+CKehK+LKQgy2opNB22Mnh52fa5Lh9biBtumYQjYCGrL72/auTuu3QQDC4IbRioR9c3lK
9DmOCWmr9hijfJWzJ6t9UhAd9fVTX4+O2X/Wg7wn+bAN35v9EN91+i+4rzk2Vy6m77zQ+erxDwEP
CMg4ZNTS4DsuPySy+9waiqY9QtpjH8mHdniH7A+Uv6vYjaLE1ypQ+oV3dg9tbgJ9lf4hiv3wgXa/
Ir3flNEx14xdUX+g9zDGf0To4+mb0/RmEHk7rBF+XjXMf38ttD/xMXipgEvo8mvHBDm7lo7tESmd
w1g4dqeBOtl0JgqRxfYlyjpo634ZaDpBevig5rPftLoH7Q1m7IfywGpOsh7Eje7mYJXV7Wd9Gjmn
6Qr85fvFK84qehW+AVoI7EUNHKmuWzC+0u5ITVbOTj3o5WMuc1FeZY47YKgiKdE8WhvUdrrIjO+U
iSahU40QdZcSVLottMyCtlCrleSlKgGjdoxOsw5pFY6537FaDtKsQ49nFaY5UFHEYr/nNAJ8vYy6
9HdV6UMEnuy6PI54UHzGWS0heavU6ehpeWvNm1zNVCAEZrZGxibGGHyFNOS7cNujJwc9lJcrpGkJ
aKd0ZB0bsJeWYeLp/d9c/mzjCWQi99Zap4R423ybA5eKhh5N9OV+u+wzzy/PU2dEJswBrhVW2Kne
xsFa3z6tV2MCxzkuQrTnAdULRyEEiYY8goo6LsgxSsIjoyF2X30w9fkuI0cta/F2CuX32yavHBJM
oqIoI/oELQSEsi6nMZ4jtUZFlxyN9IBa735ojyOeiIn2etuOeHPirlaxIHxkJpAOopie3EV9n2Hn
BJnrWCu+5XoMyAehJwzxGJwqXvCXY+hGuzKNCS8hMtcOtepdXR2gC+X35bQS/IhRPL+Wzy0JBVJW
DnndUCMKZmt2FTJLDhnaP6S1VupcV7tNsCO4H9pUfYRKEexo3T0CTa/Mozs9YmgFTn/Teq18wG/O
Cy8CB4cgkpP9IboDW9XlBE6llplRiQks7xHMHMfQA7eK/oq3QS9vbu+D6y1+aYr//Owc9WqhdnEH
UzEND8OTWvlhd8zYJyI8RA8rm3vNmBAxELkwNZQtMY15crAgNgIufKdkOpqqgQVrZgckpreHt7Bw
5zMpZiiNqJtBxgaLGntOMlRIrNCbQX+A5ts4+nvb1sK2v7AlbMbe6IiWlXYUSABmJIOr9fc5XhqT
sfKwWtj0F3aEzTgmjdlrFHbm4gPoADBfKxu5XNkXV+kbHK0LK4IjQiw9glMBVgbynhjWex+ytzxU
7pQX+lhpHomSJyVHD5w+d1BAXOlLv/ZOl8YFxzsXpa3Wcohdab7aw9fE/uFb5XtwHPiL1j5Ert+U
jWe73ijCcGAziQJqg7phlPXkuTOUwY3kutz0VVkEVTeuZZGX1g2kAkA1AG4J3lLBLfaMzNOQtHEw
UGlwUiDbD8ycclzJ0pqpJQeC9AkP7pBBQbXr8lQbRp3gUdDEQatVKfHBTYFotmgYcL94TD3QhkU1
+CWrYtxWc9X5oRT1axyCC8eBv5Yg4IzGNw2t95ffwChcSzQlWRANQ/JDTWzg9btw8OWxJe5U1s1K
IfQqqYpFhTyvDfgeun5QexAGXZjUnke7zYKxh+yeEoL7EalN6CNG9eBnc7ZNw9DtjCRQQLp2++gv
2waoDl0eiBSAOrocbNVMmj7rchaA35i+pXYhbSe1gvqbrWbuCPQ3uCJk4lc2+dHKw+BVVRGt3IUL
zhVhPLKRyJpDyUSszbVmmSpkVLOgsPuKbcZ51p+bvgYOyLLjotrEhiZRV82rPPHCJIvXOniW7OOa
hIYIPgOdlcJ6t2aYEyOf00CaVGi2pRXd6l3Tv0pKhCYUvM/vpJi0W9NgylqbzcJWQ/MLaro84gah
lnCyqlma5KzrGDji5ehUgMFta7d16OWFtenrStveXu0lc3j14nCB2wAE5MJGm9JOacy6yoNozsFG
hudswTq3gitGf9GaPutVBhHbGj2U0CLF+vB2Sj7vZ74q7yWrHuK5CJTW8syocwZq7MMk2WXKkUWz
C1qhgVhOJxsuk8lJQ625YepdZ65dCQsLDOkMdBdxiRO8kYRZzpq4jTWjKoMKGabSBKlAXGztzDqU
9di5ado9KSTxb0/1VdkPo/9msQD7C6d4F7OIKc8MNEpXBXVh7froJ6keK/Zuhicbsr5ADOhpu0um
50hZY+Ff8NbAw5vIdytYabCgXk67NRVoO5fzKpC1/G9rRn6qD+gsTenKRbtkB0gKXrEAUxMAN5d2
hizM+tCyyyDL4CE1ygzHeAupbqzY4b9HiCmRbeCcIDgiKlpzL+2kKDhDa7aogqlJfFajkxx5OX1I
Nhp9UfWVeHnh/raQ4UCvMzSFARjgJ+hsz0ZJFxL0UyMVFrHiUSZ5vo3AgLkSCC0NCek/m598dESK
b5gCKPfQtJM6KFUXDMw7a5K3VRod++Z1kNYQggvnEDuQy2zjOuXXuDAmbFRiDzZk86DD3jUOQVv8
YerwBmxP+pb5RvkZzvc5pF+Z+Znaa9vxeqx4DYIEASUmfhTE9glJGorJUNMyoD16qKNPSY2Qg9zj
MvDsRHVun7rr5bs0JtxmXVaQKSuzMshbKL/UgPivEQ9d9fWhIYlzoeLGBAkvVlAwQeqkZWZvZQHk
4TbFQb4Dz9KXvmvcApBLIM97B8rb1Vq1jq/R5SHgVlGP0NBBh7ev4LkzyxggaAGrskT9ERRSGZq+
0ia8Z2b5eHsOr8/1pSkhfu4gasmVCDOQ5zVp4lnmU0bX0ExrNoQwmdQpqUEpStEMmaOnvi8TCk5/
ZnlG0bZvt8ezsAEvpk5YMJRyBlZKdhawqHLmYl9RbEDrTlILd7ZWOLDWbAlHDel2PU9MLJP0WBgb
fXxrf0Fs16VsraFy4ZVzuUr8S84clQ5oRZkyWEJnYzG7I/hcbIr84qTGz3FceyV5Zun9gCJ2BIja
IK8FTYsjxa0KiCnAlqoqrKDdhl2M4gM25JC7eVS/p82wkabYoREe/cXr7TW8fhYgnYXbDPsO6QU0
iV6OtjWn2RiljAa0gv7nsSu3Wua1+o5kx7B51KQ/t80tzu65PeG9b1KlmJgOe6A5dSQ/905Pv0tn
9hkYl1ZM8ce1eLLPTGlCcKLMDbXrDE1kbeRLxR2L/44t5FwnFyTX6I1GS2fr2EgPl2O/YnppCZEk
BC6OLyC62y4nNasnS51VIPDrkXiJE2mBZSHnmf/O1nr/F53muSnhXMRZZWp1AVPj/D6jI0CGGq/S
b8IC2vC7Ipu2qulF8wBG4xLMPJWbhBujGZ0Gas23p/tKxZC77/MvEc5NHGpzpxsFPM++Cga/90Dx
2HqD3z3lJ0C0PqLj8ND64BWHnF9WOm4+ukDx3/6Ixd18NvHCboa8TxVBwZcGWvQD98f8AwxvoJvq
XthvKV9JSKzZEnZySBGdDVZJAzPa5nGJZhLAWTZV5bA/4JjV+zU2k+s6EZ9g3hYEpAd6w0T2ME6t
EspmR4OZbOZNg/4D8osBK8jmnTw/ke6PeujnY2JA55d5c+1P3cZYS0MuvGrhkfCWBBhK50lpIaPV
QEh+Sg3MMKvAW7Md79gPNKEy1Cv+zKMTreX0l+3BPUF5Cl4Kp+nyKNWEZMxsKYM8Ra3KDh77Y+Tk
KWQk3CjtZZ5oMqsWVbKu+MtQ9YAClyQBxVvVZvUvrjt0niBs5E/qq4bKJh3HVqqwwXWt2Uhsp+BM
T/SOFaeRjisbeekaP7clHKZKSlHKgLcLUCyKmldKHoi9UpjiZ0F0j8g1AB3Aow4s6eXMZqpRdl0D
T2xngwftcaQfvNgCVRqY2cYPK11LQC3ZA1kq5g8UfKCxFAIto5W0Oe8rGoTzMeKym1+GsY/6u8n4
HOzdbT+weM1A7sMEtboKaLr4ME3ixComicBY8zalDoOWN+jL0n4ErbXsSICdRYZLKt1X5t/TWqpy
aaQgWVRR8wOfN9LilzNbqHWexH3GAiKB/JzFRxJtmAk5yS5zieVDSfv2aJfs8cciIA8IG3QRy1NH
qpqM8ogm6kQ66OQO2B43DJ8izTNz8M50YO25bXDJ9YF9iJ8DTC30Ry4HqNFeqjqmMVzipZE6bfj4
NcX491vUvETqGoZmaXgWF+bA3sH7UWyJHc1uBl+KzeD3QicCYY8RgeYjd/UEmY78uYjDlafqFbQC
a4f8J7TnwVGJVkyxic+kEfBRDcmDeQa8AgnKrlCDqXpVu7tWfent4ZFa4XFQnVJXffSsuMp9hGI4
0IXl3KPxWffm5DdJDt377Xn/hiwJZxb9HOg/AgKWczgIZ9aOyjmMQloEVp7uk16/q9vql2qXf3SA
n0EqOWDD6ehl1xppWxHFrfEQjZ0oRvgqa8UmrA1XqucHkm6R4175toWgRzOBtUIiCBxYOOiXm0I1
6kE1RlIEpvE1htNpVlLHgj5FMXsRecpBx1I/GnPmdX3sjOFOszqXIPtM+v0cQvAD+e/bH8TtiXMF
ZSVUTXUgMTFfl9+TsloLyRCxILRCV9fQGquZ+TEZUsUro+fbthbHfmZLcNd1n0tGOGs8FvBIt0Uh
1K0w8Q31mLnGa702LuHwsSihFtKZuBrU2FfRCKw8E6nd5MPKa3Xp6sX2R8Mb4IFIooqNPSlyRlZh
w43VA+R3Mq0EkKKA3iV4dTLJ7TLJi6m6mdFqZ7K1Pv+F+w+2oQAKgCTKBWKlAOwJU8r6hAVRV7tF
Yu6zqX61V1nBrmBc/KRbEqrSyN/Y4NASXLWc9cRswoYFKoDsdTP6UjLcd9FzZ/6ike21hjMbmjeE
yS5qhp+a9kpXpQX5mRX3KZjjJI79RluyKTwWqq5W5znM4d4MjbqKVUDx0Da+bm/QpQsRhWPOIA1s
jwE4yuVpAFAmi/UaA03yvxaN9ixmvj4af6Z8POjAupqJ6epRfq8P+tGSvKYbvdtfsLRtcSHiUgQc
ULuiolXKXtcqWjF028FaC6wOBJYi9Aw10bTiv5c2D/Ys6Bp4szBKTZdjVXIVizW0HNwjyY7V2QQc
y7biy+G0lopfNPV9S0A/GukjMRxGd4qBplBuKvfHCOqzU9PcJ0garLjXZUN8BSEpDJZZYUx4yVZt
Yg5YP1UDU/JrMgCbnK3Uy5aMoGkHgE004IMKU3gxq+jeY4WNQIKAc9TvTeXPUBeSY7TGGnpradOj
mqwgzQ0MNNDrl0sUsqKUyhARRE0GJIsei2RcmbCFGEXnpxqN+BK00EQpY73vLXusijyo574ID2xs
UYcJUbzZlmRqw31MVLyVSTjZqUdQQdziopKYf3vTL0woMtEoV0DoihcBhVMHFuupjts+B0LrSbOQ
1ewcG1LFt40sRQUggkTZWgZ2z0bq6HIyWUFjy0D5MEiY9277vfMFEm33IXh999H777x1DqgkVm7X
pdz3uVExu2KXFtNSBqNZU3vgw4cGyQh9pKlo/Drdt7Y79uAi80NtV2ZvdXIgICy+Pe6FuBCULApe
oYAXK5I4uX1B0cmkZnkARJuxMZM49Gu06oD0GZ1YllpuagPSbbNariXel24NAKTQxMkbggCzFg4j
S8ZCifFXgJur/FlJ7bA3ilFzoYsw7JPW4jtKTrfllIxok64Md7CBJEjklD2iw5C4VM2bzT+fDNRZ
TewyeD582OUeGKHaSEsoiwQVyay7urBlv0FcdFDKSjpElR359VBOnq7F0tNty0t7HE1DKlcuQp1Z
4T8/y5dK8dSDhTovA6LPm7Dsd3nqTpW0vW1lIcJC1YhjrjDheD0Krkmy43ls56IIutCvqp9Kv3sf
9L+r6dAlM+gUAIoQjhZJFmFlUbUdm0KqMY1lhlWkKULHUdoPs3oq+ln3kIRYa3pfcFSoISHK4c8b
uArh9M4sHlmeFSX0kNSDnKONGsRe1DwWquzpdNdvJWj63J7MpcN7blNEZual2oJoCHXbdni2omMi
ffbWU0elPUNWjqonDSLSjfIwA5jK8pc6KrblWp594QbgpTPeNwT+dFwBl9vGlkNSo2+4xLtqdsn4
2RRr8auC3yAEVhAJAaEACtSIN8Q7RgKkJsurAcXpbCenvgRUfolHo9/3bwN9k6fOiegLzfw1LdCF
SAfQccQCyFrB94tdlP1kjGGo4vXYUaXxmdb+VCGT4mZmIjmstErv9mIu7R+w2vCWM2SaEfVcTqRE
sqJj01QgsOrmyjESqXQicPY+yj3qP729rzIDukZ9WkEQmUgrsdaCE0bQirgOOHgwhYv9ZwUS22aa
EBQhbYDDm9iFblJGN7W6G0jOXfFKi8HCtkEnM+IgdJRAb1TEdajhlPVqWaMO+R/OzmtHbmTp1k9E
gN7ckizThtXyGumGkBt67/n052Nv4PxdLKIIDTDYMxsCFJXJzMgwK9bqvkpda8d7ylobC6K6Ki1T
+gx3AAS73s44BYzSgza7xIpan4MJgvVCG6d3jZImF6uQQU0JcgAjeWDstLg2HOlSqUII0aQTeTMH
MCjj0Jj1XF6gyqNeZbXPfTed4/k/tHLxNUxhglcBc7YecABN30nDlND2n0cnDHQ7UA73j+RWtgFM
ArgqLaWlO716jSDTyArZAqIR5MKjiZPp59apDNf0azvoiw+h0cDaY/TuUJm236bHNtsTqt86KDLZ
HUrgEsij9dzupKsBEtmANfwkoo32qen+3F/knoFVzt835swMVlpdmvxpFL+Ohb/npZejtnJgAL4X
iA/7SJCzSk61UgiVzOdD5ekxR4D2AXIb1S2as3xkbEuqbHOvf7Lx/BmEUoRTFMBATq0s5mGVxdEU
VJdsIasORc+ArV09FApEtjsBy9b2MTa1DGlxUMg6ru9ZNpeiWRZNdSmMWjoUzSw6QRrt9Gi21kNs
IgEqUEnv14dAFxO5aEq1uqhl7XSz7IoIVehNbENQ9Z6MeCfn2PD8pPDAz1XZAO62RrnDYTmaU1/U
iEDT/ArGR6NTTwoe2g53FrblK9g7EqelzHzThqGoLJLVJPUlic3qoFrVy5B0xTmPdg751gYuamML
amcZDVre2DfB3YxIwNh0ak1wlx4HIbxI5YnZRdr85YddIvONI4HqESkMCCuABdLqRullHSaxnjZI
4xVfZmt08rjaaXpsmSDKArIDpxK18lWwlWTDNNAjBDvW9NCVGH586Lt0r9WxcQ5MwhpWQWGJyGPl
/iwf/5dKAKvk2nzqjdgWZiia9Mzto9N9J7RhiWAVtAzjdq/NjuvvI9BvTRVm6C5Qorhq9LstvojQ
E+6Sid7uG1i0RQkEqBhlqjVUTBayMld7QND6LJovo2YO34OK8ub91dyGMlihvQkeh6IcfuF6NWIk
x4MUEMrkYf+sDnkOgwjakkrQWg9+DAPCOJolKsGNcDDbyTrct367l7haYlIAyjgMQNnX1hkqLwte
zOLSDCUSMmmsvVd9I3X9YqRGNhrhzmo3gIyLb6e8CtKDiuY6UBxlyNFDtSwvyhAAB56FVnpuxNi0
U0kwnscmj1/mhlDArDNgynrj6//ofYmEU84M2fH+4m8vOh8Xj88v4iDxGa4XH+nZEOo+WVwkTV/g
T3xWxG9oNXVN5RjGnlveSKCxBlMRBMN0MQiTr621TRIO6NosCEe5yNymKatveBhtsNU+ld+PRUFt
W8grKHhyIVL/geZKlZ8H5qdDZ0hqGC6VXqhQC5uNcufV3ToFy8QysFZcOOXn65/WWH1mRJVYXiD9
mYL3bfy+jpx62In1trYb8TNgZ+CzyWZX2x3XgRb3mU+s1zT6eQoK/6T5kXRIk1hzBT/6CCOVvGNz
c2XUQ7nCQO/NddLXT2IeqzHhRFuHR1EQskUt8dGo4tKp9ObH/fN0G0YvxVc69sRfBOrK6gtLWasV
uYyxppjspR9iQdCIVOzkJ3aXWAcq3juP75bzIFyHPYXMC8e7+nAF4TMxAE63ST7K4vdSOoTGoxLA
0Niov2N9z8ffvsAs8I251RccusYSYb4C6hK375BKOo/6N1BFe5JmWwcF0qmF2tZkamJdy1bjoKyM
nHyHPz4NaXBsxskbe/IDOQVWH++c/k1zvPcL1THTjeuaWjcKUVdOnH4zkU5RCJZ8tro/s2L+FKdf
Ibwi90/Jpgsk3cILgGyhVr4KOBfCwVpVpfJSPyfJv50rH2vTTX41HapWjvT5831zW9+Mpu7SZqGp
C8D6+m4nSSc0faOWYD0ZrG5Ax0OsYU17JL5bFw0CNii1eMX4dKuzHwZ+ZRndROqBsmTeiKU7acG3
cVY/Cqr+5f6SNlBBDBczsM6IA2M1jPZcr0lqDD8UEhlj1GFRxTqHQ3EcZYfBx0hxZo0UrzzK0xfD
+igmKlJlBG/Di2h4U3S8/1O2zg5ehZHsRWDyptidt2OhpJVZXarpIOuXJnpq6k9GcNbEHUObz8db
S6tTk2ipX/ihUVH5tXXD6Q6Fnf7SIpvx54cCNnDkMxt33mNR22iIstXQWVDrJC9DReF6q6N2TkrC
h+oyowQrUfSF0fEhrYcH0dfs1JLohY6f4zL9PJd7VYkNnN/CPU4wuTTwqH6s3E2dwU2XxnN16QH4
kVwwsVNXXlt/ywzVLmIvlT5o8g+RAfPWf0oKSF4z4R0KXzt5x8Y3XqbViM8ofBMsrH6GHKUVPSJ2
PmOGUTpmjjxwUxV3JzTauKg4cZAEC6PggsG43ml0OOY09IXq0snGpQUwGMlP6LV+un9gl+91nV/j
5N5YWbmDqahmOWLs7RKn6aOuOzCG2tReDm2+c2A3l0MZgg2jpU3Ac72cISgiTYuq+mL23UE0U4g4
5IdWGX/fX8+mGUMXdcbu4Whdpx1CF1SjP7OeVFAsRnVlwOxV2p5Cags7jnvjsV3ygP9vajknb/JC
QUSnFjrY+hL2HIDE0+LACWPhY9RCUltZsZ1U8Cf5e0297RXSnTSggqJGttrIqDf8WtHi+mIRpKbn
6Je/B6jdPBPgDemgQAYK8OF6YZpfEHZX4ZLwxjYTFoeC6FeNrUNS7FylLUv0cdGMI4PHaS5rfbOF
XdU00xTX9SUAWRGluqskjwxBH6v2z/1jseW3EC0gv2AwBpmSdUhrNUhxj8FQX6RC6t4nxVQfpXKa
f+aa3J7qskBkRlKf+siYj7MoP7ZRsaegsOU2FvjmK8ABeNCyF2/WGsOxWjPjWF8guHP1DJ3l8VMg
HCNBPVbdf7hsb22tjqYuZH6XtT2X7dTrf8wXo/95fz+3Phz9LqT3yFKZL1w970IB86GfzPUlTz4H
KUov38Fm+tLn+1YW57N2Tq+PDGObBNDrIbAg1cqhUaT6AittUZ4U5dv9v38jQGc2FsSWDOUMzNIr
T65bjaC3CUEKFHLZS8g6v2VC8SjG/L/KjMxD2qaijXrq38+q06KkPQK+gDk61nZ9FoK+EUZ9YBAs
7Q6l9U0L35vNTlNiyzu9NbG6WnWfdnmoicQHKV2PHG4rkW5sPn1QrfYgiu9S8SBXp/v7uXXEl1Ic
uZxBEX9dvOoaKu78WXXhBvVa7/bq98qy575z1DrYoTDYvNHwcBPEku4AB1ndJ7EPIqk39fpSl/IP
IRKlY2+YgVOrWuUy0SQdJQVmgyILcrcJALx16WD9+Pv1onkMgIM8mcbz6idYWR9AiERlsG0ey8h6
JoH5GETRSQqkl1bfKdstH2x9GZi8pN6JThBHZ3XlYpoldR9FLeK+KQJZGmxWqS/tvGlb9/qtkZXr
D5oc4KwctpcW8fUhPs3WO2Gwy/k/+H2E52l90l0CobIyIzDZGfpdScBujaInS5mTTcZjE1uqGxZK
7N7/TFuLskDO6otGD0L3K2/otzlTH8g4XzgGFdQk8Na3Uj24qVadfb1td8xtfCi6nktf7hXvsq7q
i7FBLzv1m0vdtpw93awcWkEJCLpwT3lrKwugSW8xA82hQHl7nfkofmKFdddejLAsGbz4N48BdkeB
qrjTOFuXlsmmozkL6jntROXYyFn+MoRGfgyz0AQHW/Y7X3Zj8TQaILhZ+HNARa/cThWZU2OMccMr
B+wsMG2l71xd2XE0W5efBg3T30tlhUxkVeiw5LHqwjrsLvrJqh598xBVT63R0Fh7KIriKBsRN//h
r48RNuGoJk8n81ozcDaGETMonHYXiMdMesyXtPjx90eHuqJIGouoI2nWyqHkfjbiZpr+NaTstA+l
pNhxJzp/v5C3Vlb3oUmDSqnnur8Ms11OX7rWLaR3A53y+2Y2joJG/LhAS8nK+UrXj5w8xn7a5tFw
0YvfQ/gYSo7S/rpvYuNmv9LpQr0PYs9c+0S4UAqR3sJwyWYvjj6XwKr9RD5YUDXfN/R6kVbel3I4
6BtK80tCtoq6m0kcoV9vhksXA7+fwvK5rr5SGIdfURkypiMZuqFMrVjnIpM+1AYUF9/6wOlkBIl+
Dvr3WX8p8tiu+KC1Sp3iXZq/6P1nPdKdaAAl1iZnPa7e3//VW9sD7I82EiKAiGesfnSUwYgx+9Jw
MaLYzS0XiRq70T5HerRzbrcNcWhhbl4quatAaprSMtWNbrg0ZXaCDaevlA9BVLybgjTZMbWcmpsP
QToM7SQVXJi6r0/VOIvjmCTKcJlOQfww6NqJKmqsD3a9O+99Gx6iycc91GAnoaG5DmeiPh1HMYaD
QO/ByfBetE+xG4W/KunfUvj3/qdSb5YFgQTiC8unovO8DnUVFNZnej/k4dpoj/jwcY984PY6ooML
vsqktEkZdX0Y6rnSgyZbqtFpLbsU0exBRb5UUv9W7JKzxoQe8lIwOQKvWD+3cTPrBH8x9ZFUb20x
bIAfmycxghcxyZw5FS/DS5+kO/HgxgZSFdKWpgWzgcSF1+fCH420mSeSVkmtPJgEv0tWvuMENiq1
wDkWeVRl2cUbLpdRbEw9iQg5O2hk3HSWDKcwshe9DVPXqmCQRamsdpOaTpUcmo07zpnjQ5mxcwW2
lvoKqGUMhifQWl3rrkxLsxAppaCCfkiE/KD6P++fxuVvuL5k9G2ZiaMIztkHBXi9mTRO/D5sKHGV
ZWlnkZLRr+gpdNW+V6pS6wam+q8vg+kUq5236fZ6E8rTGFsWRnFjLbIj9JpGnc+oL1GQnjUKK3ro
BQt4LQmeFfXj/WXeui2wd3C2wDlKu5OCyvUyZRVENKOy/WUC3PhQKihByGYYu2HbTg+GUog7H25j
cWwnEEcwjoQu2ipaQyqhkLK+wF7RnsGMfS19SH8ElIVsdeof1UQ93l/grQdjgW8Mrk5KnUxZUMpV
f8kt4ywzsxVWrgG6auaEJr58YprsdN/iakt57MHAkdCSUENhcZOlSGqgDKPZFF4VS/CQ6mP+oA2p
6ahSPD+lrbbXsF55tVd7VIKZj5F4/pnruP6EyESami8WpWcw4afSPI0o8FfG9/urWoO5Xs3A3sns
5lLyBet3bcZQGzOlcYiZmNkUZBi1R5hxYXuPy9KZjUH51U5p8qEf4KaUpsl48iV1dOV8GB6nyM92
UsHVOVp+DWAhUJWIDRH1rEvDVkm/MpLlxhPUqTlKc/Q5N+JPugb5ihVk6oPgQ+11fwc29pnnFlQA
HTH2eV2xyLMmQPxRaTyFE8zwsRBCjRsOhDlzuHOE1lj+1+XxAlIlRkCAd2S12WqRKbA0yyg1hVJi
HNHz8cHedgywWkkkEORHegK3aVPXX8Mi6c2DICHOYReKEPzykV79p2t64X3STbVpZ91cQxaLpLUC
83la1Ica7i+mtPNcDG0mjMudusu6GfX669HOUhY1WN7bm5h04N0wKrPxaiktBzsJ4uocGHPmFoWB
GmHTDwL9iSA/Np1enBJhFH8AeWxlO+wq4ShUMdR3otA9xhHy0KoPXXVf+vXO51wnUK+/cumjLKxo
VGzW3zNJ5nAKc6PxDHg9IL6I6/eNEAAOG9PZCcy0OgpNlzqaHlq0eXSk/hBZ3PnQr7fmzTPDj1iS
ZOoZr1O0pFbXt6qYfNg8KYZ5s58g2ZjJvha48jgvA8K+MZJnFVHzhfvtd8cQsGF3rMGGtnY+jcHP
ofcVAGZDWxGZSX31YmaT5tSaFj9CypIH9EvMqSQHHaEBNsNQz39G09i3Tg4hPXlCHyif4NEl1BIV
f54P6dj5DXxho/jpb6+OBG4IDj6FCuYCT75eZR3Nk54MU+sVslQc8rqRGEsmdeg1a7fMvQTa6x3l
XSE+xgPT/VjtaFctSaooYgsWctcPUhlFgyZGCdDyTbcIfP/zaBRAKIVwOtdKx0WQ529oMcc7B2wx
tP4heAsIXBYCcWiorhcdFHVUChrnqzBGC8mc6JOvp8k5HyJKPTHasXHzd4/r62GiIM2s6yKNjC7y
tUWjUbU6UefW0+cSJmyDsKudVVj9YUQ+cM6GE1C49uH+t10FSv8zCs6R5ECHCWJdh4j6ANXPWGo9
lDnr97QNI2iN8sI1qm46EA02p04K1VM4TaHjz3r+X8wTbnOPl/nUNTJChEIp6zo+t16iwqxq2fAN
sQUJyQz1d5I12YOuCo2T9LXsUJvdQ5usG7LL6mmnEKvxIi5o9FXap4m0u01f6D1dbKKPqd4giaSK
8NWao36KYFQ8KGM0Hcau6JyA6P3YtJXgEOZ8UAD+OG0lV26RD8FXo2/3unOr0Of1t5Gpg0IFsidT
n70+DmI3MpolDaUXBFQezJYpjl41HLITya4o3L03aaS9K1NL2Ylgb19K3kgKwozVMvd2w1xHL6ns
aQ3WXo+432jXQcOwpyXonXjyVS7+zhG4DbiYB4JYkkIYRW0+xfU6Z6MLh5g5Eq8AAPE+VZn5UvVm
ckytZLojKbXo6/0jv/yFq5vNmAWe8VVeA0LRa4NREIfxHFm1J8jxfBSWg0fte69btrmspXhErYW6
7Xr4mabNAAwtaLxu9PXMaaVeqROHslUpvIv8dCbSE3xlmHeyyA2zNMOha1+Ip2CTWe2mHs1gAJfF
ydN3SQOGBvg7E+DxCdqdFGvjfBJGacvpBG54I5JslJJVk002XoVIXJtqjqG3Bx0R2w68VmkUpybf
YwPYiGIJSqgw0IRhSI3iyfWnK4c6T/qu6z08k/U10NKvo54WhzLNNDfUEIyzRiV1esJWO0HHzKEe
RmM0UjVkKHt/j3px4yChh8KQMqk0/no9PTnGRek30FB7jPOqH8IxmI9p3+xV4zc8NKVBuDlRTAYh
uR76LmkwVFEk916iZi+d5R8TQ3QnAXai+aGooRQzlE+DGu5E6BvniKoRk8ogPNnttWMepTnPjaHu
vTroejsEkCO12XexCc+Ver5/HzfCZUYjFt4ydKF4a9cciFlBFt74Wu+JUht9VHyh08+ZEPeWE7d+
/KLHXf4h8c3SskMFP+2KZQNutK2r7LcSqMlxEAvDTnjGXoIyGt9R/P5WJY10JsZtHupEkN71ChKt
93/11gah0UlJFXGeZTzh+igG4MO6sQwGr2UqZtCsHtRJ/0MZq9Ip6/R039jGXaPSuehjEJMv5bxr
Y6U+KFmdL+/UWPfOVM+Gnabp7zaQv4d96zYloEy13Yv7tqxCEcU4KnMkGhn/tdW40zujK6PBq3Xt
Y5M9z9WvPj0lPnFIe9AQtbi/yI2Djs9aSm6vE3/rpNAc4lIY22Lwml4/j4EBteiXHF7WMjlYSn7K
f/sozt03uW4/LY8sjYrX944mLGW/6yWaExM/iZgOnjGbcN9kk/nQpzqyJ5DlnlpV7E+Q0RbnIJoS
N9PMf4gz24NErdPOrPCkTebeHPjGsVoeQdzc8s8Nel5C+yKIs2bwkH6Kn+BHbU8TlemTjGN4ENJ5
b4Jnyx6EroA6uH+8icsZeAPqmLtREjqeeU9SZ7cAJW9z834ESvEPsWj793cGdCPRDCW5BXi2OlBZ
a7U6coij1wXxt4oSjjX/W2rT50CvdmDSr0RUq0ee2huYVJpQZPxrAsaYRygWrajzJl2ePsGn+blr
4m9i1ZeuGM/zUyCnlhvWivGJOZXCSYemfkHUKzkYYhQhHx1pcWZPZf5H7/SpYmbBKj82LOzoU8G1
w9iX7bhIxhPsKfJxoOqwc+PX/RpOJm8cTbplsoAsZB0/NIVgmHWTDF6sGjGMA0KXPpA6mB+DQDkm
fR+fg6yt36eRGZxDA4JmSQZ1Pug5mW6UGccyVEboLnXFbemanOoqto6dpbXnos8n9NOkFm063bfF
1PwQZrHghlZHnsMkm5PhhdykTB+jvgd92rd7PBgbXwcNcnotJtEXeIs1hndknsuqs3bwqgRNN4BF
0ce4b4JPET23wzD0dWaHjfKZ0eLJaWdlOObGNB7kqY7dvhvmQzcBDx2bvn2EQtt/NHFQTk2D62Rp
gX7KJ823czFCkE6pxEPcFerOQb59+fn9C3H3QrKBz1pC6De3phblpPM1bfD8ufQZXxVKWJqQFL3v
nW7vJlYIIHn0cYuw4F9bMZkpF5McX6C2QuvmiTQ/B3IxHFND7F1j7OSdVd36e8rxAFyWGiHhzHo+
SNIbpZnncPT0rJedxDSGZwisZlsNlf5gJEXotq1ZIHOg7dEwblmGbYoqCjBy8GWruC7p4Uj2S7xQ
M5b+KZKDz/EMZevQazBAi/L03LbKqWzGvXr27ZNDw0VZBoSp3cgMfF/vsJ51umAO9ez17YkIzIUh
aHyv6c2jJJym0mn2WNCWosG1V1rswU/yWojUzOXP35wbg6bSlMfR7A3lcJKjyFYkJPuC95WkOnO+
R++xuTo6IMgoEaLwyl1bm7plw7Vu9mB36NzaqsBxWILCTdcsW5qMiwCA0p2qpeqk6/POado4vRTS
GURasmvKiKu1jtRmACOyt4N8nMaHOPT6+rv5n4yQZTHqDcHUGsbXlkpa5BOMmbXUfm+kzI3S74P+
J0Td7P5d3PhyrMaCggyCfHANq0CBwTVDGsRm9hj3CesXMb5o3WcxmRwYwu5b2khyFpwni2H3F3yu
fP3ZwtEXdDG1Ji+oyV0U8MaHKHTjxGkoQqhO+7VtU7uWAUZq7o7p5Z6tzuci+w0knFOzzAlem/b9
om/lYJ49Oq29Q5muHRzeIPPIadGerDGsbEGLKM5pYeZOBgRJYdVHO6nHuku5PH3wI1EK09kDYuuV
30vVrh4bg1+Ry67y1f9E5cPVbdk1bQeE8v0lb33Xt7ZWkXXQdKFZqdjqotlVU3umqiM9amno8Mbs
fNkNL0eaTJmI2ib3YU3xOEujPI6FKnrUXZ5pAJgDcZ3GvxVI/9p/5LLeiahvKznUVfBtC8SbLV2D
q6i9j0VSTZIXaemDQNbwCeHpyC5zYQ+sebuNWEJiBpFW4Bp8uuuDo5dh2TSDL3kNVLbye7P63euP
Yks3awp2dnFrUThraoZEdbRyVhGrXCu1YaWR7KFz2D7ltRkifiMox65shW/3D8ftM4/azP+eQtoM
N7rMbSXVRqBNihf3eXmg29M542zuLejWUYIzo7ZOwLdc+vVUyGjkeSYOoux1vfpRRntDrC07QvO+
TvcUTpbPcH2/MYVLYU6LLAs48PVnIrPQ9SkyZA8WtXeK6EriMyIrx2ASTxAtnGqqNky775Skbj/Y
AlkktaOoCKrWXD1D8D4NidX2ChT2PpSmNDME5Cl6eDB3TsZGNoelhQ2Xh4BQeA2tyes5SOOM5ZV6
K3la337vW4b5ulwvj1kRvJNUVF0rAfKm3kA5KZGq2cb9hPY8Vy9V1P4lQRqOjCYG8Bt6nEQ2VAKv
t5tSXz8ovqh4ZZLbdfZH8b/cP6AbBezXNskSQ7PFNzIqphbU5txICuqMYhzbUqc0sJr4sIarE/5L
bOT6S1RFQ+6SZ5DXKFqdgiQGQdc6TSR042Ho2lFwQlkrQicVQ3ifrK7Ndi7SRrcOalvymUW3inGd
9ZyEVY1hGY+64hllo9ppkhqnLqn7pyKwKndikMPRZk69ovgIflbmz07opp1juHHNIBnjCNJeWlo6
Kxc1aInRDXWnerH5Q+kWOq1zbmXHzJd3vO7GJYMPCU1TLjXkAety1uQjjxV3jQoP/wS0pUdBNTUE
3a7LtDhpYhkfympMj0Lahqd+VHbZvW+9FtkCZVl4aJa4a82yFQhlXEv9qHoMLD2pRWTHYvxuapvz
KEZPQQKBgfKgRj8iKaKPAAO3JqHJ+65H7+3+4dy498DOCMsIZxj1WYNTDF8bOyoPqoe7ZkJEymxE
XZ4YJP90387Wh110yJbkYcFrruIlS0zaOpZLzbMgwLaa+TQhAjL0ARz1O5Y2V/TG0sp9ylFtFoFZ
aF5S14DpvkZZ9NiIP+4v5/YpJZ9k4JoODD0YIttrp1GXJU3kdtQ8GMpRWx3GwUEp9DNEO3AKdEy4
TVJX/4dPBYULsGcNcPAN0lXN/YZ3xNS8caC8O0wG0A8zVY9lW+3pIm18LXovdBpJbBnCXLfc0lDR
G/5H9YKyfKdb4OlC8Vmrf1dwa9/fyNtwS11iBAhCKM8vA8PXGzmVUWgVKOd6iC49CsZjqURuKMIq
L/1U6j+5fLxvbqOogT2KTnBA0ifF9LU9IHd92bWT5mXaLHZuT+Qgc+Sl6SR181g7YxVaTwFkvP+Y
WQ6ReUtT8mQIOaP7k1rBCDRIk3apJCsS7V5HxdVJNWURdGIcEBYurQ1/q3IWgsM30qGwhWAWnyfD
KHVbiY3o5/3VbGQhrIYInCURg1N8Xq3Gl3Q0wGXNQ3FJriLb8Cc7FZJTyRC0KTqxhIiK+NIBkp+G
0WblO19vIwtYfDX1QqzzH+tioaoQfS2FHc8IYkct/A9Dyoxb81UJ40v71RAfs26w2/aYhvIehm/r
uaIiynckZsaDr5v/Y5UAuIMZypPHH9GsOeAGvyfNO4h5aRUyda7Eji6PJePnp/vbvvF2kFVRAAZw
Tjy9RoNlyTJ7oFW65/dAbfwx6A9h1grnvLcQiJDF4mDWpoTsSjnCn06363Df/oaH0ymZEhougGug
LddfvYLFmPiqJxaF0dgNxiJ1NQDEThUpzU7m9bqWVTDK2wAdJBQTDJOtCwR+OGvKFBKtxXN8gLbW
ja1vVeS/JEA2fcWZwoZ5TWTxgv6o158CdaEZP0/5udQuZfAnnU5WGNkStOMNRRTYUymmHI0Wjgrl
4f6mbB2HpYpBnRIYNYxNi8t+U7bxDapHip4qnip986vIrRrrN51I15Sfl5pDV/bHelTOTbJHCLqB
xVo6jK8Dx0gCsFUry3MhmDGBExFtcJaV4OT7Z77aP2Y5On4KLOxZrNKzmmgnQ2ldvzuHUXv28/FY
a+E5DfUP93fi9m1afg6RJq86P+o1HH2zERHTqVmYTjqzCofBdIXLRZ6+FntSCJtWuEvUP2h23VZX
jWTWQuhgPZSZC6ecIeFP4lo9kLySq4D6pRJi/vXTvjAmA8JcJOfw4askZVJis/T9CMbOZh5OfuOX
bizLmZ31U3y+v4m3d3zhrSJWF6FNI4VdRRG1WOp63ao6UYTllKkCN03jDFlxmUflaAYdeZ9OdNG+
u2/29uHFrMJAwBL9csNXV7sMtRAkm657Qv5pqt+F4680oN669+puru6NmdW7IQt5OomBqXtKXByp
8/+RwKsoefcSD4yNEIlCVugOws7U1t7iVjeUi5tnHSGAx7uanEfDMx7NvZb4xrFkA2GzJ2ZlzGHd
UurDrq4MHVLXql4KN6EePIVjWT2kaZ65plC2B7OEO/P+V7t1yMtX+z+jq6/WhrNuhAk0lT3TiC5t
IsrxffFPUPnt4b6lDS+HKUY3yJupAd6Ui/PWn7Qh4Vzm1o8I6RHDOuOZHDkVz7n8lNSPfXgOy73z
srnAN1blaw9Xlb0GiB2rOHNAw8S6vR3soWIWN3n91CxLW+aV+XL48NUulpIuhEGm6XQ2XGk+70pW
bS/i//7+1aHXSxXEUs/fT4pnp+2nQPqi+3u0PntGVmdcTusmF7rlZo2SWxu67cfac6n+dSrAVoHH
o0crAYFfV/ICK9YhpLNwvlYQHBqqh06X5b+p/vXH+wdu86MQbRBgcuxIWa+/fNCXYyULoeHFGsBK
XYorpwSs8R+swK24dBspPjCEf23FrMQ6WZiEvCGXigdzkGgAm8Rv99dym2tAZUvDnsh/gTEqqwOW
6DNAY781vVzM4E7PKtFJrdRE3ctqHqHame2hqH6m0N3shMlbhoGM0kVdHmRrXdVAmWSaBHE0PX+Y
0S7TM/3ITGGGoHA0H8bYSM9SKzcnLcmLw/0lr7XiqG4t02VQkRESEBqtSYsUZQCBLgymp5WfZvEL
KsLHLBrOcwYnY/R9BJGbSGdVEw699tgvdR0apIy727E62VZTnBkwejQhxIrE6NFoFlDjbp95ebVX
9x4Nm9eQjdoqzHjXHz/I0rg0IoF736bxHyhcyk+dIPoEbn71ogpq4ZiVkriUUdRTqc8UQxEKgYwz
dKAsFFwzVLpjJQ3aC31Q0alj1fwcW4MOFlSv3E4Sfo7ZnHyIRGHYObUbrygzIfBnkvyQBq1Fv8uu
VM10wisas+TEk+aKuVv0X0PxYS5+tdU7Sft2/2tuXEYiEkIgmnUMZ6xxwFM0WeXk5zBKaUJ3kFLj
u98CqrtvZAPUQC7OVV+0prkna0pho+oL2GJ93UunyiusQ2Y8Uchv0TGxk9kOrPA4Tz91/08eh3YW
vgQMGvntU6BfFNpuUj4cI3N4akiHajsZDrX5qTPPlfxcNAyHHpKQhmqv1ztx06sQ1uoQsSmgSIAe
MhW4JjkXVFobPl7RE2ep4Gyntf9R0mvrU9TqbeaMiSKe5M7oMwTYVC64KodWADY4n/7t1IjJy4o+
33yEriwC1hBWxTe/tqLANmRfhOrbSHNQzgN0UKGRyK0rZ1AmhVrW/hpnbUbkbEgixZWSWf0VA+AI
XVmJctFpiMMbuEj9noG9ou3Sg6DBjOqWYdxl4EzjRdonn6zvWtUYpq0JWeUtetQJgF4fFgE51eDu
aEt5TmkIT80jMaP/ASlE6R81THxKEI1M/aLQEqnDl/mCYXeplMQOtKjWKTUH9WswK/VgW6NWf27D
TIztum/yrym6MK0dNEVA0qJZHUSYQZm4YDcBdPiyEDiCFfE4NtnUdO40wIf3qPcG+WVdU6Q9aF2h
RycYnfTyoWmb7rvYC5J8EGC0UU+6NlXfC2rh3/Sgz/IjW+QHjtHl83BGStZQ7HSWtfIAn2r+Uexo
Fe3429eZ2bengYFdqnK0gUHp085Yo9TooimCgGNBFjSeW1tPgjq1/Qa0siPLsTTaSUclVYFCabQF
gRatGlrpO0NAndgOZ2t6KirmfcXZlI9KD+TNlnpp+G3VafAly4pmp5e6jlkZ3EAEBoYFXvRlRnAV
mESNYbVzI1DYi8TyVEhwsErlGLtW0ftP0SC3Bz8U/zZQ/p9RgLEUj1CANlYJjlhLkVj0ke5Nybn7
YhaqOxcHqTm20d+WKxZLUBrzuPMUMQe0Wl4thkzUKSU5jaXYfqh/sarugbrQX2YXdMNxjeRNzM4u
89SrGCKLSrUUM5FykMCF1VzZh2dsOCnK3gjITdFrsYSL4TkhF2USeBUNp3npz33fat4U/x6b5kWJ
q/9H2nntxq0la/iJCDCHW5KdFLolS/KWfUPY2zZzznz681EHB6NmN5rwnJnBbAODcfVaXKFW1R92
ffcQZqnddNppMJWdmD03sfUj7tdUKpd3DrGBnAEyndcKI13E1kprEiaPzM8bZ7mxaEun1c4y7c6I
KluC4ikh1NeuJE7zFzrfTudBF2tFAa8VJxAFH5XgR5C8CVjfhX/7hpoHxupnWtEO5Q+LGIml1zFg
QP2xLSM7aCK3glPiYzKzcrstsw3iIPMEnJQyCDWEJXCjbQNPkivJfJTyzNwltQlRHPS4Ay1N2spt
I7t+ovsO0h81cBhzeq/1utianfUeG3J7P6a99Dh6ZEpJhTTwqDXKo6BjzSg0cXRQO9T1PS3Tt54U
rKkYL80SYWGig0VHGHU7dBZYe+eJUjhhjqjWkfcYJr6txFNmB0L61vniVvQePHNXqvdWZTjirFDi
CQ/9WG2yYgRk1zpF6mrCi9H7m8qX7ApMSGSu/b6LajTlX8qE6DLy08AsyYvf11SxL1JP9x4l6XfA
R4zKrVQ/xxu19N1MnPDFoRimcLdJ9UNerX3ZZXI0RwfshxHQXLjRlhB8ucHwR6kT7zGF8mbnoSDa
gaevZGBXx4joJr2DeQ9eOAUIUmAUSAqTZ/TlH8UAcBDJe++34DmK8Bh69avm91vNl7aIDuObu4b2
Xj4vGST2IwrWZFSmECNfPGGCXKb5Qyr7aKqZ7YvpVoRIXsNZub1L1sIsjmxF9wLf7EbhUQ5Hu9F2
QvFLwrbudpCLWsY8mJm7gAsCr1mSzvP1XCc4R8SeJTxWZryT+85GbFfvgR9o36oOYfCk9hyzaJxk
TFZu3As2wxx6dlLiIQgtAM71eeg0agQIKJF/9CR0+QxXUI090TX9yZMapJMre1K0n4nSvQht84QD
6789+saNSoo23MmZTgH7KUwcc/xye04uku+PHwasiwI+k0OP+PyHBZTIY71M/WNXb5Afwb3DURAB
KvNtoh0MuO7QhPzsS4rJOD4BDfqPcv5lNhHChc2V0r0EKreN3qJ8Y1lf2morR9mmGPZR1FGHrpyw
uDNrdcXM7vJO4rnAI5Nbkbm8UDABjhYpnlzwm4XtCJ6bSLS+2hBJx8hwTJGpK0yIVBClb8/W5b00
B57lckgraF8vJyuIVA0Gt3+0QvnYG709IiaBKeMmToPD34b66PMiwiZT4gd4e/5dEsnwpQSr4WPp
mabbGNG2VqVp42ffIXps/zoWIwLiC+FyrgQvepQJlQspVacEayxgCfT39n7m3dHrm7mXKwvu8tuh
ovIp1qKkbshJUUJqwup8TGYGu9e7+Ti6FlIE2yww3yNBnbaBGIcHX4zq/X8xUItkDTwx7Zll4lt6
LCcqF8lRiB5Ef6vnD0kVula71sW6krGB6J2LZRKkDVB9i/OManaVWmmUHnmbOa2Pjm/1Vqh/KDxs
Jjq9SWf3wa7MBFfLjZW09PJa0vCM+KDLzG/qpc63Yg6JZzWY4/LLmhdEfaX7VIuV59szuaww8eBB
RZ83D0wZRIOXLKASqQ3TGHCQ1TovvBvo0DnAawsARYMcMjhReUupI+JkX1XeynK9FnvWS2b/4f9D
R3KxNVDHygYBw1MPscAe+y+1jJ1AQKcGyapYVp4LpXj/++ECJqasxdqZDaTOQ5ZSKwtWq2Bai7ty
OLFmlZ0RvTPP27huoCJ/vR3v8oUGZoWOKwQe9j8i++fxTHnMM2XQ0mPWQXyn7NEHvuAW+dBnT9WQ
R/LOis2p2oM2is1ft2NfW0Cz3BVWsqxeKojnsZsxT8q6nnCtTeERTmND91RRM/fvo8wgVChGHAhQ
Js6jyHibgUkSMRpvspSzTZROViGNK+XIK+kT2BWAtXAVAZ1zV5yH8dNeTOPGS490Fm1DC5ymhzrV
7UU4BEEwbAXN3zS6HaTmi+C1j4m5ltlcSaLh/gDuJUmddYeXq1U0aDFY2oi9KzQNW9SjZlsa6VE0
0h+y1npbRJcCO84NjqOh8ZxMnX4YZbOPKnHcelhI7LImeUUcLHViHmP2jFF0/EZuN4aSqtuQ1uvf
3zygYyjB81AH7b3kMJYTHvcxEjvHxhK2CEOdBm74unqqVhWZr90FCNyzjaG0Ac1crIFStGKrVOep
qba6dFfv/E3Y30Ww+jZ4095eb/OJe/6k1GBYmDM/GH0ZcAznCwEuldyKYpce5daLv+Ic7Lm4jA5P
fWKprDxNXll513Ywr2X2MNJBMuqK5/GMVrEyPWUXiclvy4ptsD8pl3l/l/lrTsUfDqAXYwO+y3ON
t+yFXoKO8iVodYF5xK7vOe4QsJF9SdxrvpU+BPD13a6BziamQrWxUoFTGhVdF7xZtIv0Kt8qSmo9
kOlHDoBjxTH6sHMTvxKeU9+HbC/V5n60GsOt60C797Uy3tG+PfllIWzUKCt2faT4d6LSA8dvyu63
agYjz9M8cfDbLJFZVarDKNc8dHPD3FLV86BOxs3K3X7tVqAEB7ud84RUdvGBuwQ8KyVFvBmF6TfJ
/2sgerYkxVv2kKPWvjOKYHr/i0VF63fm0aDYuayPp4LpydVQZUeUAu4racTo50ENskej+XY70OVq
4gTjPOatCTmV9Xu+muKmCQWsgbDYJmnCEj6VErfh8Ign45R20+vtaJf7kksdqVc4QpR8UP05j+ZN
vCktvciOiv5vZ+xnhlBa2VX/R/WTe7DqX3BLvx3xA2N+voQJiX4Y4AcwstjYnIf0hybsRQkzFC3A
/QzI8tjkdiyE1q8GMaTJzqHX8lBTrCp3qDnAIehxYjspwZD/I8a59iYjTjTaRldMrW3kutLahRgr
h6nJ5G956xUvVqCVP3xQJJ0rpqkPDVIrtO81jp5bFQDnyoCufTCoAaBuPvAqy+ut87MSXFyfHYUG
Dlch2tTDwamNr7HZO1obramSXvtkvOLo9TGF/Gtx3AyBX8c8vXLAFPphhJv96GfjNsFfNvDEvaXE
0DzXvGYvdxyHJrhQpNjwjGDPnX+zsdPxEh/97KgjGVZY20z/Xpr5HbCEOgg2Fo/p24vkSlZNwJl1
DndlBm8usmozlUMDhDaW7KLQ0ItAH+A9BaB/5/eF9wbfxeycVInNlwC0uU6OllAOHbocebhAG8A8
3/49V8ePmAcbBOoX9ILz8U9TYlHnLzOulDh21IguYZB1GCp2cUYL0cqffRV1L+xwrZXI81m23C3U
ZHmtYOk458HnkVu6JKIYs0HNQXU7XXDieKcE4l8/s5lmEn0aUUwd98p5FE8acAj0xuzYS3vUFOwk
+tLR6unzyTHEHl5IvKGssQLIv8w+56AoZyB3BBRqWXCSrbhLxHHi7OnRKVFPvI5XMs9rk4dU4cx/
hNlObfN8WGXmW55vzfbxiETk5H7xY7La+r+2/5UZrQ3AAGjg8kkdGJ6kkLNlRx8P5BiORSl8GbwX
DySSP325vQ4vU5tZIQHNoplEwRN+keM2/lAq46AwZUqymTqVBLd1lGzayF29phg4f/PlygMPhgoX
z8d5Hy4mLxyrJpgN6WMhv/f8F7F4E1Vb9fFxIbX5MZrfa2tN1e3akgCdxiKEA4itxiImtOMaNCQG
4XQyvW1taJMbIQ6yvT2LV6qDFAYRQ2RLIXtAzn4+tLGDXqjIdX6UggJ3FbrGT0FWOt74mu0xg3cL
U7PjtQzi2mKE18kWhnzCdbs40jqliY1Jhj+tGvdF+ppod5W4Vo24dk59jrG4G6jjZF3QYSBfRyPC
tYepgAyPpjjycQqExpXVeG3lf442/5pPaFBkcitDqXxszbRk08aykxmFrRRfo7rZa8qa1cq1tQG8
BrAQKvHcDYvNLPZtFAkd7ztNAywSNeR5yLOvdeCu7DD4cYgHWyQpwOkWY0oGqWymLC6Ovp5lm3oy
lBLoeyvvxiEN9xnyVCuTeGVYjInXMQRDuCtLSt5kRUmRJW1xxJIk2Pr0vW3Ufv7SLpr+Dv0o4MPz
u8EExbDYWINphtFo4qeiDrJ36lqkmsxCMNyVjXVlRcxcekj8KOMQaRFGANQe41Qwu6pQle1fiyF4
iMVXtep54BZPCZ3nRhkP8z/R4NooqJsE2NfgQGHnabellO96gbpSJvsAkp2dZFQZqeZQ7+NHQYVf
fFPenZ1WM+ZjZ7TDt2SMw8gpIpjObj+q+b4plVB0WtoCkauEseB2kabvVAUKnSu1aanZWMEbP2Kw
ET+a0cMZxC8b2WYVVrUzRqP6jJxYBUehsoKNh92QsVGboB+csoLFTPJZNhAkEA3+JbSy6m8FyOS6
Q+Oz/x215jBsE93r2y95pjf9viqqWLFL9Itq2+gtOdz4RjdXLjMv5o/+qIOnKBDdXfly85F3MUeU
2Ch3s+gvzLrk2Cp6qwh0sthSOehpcfDElKp33YuHDFSjY0yNMdphENSyXVdokHSWOBsL9uGDianA
in7LZQLIrT2zkYDcAKyjbHJ+tuDexFsU1M2Rz9TYeaIc8rRxFWsnJQrytf4d4tXbCbKXH0fPU++t
JEQXh/VHeIpdPC9BxC6FjsMskczWSPRjX/vbrNQl3imhE3h5uJLpXpzYcyCqBrOfJ523pa5AWUZt
1E2FfszNDDAMmjNJxQsitasG0n3z0Hsre3QloLHYolZpKcC8cv0I08Nu0fO00ASuC1fSVNuIfwvW
15WVNecki5XFhQ4CG8g5l+2y7RSaRtD0IrsPYHi34aTK75VQ/TO18DogE2DeGOaT+lqXMBa6TMm3
Rd/rO2F2/rn9S659U1DbfFTOQuIslhR222qHbxZgskpyW2unShuKdSvf83oQoC98VJLaZWpBgpbq
iErqxwZgY02Hk5445/7Kdl2LsngVpBYlG9/LiFLfNRQ1jWynaisJ4OVCYelTCKdRSL2DP57vQARe
0XbIVeXoQRmFCyhLey8+oG3mKMlXKTRX1uVHR+Z8nbDToJfQRZl3w7LwEYg49lRapB5JoVIHHPCE
MvWoiZs0fJbjp1H9JspfRUrUopo5DXWrqhu3OFk/+ir0oWTtxrw2/E8/Z/kkanR/UPyan6MoD6qH
zKf+0FhfG3k7RPd9ttJjucxIgSmRdAAjmO0umO3zyWbtx5GhCQYW4KL+MMSZYfsFcEiPbG4L2rQ6
yqnPXcCV8txpxeiUuJ5vb++Pi0yE34AHExondAERtFsUZmQliEGGGsYx4X6k0+XG6fvfR6ADwB0M
Fg0JsHnOPyWM5ixlZU21eSxEQXViNrsrJsWaO8yVL0eJAngp9Rg0mpZHap3XbY7ZLUdq228F5TcA
4AchfFQPGF+6PNP/+lihIkIHBeAGUDdlqenThRi3dkLMtJninSZTQs/wa1Vzfc2R9nLT0+Xj4cJ/
g5wFQ3s+exgxF5KMqQGOwd19Vjch/fnwWfKslZ14kQKD/f8cZ7nx5ZpGhUicuJ9sEyWUOPwKGHlT
rPlnX7nk50hATmg+8KePls6n9RCyxM1uFiLKOBS2Zlsrtuj7id2CRXa9xBMOXTN5e0SJUTbzBmHb
tpnG8ZOZm9sL80JHgee0io0e7wtNmZPwxa0oIjQpGL6H4e0o2D22a2n6NZA3Waq+etBNy50xuWUx
nCIteymG4ZX+4Ax4TeJy5ZdcVPdmZhiX5Zx6cAguSRG6X4KIrWXryBuFfrKU1YcyMfr9qGTxhsS7
g3zqSduy8Y2DN8rS4fZEXAsPERzlX76IQpnhfI0FellEVkZ4obeQVPVrtzBIA7PIwEveOkyIjesZ
3rXayrAvHg4fuCqOQAqbMwJtcf7VVS5qEaolx/ZHGdsgULz7QbXTlYrT1dExp/8XZXFthmz+0J+j
iM+i0z21b13k0Cf5Xa71aeatuLjLgIn9J9B81H5a2Aj9NGo6EUjJbUqFX5Pftz/T5XTRHOAZTAED
iC3SPud/f8TFDN1Da4/qePLCd42iZDj9NrODp608ni6nTKU+h7QN0DfEmJbAO28UYhTEquE4Wcjp
Ci0+KoMjeP9QYi17ldqn4KCdvZLeXJ5ABJ2RW/jdYQK/JLWMvRL0mi8PR0n7Al6M7AOV/6dMH1eS
tSvTyFt4joVnERqN8//+6TPVrYgtVmAMxxL2JWo/dmtm0PSB5ksvUliuJFQfh8j5qlCpbVHopOBJ
f3rZbkc+y4tpVYzHzuU0/WaW9mByhjulareqHesOujT27tvbS/tPtRPuku+g8JtduA0Gu/g9/C6e
i7vMWXv5XS5VfhQLCVkU6nwXZZXCF9va66PxCEHpoQfRUQgYU2VrUuvXppraJXwelU7JxXtuMKNK
oDU5Husa9nr/FARg9zO7QXv776UD5vf+52CLG6w1IWBg3DIejSlgeTpiXrmW6D8qSfonU39U9UMn
FA95sQ+FlRV1bTZJOmYNjRn+t6QRi4Kodl7cjMdAP4SGcMhiWweB9Ne7HyzFf4Isdv+U5XCIxXI8
Ur3dGWpoJ/143z74wWYS1r7bla0I+pr/UA+bed+LlG2A12gZcTUdlQjQa/hNqWVHFH8aykrScSUD
RjeDLADPEdBawETO92JlsO8yvZ2OQgU9wtiZ72IDn83NyfGRF99kyUredgkYQVD7c8TFXRf3coxG
CBGNdtqaav6lfZoQY3OoR+GdPOQPg1nss8GWu5XIH4/AxUEwq+uD9Ud69/KRCBenDUW5n47v74+h
vX18vs/t76fQPll2apd2aD8OLim+HTil428O8Sae/2AH258/S7u2JRuu1Obpyz8Pr/m7Y9rd5ptn
vwX2aMt2teMBvQs21LXt0JXt5z3bzTXcl439ZffwcPfn+T6w//z6c3tFfvAbb41ocbNWljkYdc+I
NDu3T9v7+24rb8YNAGLH2mKPcg/M5WRtvAfdtb7XD6htak54ap6dfW/fAX2394q9ctlf/76fZnlx
CUdxNei6P/+mk5elm6rYpZSyttT29fhH9Qwsr56+rKUY81+6mAicjdSZ1IqOwEX+hup8P5YSFnFR
RE08FDZxEa9cyR97bhkDNQp4zMDyoIksBgbNVIw9LRePkp07PzEV4t/4+jmJ/c/bj8AW7aP6ZeX7
XjkGYAb+J+R87n26KdNQ7abeIqSqfNOdeJ+4gtPYqfP6Pi/Y7+hw2PU2fVeY4qPzxzwqB/B6tr5p
kW0Ut+hz6LnN3SJvv/VrmqpXMpSzn7Y47KUxikND4qeJibLRhIJnH67vYdXU5Cnhph7Do1Kjm6KK
K8fw1TkBlozTkwLtY4mekuj6S6NSiUeja5+6fJ+lh9r8Gavtt9uTfznADxNHuKDz8YgPwPncA7us
xirypSOqv3XzYBWdnRY4fruj3DmZpGyM+tftiFcOY7jMioIlDGck9KrFdk4nNWmkWJeOqLOpU2pH
teTI0Z8+QcMru9fbu7jrD8hMP63EnYdyvrJnDjUcHarQs0TmYmUrWmvybtakY/YgmPtJlSjIY78y
/ou6PgzYJnsp9WwjGZvbcS+Tkzks+Q+AMZpzy9ZclLSc1a0pHaOal0d8HwvfGzyWw1MorFRALmsT
55EWGWdXyI0UDQbfsons9ofov8ri16yM3eDOQ5nz9rCuf0awcGRDoJZgsJ2vHLEzGnTMGVc9bqaT
RaaAZoynYTUaSaiAekhh/fK5Zm+HvTZG5osGNa1jlWf1edTQQntNUzP5aBpwOq1t0DwZWOd6Thv+
EMSVCb02RpYovffZEQSNnMXJVIlhPEVmLh9TGJh974a1rUKqLM1Nyk1aPgpdbCfYaN0e4+Xen/n+
s2oRhVGFK/x8jEUT6OMUJfKxFB/BmbZxvcnGV7/tV/LJK3NJnHl4ZER0jReHW+klSljqlXwcitox
8x8BnoRRWIC+48C3tDtsV24P7MLSjArIWcTF10uyoZs0o+br5bEdJ1h/5HbWvQOsERSnHMpdJ7hq
beEPathU+mwhsOCKuDl/bIZ/a62896xdk9p9iW8Ty6wOjV3m67tENhxNgeQSbG//4qsrAJQnx8Us
LMmqO/8WeZTKrd6W8rEQtpFH9SCq3GwLIF0qUTYtbc+A5r+m5XuldoUKDKkqNRKOSqBR51GDUSpA
tXSsu0D7hU+ZM1jhRlTcgjey+IvHKx4Cld0aSNSn1v72kOe/e3FMciWw2mmPQXBY8lElreqntmpl
knJTQ0KozreTl8QrE3vl3sHyjQQVDTT0bqzFvdNX5WSmgcdKiLIXb5iO5aQ4edi6gp4hjSDyORWq
4fXKYXxtZmcFakpyQCD5nIvvqQdVXwlUyo959y/SpD0RRgGve1shKzbtMLOV37Ugu7fn9GrYWW/q
Y5uBGJIXH7Qr5aKuBPoPcLTHalsLozvoqW0OB116L+LiTRe2cviA3ORKpnrtc36OvLhtcygUsRH7
2jEfygr+f0/m0uBCdnuA1z4n1wBKIbi84Y27mFYlCZUs8gLtGHl04GOI+82fsTwImCP4Xbfpn8vI
2N0OeW1rAneZ1QMtcjRQPedzKk4aXWK27NGvbXHTjC8yurNltOvzNzExtv0U29JKDnE5mTweSebm
cvysN7uYzBEVBAEvl+mYyJGyadtQP9SCUR1uj+xaFLAopEaz2OPFDhwDdVLyoJiO8kR+P4ZYwyEa
/7cGU+QjXKOUTGguwO9YZn6Vh/1DXJbTURemdGuGiHWZgxKunCaXd9l5lMXCz1NLB+zCO6nDL/zB
wB9tg+Ur2b1sCgfLU/uVubsSj3uTkhMoEbiSS8DsYE1y4sWxdPQiRf+ea9a4lTqT9EDzgsoGVRSt
bO05BTg/LsljP5RN/zejXRxkswVoxbOMpAuYDCQLrwkgXKLjKORl061ss3kbnQdDsd/EchpKNdts
2Q4KsgGkKN6VxyoVbWPk1T7wLo++aP7vybxXopUtdjmZ5+EWu3oohT61wIYDcYwcLRkdNpxTa2/V
3wMyzgPNx8unF6BM50ltfNEAvpb/mxTJQxBGk93KtmwEtmDcC4I2S0e3J9X71mPCdnu/zVnHxazO
/RCkLHhqLYV8DLPQrZg895jCn/81+gf9W5H8jhGNvB3ncl9TWZvJX9Cv4WIt12ZSh0Ep4OV6nCr/
Zwo/hovOS1duuMv1SBConmAheL1TgT6fSglH0cHMU/NoJWnoAOxlTPSaoQY1/X8znk+hFtmcnmam
XiBERfvYzGxDLbJNOKBF/V/M2qcoi0XY+1PU5SMDMr102zQTtrdrMnHXFsDnOVssP2T+66zz+TCp
4WZCkTkpSIDWeDX1BF2m6O32gK7tqk/Rlu3AWQ4o1z2mTdKSemu1Xuv6U/MyWv5DXI3Tynq40hhg
QdCzRqeCsuCF3Kw61VXYKaV5HMfMldFH9Jr6sbakjRiZ7tTdWU27wwP1oMqtI97FY2KHrbST8va7
FXnvxZe4M35bsWcr006RePzQKgxi6ZQquj16roHkGatgN0LGyVW7iztS0i+3J+zy88zrWKYcRWLB
jbi4Q6YqRG8eNB0alsMEdpa7XXabwVW9Q6aaa2fsldKeaXAn0qMkL+XBvljW6pAUlgbpg+T7n8ja
w0BPc+y5BDuoEMcN29HxhuaPIjwFqWy3qfDXghCwimdxYJIaUg0aOuc7uBZmyLlQKMcOtVmXHrli
q5G4hg27kj7BuDCJRe4wq+cvchm/FAQ4eqF+LJXCzmpMjze8+Yyv+NBWr/0pC6qVY/Zy3dMHQ03O
RMUEOfUP+tmnQ97KYXz5XgVEqsMaQjDLf4qUopMYfxNKq1tJey+llIDl87RAdYLOO7O4ODbUNkZQ
K9TBHMbypswmOvtytgP4xfvWkn8CnoywPDcRWeqSQ+qxL5om3mn0wrzwoMiFglBKUt2pUjfejZX2
8/aSvgJIgjWAGQ6ZF+hZ8snzj2y2EqQ6LzCOvind94L+UDXeCwoKdm59lXkG4cnu6nW79+pki05x
qj5oyl0tmRupO8lr6PGPvPX8Bpx/zUwUBgE/o4TOf00vDL3lecBM5K8DiYWJFMI3C/F0B6qp1v4M
/5V6x3oy2v3tWbjY2EgnAstivrldkYhZnLutHss1WmLWceqyzRi8Y23vCPmTMb0if3071OVyP4+1
PHVLYJy0Y4ilIK731ftTnYbcrd1A3pWmvUYxmhfX2XzOwaBt0e4HeQLq43w+IVGoaRY1BFP0TZ2/
4IJhC5iuJ/RW8ve1AvrFxlpEW1z5itT5Bae3dcz0P81Y2zA8UUT4NrsA357Ei9yCQBicQumdefus
2/NhSZU+CokVeMdEH+2Sa1gOvlvtmgrateHMVS8iMHOEOY+i936E90ToHQ3ZjS0XKH4a3JvFSvJy
dUGAjgVV9aGBvYT8VwyvTwzCTKANnqd9U9l+6kS0tLrE8V/+fuao6AGwAiEOqmKx0sWoVaNCiDye
JRXyOq6U/VTSlTNlnv3FooOkznjAWM+UrsV7WIb/oYuFLxw1Pa3dXssFW+nl9HB7JB8aBRdhZnCI
jFgSOJ7F52miRI3bIBGO3lv1JL2qEk0vp/09+fY4bu/0L1q3gRCMrv1K3PnnL+KC8KXq94FmRmBk
sSwMrRIyRRSOYvUQ0eEfNc2u4+/YX3dNZqueKxcA8KSVJX95RPGGNDmoeWBDpFiqs+NrJ4Raofgn
WO52N/2ymtru2p+G9I5V2Uqsy1OD/gs1Xw4MJpe1cj7CMuqiWMim4NRnv4dQejXbRzFuXdB4yDmq
br/mjfwB/DyfUmJRDeP/DRAeBuB5wLYK6mrCtOukcj6l9Y/WicUTnmuQsBBWmR4a7d8eUcq2/QJb
ClNa2CNCc4/W2C6c20Tv2C4ZBTLmFhumoouyJtBzZfKBPVLgmbMx3ruLpTaNk+5ZYR+eTO8hLnwK
ZNpWqH8X3juGpSvnwYXiLBkXFV7WFcx+ts+S/tZptJg9bDxOWfcSZd+8/m0aH0YEoz293vQSK/pX
Kdgh7w8I6dm/WXWSkeNU/+kKBampSbQVTGiamV/hryGyL3c22SDrfpbi5cZQFwtDbGBcjakSnaQQ
uHSdUTlPBs9a2WEXngnMAEscmxs6HUDMl7XuafQo9CKCctJkNnPTuIkYH+ZXZIE4ny88NXl5aAvR
Nf7xhtymkiIHIFDA2aY+rbvkH/jQjsD7Yiw2Y7RtPsDcA3pKmpuGa/tyPjAXSxfk+GzdgTICmlOL
/AnUpmcEoxif2sCpsxc1r7bl7Oeg/2zlfu+l2D2tHHxXFiP4Wx6iNJ7oxy65DUEmS8lkmPGpsu6C
6lVqn0L/rqkfAOWvnAOXLxD6PvO/ACtiYksicb4vURMvEXn2slOQd1tg03YYj3bFSHtZswu/OlFE
YBl6bjx+lbzssRy6vx4sc4v4AS0oUNuwSM5/QRvGRtF7pXYUBMsJR8AWNXJmdD3kZGeuIFYuJxbZ
3rnfBY9qfhcsPqWvj3ElmyH3VqY12zAVAJsMmvzg5RJMLrVWT2q7ahByPSiqm2QAICkurKmTYEpD
MxaOYSFhB6IGvelkli9tpgTkvzjWtdNAZ/p6+xK7POEBwVFrBVrBdr7YYVKud1IhDwIVILOanKwI
Nd3h+W5WnPB57dn16Fl0T0OxFjfgvdI1F94rSwsxUzhPFBFBAWModP5hqU+lqtRP/ALPD3J7SFCA
AfgbPGS0BpwuY6N2SZq5AnK+dpbG6Mbq1Z5UVt5pDWpot+fjMqE0AWBinQBekTbk8pHWB2GWGaaY
nAJxkDaZIA8OMYEEFO1a/nAlFEVT6LGADqh5LzlfWU+Fuwqs+FQPiuLGM7Z0qKC6lcO4JhB4qdXD
mFC1AmiNHwCH6rz4Pr10cwGQadhG6anAP7KBU2aWNQqyldPd6+QqnBvy8MY+fuAQ6UY3q4x9k6S7
ot4aWm5X1bAd0/JnDWtYXtlrly+92ROH3ALVO1LfixmXlC4JgiZNT6JnYYbNVS/tujF1vQIezHep
ah1D2yo4Fza7xrhPUuGvvziqd+ZMR8UBivNlsdk5XdVGzo305Il3aqay5xI3XWsNXWxuCCaIpaJh
Y84u5x+p/6f599WWPYD5FXmNeheostPWzxayNK12ogO9vb2GLx8Si2iLIWmq0Lb+6OenyewOZtnb
oncoBvctQu8UARvtKCtrmeJlEj7HRBBqfiDxEY1FTNKxurOGKj/VqNXYgdTlm0jOnuGZ/qjUsd5y
WYX3UReiMN+mo6uMdXSHAASKzKKVu4UXCT+CTFjrW1+bd6roqHChf4dsyeLe8jtlbMZuzE90zlhF
oQFJvOkMOA/R96BPys2krktiymyms0yAqeA5gogqBTOS9EXQyoz0uq/1/JT1GDRptSoffBWueNmn
PqWs2t+bvs/tJQiCq8epd4+L/bdcMspDXzbmn5XFMKekF7+GMsoM2kLSdfl4Fc2+h/Ao5yftxdgr
91FBWcnu7OGPgpa7HR7yxoZ7uQakvewvz5PA4HXKebQmP6phn1Z8ISIUb5RqfhqmfF9Kuu0/V2Ph
1l1tW1gxxvpda2Fm5mJYd3vAVz/5/D5CL0bEcWtxn1jhiLDJ5BcnsW3e6naMNl6JCoasTeouykQD
YdQp+3k75sVRzmBRX2SHUwg1L/izmgBmTpim/BRSGYaEFWExWrSCU8EA29wOdZF5z6FoMAPDI/fj
EXJ+kuvTWJNrScXJ8L4r8ptuvd3++y8SgsXfv9jHkhBoehapxUk2XO9r1OBjYVelkyU7FsrtUPM+
WKxM2HEzAYhXJu22xZdKcEuPvMQoTvGf4lA8xbFtumXrtK+B+v+MNH+/T4uxl/AHSyylOGnWyTAP
eec2sTPUX8YXQXOlZuX8vbICz8Y178hP0UJ50vtkHpeavGjhRtKegx9++rpagLjyqWbiHxkSN/r8
z/M4JUZysWaOfCps7dHc7f+UZEyi/4IUqRMPpXv7c11ZeWfh5mF/GpZpCSNJIOEmHGWj13YNynBt
OYDaA0aDbAFJmHL+91uCaWYhpf9TIle2UL/q413s/fHKg1Q6Ov7QHVost0d0mXtQ1uA5zwuT8h6S
6YuQKDV2jR+z2KEuT8VjiCUPukoPFJt/ea9IieTmIUKBYI3wc20mcU9CcZNSH3qYi7AyRUsIhywQ
M7sPBH+jYmZ3e2RrEeb//dO3qgMRwTiTCDAKhU0a+2iOjRTxb0e5tgD/VwgI1AbZ2+KsIFsC1qIQ
Ba1J6TVRD0oNR3Afjbu2XdlT81penhW0wnUE28mfKEmdD0iPktGKw7w8+fo2QHI+eZbTzB6MFZDz
tXn7HGbxZTpU7/K6nsOwEJrsLpD3t6fsWgCoVzBL0FDCx3qe0k8fZmj0seDBU55Ms3ak9DFbz/Xn
qVhMFTsINIbJKxK00eJYSDBb1ahTVSejvcMKBa6VfujdmBRfMbZi+CTJ+250hs2wt+q3MFA3sh3F
du9UratJW9oq6Rrp6srHO/tFy5Mji8q0HgwaHEKzF2NxXot2FvzpxL/uB1AnQ3aB4aMtAa9zse59
ISfRk4z6NGwj8y3pH4q1nuGVw/0swuIqidK2wcaECEo/OmL3RzfvQ/JZKfKxrnm+vVjmv2vxJSGn
8iynRYk24tJyahD1pCzSojm1GKw41BoD3g1Rsk8iMBR/H4pFCYsTsSHaoYu0otc7Msegbk5TLzmq
/ChF/8PZee3GrTVR+okIMIdbsqNSd1uSj+0bwpE5Zz79fPQA86vZRBOecwwYsAAVd6pdu2rVWiQe
hv19Iwv7ACqKKRKn6s8hnm1+7A7maNT1KYEcO0pgw4mi70Y2PBRdvhIF3qYVpoypNckYka0ijzrz
TWFX4WJRoTgh1PUoVfvBYPOrr4rxatB6mKjhLoIG3BXUQyXoez9e43K+HSv8AmTnaQIE1AnH5fVB
V6GmRkykqE58CHjc37H85gqbHsH6+3N6u0d4N4PM/UvJypaf7UdUOIIQxefqJAlIUaQZhNzyXsjW
MoC3rh5kHgMi+zcprc/JfmuUGuS0HetTqoZ2J71l4VEfnUFBH2JIaek83h/VgjkyYLSNgqfnv3kd
tq8Vpe4ipSag1j8LzQ6QXls5YvNWOmMhrpVib880vHz/s3ZTie2B+/qhVJ+KP94FUn/D3723cbwW
bUxLfn2cr83MtqQEATWaIUN90tOfQ0hXrPFYFl8lxC7dTRAQariqXYe/7s/kwj5UkNkgl8VfnIlp
7B8unC6rektI1Pqk7mES+tQ8rYGHbsM2RvXBwOxQw9hpNVGIAUjDHN2RbH2j7LNNsLs/joV9fmVm
+owP43CjuExKVJFPASK5avs45aLcfOUwLWyECYPNSxlCFrrAZ2OR4iTPh8ytT3EOfQZkMx0JUDcF
3X9xjXzFuy+szCSyguYkGBTSPzNjdUue1wy65jSE6a8RvqUQUFw5ShutW3sTLwS6kKH9hdWCIJqy
E9ezVw+i3qme3Jz8o/eSH9uf4gMa0/v6IXqq/7hf2pV5XMhAXdubeSUxcYU+FKXmVO/qI5HHm3rM
t/SrHeG3/ed9cTWyaZY/7AupE8O8VkQsqe+WV/wYrehb7/07HoXsETgvcuQkuMjVzsw0mh5nhDHN
qQuf3fCkKd5rqW0F4UEv/+gd1D0eJUdLOoRjAql89in1DvfH+bezZ+Y9SN1OFNDcn+ixzb5gFF04
sJusOVlmDBGw3YmK7XuPcrZztfM4bsY4dUrDHnxIsM81ObjcelrDpU5b8t43zJyJLGfuMPZtwy1A
qrZ+apT4yayrQ1UWdMeMX0dxTV9m4djDxKCTTAOVw0Uw85lZI1cdaO3mJA8Hf/id5r6dZ7uVqV1w
zFdGZo+LNoU/34z65hR3j60BwlJyeg0yGPGT0u9j71jq/wWv921Oq3Uzk4Bu2VMAwm6C9EwOEz2B
h5ZtGzgK6pyI+6X/udpaeWXRDuTC8EiSjQTqe308Rt3yk1hXmlMQWt87JBRNX/iRhP8N6hqD1KKP
QTTj/5ma+ZhmNOIO1HRzyneEBfWmNu283GXZrulsP97QHlTWm/7rmvTJQqTH0dSVqWUHoCqKLrMh
tqE0ijlDtMLsKYie6ybdFhB2UMrZgKfZdiPlcL5Bal3I1vp3Ma1O9xdzGtnNYn74gtn+Eaq+1APE
U09xW55DuX7X/LV1XDwHH0zM1rEJTatLgVSd0FrYVpJvW+2Tqq+M428Afm8gsyVMmmKAERIryiH4
VsFw/+uHL9nBVoZovrATgEiP7SEmfUwW9Qsl+eqQ/85+pL2j0z+BxiU14N4Jf6/iUNYmeHadKK4f
ZF7D1hrkdNNKW6Nbm9/l3QttJi1uAHrRbbjeRRL8gAaicAi3y7Ya0WLe+5vy+FPud01rh9+jo/zp
/qZZPJkfDE4//3BxBQpsR4E+jekhPvY70emUlTfdbdVvurQ+mJi566YLRDSRrenKUN/i4jnwoHxx
EBzM6wdS90ct1h/SwFHpi6JX6iUytSdP92ytr45iTl1fbW1VGGwN4UezW8m0LISNV982i37igniu
Mxl+sc3rgvTERb9I0Tv9k3avn4dSXnlRLLoJ0L6kXAwAK5I429t+FTWVInjtqak/iQPAGCt4doMJ
oSU/j/2nlMT9SA4wEat9qYmH3s/XSD+WVpz4AVgrfR0ELbMnoQ7326DLY3cSutJWvH0ld7ZS/lTX
lFmWfMUk1Yo8DA1H2hxHmFZQAEWW1BGlkGYhtf5jLIaVsGspEkDMEeYXmJImHr/r3augo1LKRtif
irHYhuKTIW/7+tz37ibvt2tCykt7hbZg2k55pFFSm/nXxGoEV9aT/iRErdP54V6jPxePXtTpYxsa
dgFLvDhs7p/PpbfAR6Mzj1sKlOHjJOp5rf32o51hgKn6omdHHm73Df2tc8y8LkElImUTmhDo52xn
di2M+pmOJSPznDKonNQsD41Yv9E+v3GjH2r6Na3tIqhOAa2vqHLvdelrHnzPhPabHpj7ERI3vUy3
vRQ7ueLuCgR2m9e6QFhHTNYi+4VNDEacZABIHMO4eUlImu+j6cNaJOKhyTb6FyQivX5rDbGTxD/q
bfIzoAf+N5x1vfvTL+x2JbEzTcZ8sj7an/lpOLD7CtAZeyGUj4UhvJp9thZqT5v3xgZ8IyLukwLV
PINqlIEUa0XRn0YuARRKv5nKi67Vz0l28kfTruj3ypo/wOW3xqitTfC0mefGIYWfCtbAtcnGXZ+s
uNEaVXG74RQ3VufI5nAQUVClk1xx34Sg/SEqkFd5tbAPCrnY+iJ62I0RbvpR6lbmYeGMa5A6ARcn
606ef3ZDtQKvnjoJ+RJV/Fpkv0WrOaNM7HQCnW/fRGutQWLBb4F2pEpPbYS0z/z1DQGypnZ1O1B6
zB3J6w9qvm2Nzun92B59iFG9B6B9Q/49Uf8rC+tUfm889yEO15jLblshGDJwb+QNpqrkjeaImVZm
7FXjcKrTUwgXXOPbsvJotHvT2A71rjWsfQ4HFQzkx6mnVwx2Ity00u9U81Z2+9KtRfMouBFq6ChX
iTPX15qy4TXiMJyq7LHJia3yjdXaI8DLF7ndGs+j+cXw1hh3lrYgdRuqB8TzQAZmZ8wVxgFSyGQ8
5ciy9igH+w1aOSg9jZQKAFeaJBhlO/JGO0cM3jWstYTcwgrQgDHxtCHSygrM8/h6kPWloSnjqQj/
g9f0qfrOFD0WoVU4RQdTlJs7gujkg027TCkcvAaaKO9Xm6a//OjHffd863BgHSR/DOsp60DL7PV5
NJUBhXNZHE9ND5xWL8YjzCJrFcFbr3ptZBapSVGq+cg/jKe4fshgbsqpcG1XybCXrIBVhzgCrhku
7dmV5redppR1KZ600HMyQ7YhuPkTt2//PmG0OrNuYIS5rye38iGwNUP0QzWhEE/6MDx2shHYSmJe
7ttYSDDR9s6tyXuTvi1rfi6EEgglPZHiyW8e3P6AyFogPNfhS+xWVHKVjWJ5jq+utQUv7QX09KhQ
A6Sb8uHXQ5PzEKEeF6vIYA42nJTR1gAovhK3Ly0TJLGQXdAtNvE1XlvxI0OL8UziKeP3l5G7B773
iqD399wPtvfncXFAH0zNBjRaaSzWsSaeJHXctsMzcgYrg1mzMP38425A/1gpChUL4gC0sMhsS4lX
Yvvbi4Mcyl+gPJUr9twssPbDQDZKLREnTEyEmJ9YPGfSuDKQBUTTZOX/tjHTDTmPCoKsTZrc4PSk
LVR1Fm+ixlYe5E36UD+n3/IVc7fzRkpKJaUBJxWInznOx/CrVmJQ8slDl6Eu9zGqxPfX/nbW+NXE
GWQ0QVsAQ71eGasShCqsYuUkjmD14nLb0eGXgM+6b+Z2NxNJ8eCaCt7cYPMCRF+Sos3qUT0NOQw7
4rGmu2nUHoJoDU+7YAhfQL/RxB/Bs2TmQw0hkdsuktRTWhe7UA/OuWv+USp6Serkv/tjWlgcHnEI
wkERS6PKvFrK+y1NkE0xTtyUti9+y3Gk9y0s7DYAbGCiKR9S+0VM4Hp16kHV0rHOzJMBTi95qovh
UrkSXruz7CpsUppAhO9a0IG46J8t9INWPuB2NkGn4IFod5l80bwCF9AG2Y9qYJ386rlpRNQ9nvWS
FF6wgv9dsTOvvfVD61V+61snwQ8dNwjtFqyvbB3b+Mf9Gb2NZqcBof3JbFJOn0eX/SDK5dBG1im3
ngf5gUSB7UK426TfJU860pD+6b69237faXtMD3CaNOgRM2YrmOlaGkGwI5w0v4bvVj5U0oOYdefS
FGnSbh2IcOALo2f82RovY+zblfAr7xQCGdhjgNAG/x7WXX/QtBQfXLFl1rIRi6Zwki9FbAtftNo+
urXjvaUP7XP5LOzuT8DChIPmgoGHKjySGPMJV+AXn4rj/tnIhM0ofI8a5VAKxTZwEVbpgOCtQrlv
9hKG6GgkJCB0RH91yiN8GKCpdZ4re8Uk9vFqDQioCB4p59YQ/nQop98f3bKtyafxNGJDyde26rIp
E9/s9JfG1IaHoKrezQq1wLIojV2oKfHKZE7O6+pVOFG60CQAVp64mNfAtbkyRxO3LjXY8NtN3iAp
oO/bsn1Vdfez3kZr1m4SLlOv8NQTQmkSOKs4c6Venqt1BUvNS2N80Y3/2sJ71Eq7Ngqo0Uldqaaj
NmsTejtCbBJbcUKpr7GO1yOMSzcjHQPlRdmO8OAW9ZnYcl+2LonneNAczaLJ7P4a3h7RaZwciqnB
jNrS3I93USrlTVSbL0UJBTQ2D5mhV/vME6UD2I5HpXHDJz8S6n2UpV8zUg4ONHS5rfmj/ppZBbKQ
1Rk0knty9THeFO0qPdjNJa1S6uMum9YdXsM5ZMboBCuAfcd8CYWabmAoybwmgaYgeV2ZCuVmg2EI
FnIiW9wVdBLX058IUosIqgcT/zPj/TzWe/iqWxR163daYuzgVfkzHMkpqvVaxuPmMmWIE+8aD1w6
hWFkuLZclZbqt00OCX8YdzuppHGRrj9zJUa8bVDADE9pwkPeDUznLNzRLC93y1i1Xgyx1L8NXsNd
I/mq9cWQx+pHUSc46aHzrC8jDBWF3bhB5NkCvibf9UMHM0kT+EZ88Mes3Sel2a3peCxNAwI6yHmj
FUI6cPr5R+flVWLSTNJO5eiNT2hfZbYvD91+ZZ0XzOjcgPQlABqm0DGbBj2Dh6KSXZrMjTp/HAn+
LVsqI3A1aMna+qhn+8gYzK0addqLpACVTvXcc+ouabaCGRrbvJFjxJajNe7HG58DsHMiwp6yixNf
28zDVUWfR2IYJadEluOLGvjS3nPj+uJ6UuX4Ab2OdAbB4WkWA31ZMGPcn5ibg/bXPGqnk84k8OP5
9PtwVDe5TxuSkVibtBWDbTS6AUnN4p/hkDrexiRy1Cj+ykjDXK/0UAQxVGCmf0YcpvsVJwT4bSCV
h6GKRdpn/Ob7/aHdPpYxOE3u1DYwPVtnL/JIT7UmDrzgrFc/1f6tQ2MZgs1d8J7LCLb5xc4VHEFd
4yG7uSGRPMZlscnoxsDDznaa5yPkVkRmcE4VtTzIheztyrFWt5Fe5XYwpGsqFDfxxsze7EbuUJTL
ebYzSuOx6D6hSxrRBKKRo3USRNXuz+nfp/7VhYw1ohpAz/R2wG4w91p17ccVmehz5yAOd7C28abd
QOC7MTfxBp5QSMwFZ9dRFP0q/0zOjeRoqdOtwaInK7OvmKgxRcJZunIRgb/eSoKE+GRDg/Q50UjK
pcjzhi00Kar2Ay7VH5HvmStxyMKiEtIZU2fP1Eg4PyZyo6pC0cTxWQmepBHJ7vH8PlRrhENLO/bK
zMwZSEWlojSUxAgneHu6wozUe5S8YJ9F28xznZjqd6OYh1wyV57dN16IcO7j+GZRCMpgcW9EQnQW
EZfX+scwPhU9THpnalA2pPx6mG/v76SlJfxocbaROiGqVQ5nfC6HF8EqN4iJes9CvivRmr9vaWHt
yGijJE9K3+DxOptUQ0AFUg7k5KyWJNTbYJ8En5WkexnlanPf0sL6cclALToRCRFjzUkqzDK06lGO
svOQGXCXaQ7zGPQOEl9hEqJw5KR0E2khTXErhqcNf30gQDGD06JmQbMb7uf6QHRlFsidMULZU9Xf
it4ZRrsibW/tZH9bJ0cpLuxS3EtBfNBX2fRu5/fa9mwlrbiGDUyUsN2/+tAExukhaTxn+G9ljDdw
JTp+eMBOG1WjYjjnuU7DrDbDqMjOgnSuNEhqK2/fu0+h9UjGmJwoTAlnTfh53+rfh/jtzP7P6nRy
PsQnwxD0Rppl2bnFwUXv5av2I7qEp/ZR3cBS62R7UNVP2U58pHX3NDzlL+E23o9n8ZP8adjXO+24
dlRv/f3VNPzdgx8+KJlSB3VTZWepFjYCvDxarzpJeZREhFbG0kFl9Ov9Obh1DtcWZzda6fehJ45M
fFtdPBE3Pz6n1a4INkH3gj4hrRb7+wZvghKiNLAoHKIpYQ8NyPWc10metkQs2RluIKeVhI1nyock
XVHqWbLC5cH/3GlkAqenwYeJtKrCtIpszM+KaxNlCd9W8Tu32awp3GS/IhJJOgsI47UJ1+tTnut+
cRZc2JMoQrSbDkFVW1EqZVsX/FvVR+Im65FejZU++Y9+n8SpPCM/3p/RhTNKRRMSC3q9/z6qrj8k
HdyAqEXLz4Ha8V6b1E4f6CWBIn6NsGJhVskOUD+GOJs6uTlbuyynUEtaLj9nzWCnYn8uwaGFNI7c
H9A0c7NjydsJpDD3MSmPeY+IpSaRNrZJcTbTuN0VvghRdTOuaYgv7HwaTinKwltHTnBupfLHIiqD
oThTtt5pbvcAVcUlfBSC4askmN+HeNwX3sppu619EmR8NDp91Id96Xfe0GRmVZwHITtG4eeiJCtW
PiRCa6dlbxtaAxD82OdOKgjvXhmc78/s0gLSZMuWpaYAxn12LFrZ6P2klYqzW2u7pq+dtm22tZCt
3JWLZqYcC6lxilbzG8sdyWlZuVqcfYGCbgHOTqjN3ZDrv+4PZ8Fdglz+n53Z7WT6gdaBdyjOmnGU
i5Jm+DcphbL9KYtP9OWvwLum3zbfluZENTc1p9LvNls7r2mSyNfK8txXaX1Rs1D/3GSR5VA1RI4q
k/NtKIVrJHdLbgbQBA+OqVPwlj7KiEm1FmpSnrXQP4g1h7uwNeknudVI+QQ7F++rZkz3QrzGXbkw
ufB9U1YFoETlU5tNrgREwcxhRTqPWoaOovnWFma26dPootHQGtSm4VgCldD7S3p79qfigIxR3iHk
UKat9eGARIAQklioqvNglCAmpNj/XOl6eLlvZSGYm2RSCeg0shOkcmeeLC0SUQgSlcElQ3So/EF/
0Aor2CiC5kHFI1afsqLrP4dCQ/+23gi7iPfvYeUjprv1ekPxEeSHEK5DA4DK2PVY9ciso1iyqrNS
FrKN9jk5t9L6LkEnfBwHkI1GO/GHuFriZHGTbWOvtMjGhv/cwDmlkMhO8pqmNgNk6/o7sgqqepIm
1bkhE7EFPFIfxjApVi7+pZX9aGUWabRmSdEqILkIBW235c0C6dpQ1dv7k3p7SKexcPFOmmcQNcys
uHRzV0HCnEpN8ajUbgiVk/4zlP2953ma4+vNCsTn1tdhEEIMTILY5rxcT55cBIkiWBjUxAFtc1/6
KUtuRst6aax41dt7ngexzhtABrg0oRGuLZHhNGhhLOtzVf5q+88KQpvJe+mu+NSFCbyyMr1GPhzA
lMxvrxRZfSZ1h0IJDIW2j1QxLIcQ8aZqRFtIaqwR1sz3BuEIRWFKS9zHMMrPM3hDScef1WjlGdxM
5+R5UZIg99WVh/CNL52bmY1NrvN07AsTQLtZwQUFGRK62N1vFxFRuboY/u9hqI50umT/uEfmdmfX
7tjlfUyquDxb+ucu3NfDex9+vr/vJ1/x0Zf8NTHNIZEopYa5Q/NUKsNx5VVnI/omV4jPAydFi31L
Owtc3nTXqJqNbvOKt/6rKD03i+cArDJxHJDyvt4txZiUee4OuGt1F56Cd/mr/hY8tw/uU/rHcLyH
jIwRqvROdYy9h7BfcSnzvSrTmIHbokJOsmgq61xbH1AbdF2XskoQ29rPtPOPoalvCknb6Kq1Ejrd
IM/nxmbeOo992U88qT5bMUmknQhTAFJ+6UDbWYvYlj0K0fDQ93ing5r2hr4V5LTynbop4QjVDM0N
9q5ktVP3ei7HB7eoDNOJo4DuOD1AsHuTt5U4HmQ9Buej5HoVO8XYjn/u75O5E2EUAEBZKVCNVEXm
rFm8Kz29jsf2rAxtuBco/+yjwX+kCSk8uEOZrt1xC0s0HWyuWpJ5IBhmRy7Is05J4rg70xkoPwdJ
LbxXQ2Ic9aDzt67QVriXfCSxKFato0S5sMlzBR5fPWwdnneyk43yIcxzco2CIB9DjBF6JasdN/ME
BPMyETLqdNkTZeHKr7eSJwxqD3Vxdw4b17J1OXvUrLL6Go9S+RQroWL3pAm3hZ4FR5p2pIcSgZIV
YOTtEZ7QX1N5HfgXt+zMv6ddquRZJnfnoFO7B9I+LwJUCl/UMq+3gdBnpyZw3w1PeZHydo2P/W8p
8vogTyUkPD/ZdF61c/B7LA8xdXSlP4eeXJzK2O13mqwMlI/80SFGEXeRQktgIwntkzUitqsnrX8A
5p1vEy/vvodxmL5EtSI7YSdAzxlrHQkMFN+UvjLsqEO+MfYL/GxeGg+I5BWwNrXRC/SHnVNbqmvz
IIJkNnM1RxeHT3owWrtWbL2D0OqvZVa0Dg2fW4H40O6SGhWqNM1Wnp0L1wPVWOh7oW6eYvw5AC/1
ojL2xaA/+9aPJpM33oAYq/8ZGa2DGcnn3gWNJe8IBF/5wvvHcuGYXJme3RAUidGjGVDVTWXtRYvc
11KXvvRW9FK1D5FAyv2+uZv4d9rulN6nvncq4nDTX2/3Kof7rhfj/iyFIapk6iaE1BeErBPLip0J
taPU2VHIga146m7F9u1lf217ts/VtG2M0kj7c2sMqIsVNOaM8qaN943wPXENR7bczZDC36FW0b4L
doZoOkCmlXgN+rg06X9fN7DR0lkyD92sUBzboi9Z77Cx6UIViQNaevqG6g+Ii5XgY2nUXFF8LBkA
itKzGTcGq1KqduSAhQK1R1eTDlpplf++j6B5nHI0Cu8nemWu19VU/MQyQ7M/64l2aX2Ud1UaBH+p
FtQv7yvruDB9FOFUQJ34K3zn9PMPkWJmeDVFJH04B3VxCHzNLs3PxXBUacwZOsGWrPFBq6xTioag
T92ZsQ6Wb2fGoTJ+pgC/0zLe3/+keSyO7+ahStKBIhaJufkcD33pankRjGfPVXmdNn0Fay7w42Dg
Ir5v6nY5J7wk/RQMnst7/jq2kPNU0jEZz+i4dnZA8L91MyXd3LeyEHRwFeGO4L4BKE8SYDbHrZYK
XlBK58hr620cB/UxF9XMzk2123eDIF8GCveQQnvezisUY0NPvLGBXdfcaO3Y7qXYNZ4iK0t3np8U
z3UWS3tD7AzHLxvUI32pUS4WRL4rAe9CXEiiBNeikeqly2LOrdHm8WC2ZqicBy/ZkLFQt/6msf6o
ja3nOw36tcEJbTQGocEINhAspl/G6dyVdr6WTFxwddefMq3kh21KXdwQtIRP0R90J935m3P5HXXZ
XbEW6kyhzPUVitYHcTSgjEnzfk6Polhd1ElKqpy5/uxkWzxIm3D3U3lwH1Mner2/MRZ2OrZ48eFK
obqdtzOMTSZ6uoStmvg+zT8jqFpaa/Cl21jxr3jJBKll+wEOup45KFJbvwoT5VxG7/D37cKh2sYd
gpL+2tRNbulm6gjnNLTDp6LAzFKgKIVZ65lyjr/qwsHYFvsh3Kfljpya8DBmTnfQJDtZI5teOMPk
QWUaksCETenQ6/GFXcAmDUbtXGr6w1AMqqNpkbX955XCD0/qnxNKx5wznityF6h9VJrnWmrLjRHV
sT2U5dNYB2ui8gt7gn33V9EGyiMi2evhqHIby70nm+dQE4KNZgT1Rm3UZGNl0NrcH9TCzNFxKgLY
h+qNdrLZZSYqVZ34oWGehULVkTKRTdQ6+zVltMUBTb4cCkoQdHMrhlApdd4L5jmplPLYEoUG3CJN
+F+NpMnl/ohubBH3Ttos4A1Io1DeuJ48Q/DyOA9i61zJYnaJXC9TdoKMJrpd0py3SiV6aw6wDDVd
BfriaVPMYqCA9jczNwyBWD+2LeRyLPeboXRI++67JrGVaDwPxU6lT1svC9sr3T3/tG0FypLeClr5
Zi3Z/5w77ks6gkARz9ZS6iwtqNrYuwwZtBcIWf2JRm9NZGDBCKzjkBLzAqTfYJ6WMwtU1QXL9C+n
7YrvWPvNs10vCpbEtc9vJuJw1q6xGw84wWA+fPbktz7cHUbdZAl9jf5lCP7Dkxw19SR8ieDPruCU
i8edoh616C33X1JvcOTy2ZPFx153StNaCZqXPoRWA7YLLxPQx7PtKUpJVYU440uthgc/iGmiKeuc
1lgjtaNgrct+wRp5OP7wEKQcP2+qElxJiGFmCC9FO9ocTECF7Ub0oW3f3j91i4aQaiEK5wIBo3Y9
v/jcPGpKN7yYpvA4jt3BSsYfoRk5hrfKhjBN0dUdo/wVu6GuoICi4KV7bUtLYtWkyTa8BKF/7vOv
ybgX29cm3rf9D41AUdTtUEL2iVaOkZwZaFFKBHaJKnz4Wxfi8/2R35Az4G1IwLCW3OIUw63Z0NOk
kYZKbKPLQPC3D6owVWzL6nI77/wHK7TST32PyrhskbUOpYzeYy3yj12rdY9Mpe94WrXaCH1zDXNt
SOCVp/bEift38loft7uVI4rcq9HF7eI3ZD1PkdlsB7G15besVBwl26eUlYkeW1P04Vof7XjtmXQb
rk0seiSoRGpOlH6lWcSLKEHs16iCXTL9kSfsSxhdimjvq8fMOFYy21AA5yJG9v3lWPDHvAHJUNGf
TC7zb932w8hh4vJMsirRhfjZDialgPxP46/hohZ8FTc04QZ1EIKB+dha3xNLDajkJZDM3ilSkWdn
awqb+2O5gYCztYyJshxqW9SfgT5fL2MeGqqrmV18ceUEle9dqZG+9+tjqu0VIYVsaHDiFsaMrLel
OtiU5mMb/wJtuSkBhKnCc+JGK+f8pu7995PgvCO2m7KO6mxVdV/LNbcGBBv78avlmsc2K39q3U5L
rZ9F3jqD69rCcBiU3wh21tGwuz8lSxNPGDsRWU8l6XnnmSB0qd5mfnJJe3DAUo+IkubBwXvfyoI3
g59igoehakgScXakw1BNOympk0uCuJVSBMdhfBuT8FVI/r/GA/aEJnYAsGTurle4pXbZ+qrOdKYZ
MtfH2utXNtHSgSAHCd0GxTTGMrtWA2nsFDkIkktJ54BTdfpPt2/gHRfStZ69pRMP+JIeNyaPm2Ae
t0Yx8KOmyNPLsBchcun0XTQcev3iBp8a+SwMb4X476cdOjxALAwPNNKcrBjw65gkwOMvUStriE22
gm0JylGU3+9viJuMLqccyWyubGRIJHm+IXIr84ZMDdOLqrzVMAk7IglF672GsbD8VMrFyrAWbrgr
c7Og0i1DY4yHNL2IWga7x6C0myavfwcDpPhxa5UPiukJ/77nsUkShBoMWrjqzKbeVpIrjdgMpd9j
E+80NXe08RL8MxR6is5RxuNcESwgITV3aq6bCGpcpRcvcOrQ2knDtn+n3SwliyDyCL6/cn+5kWbR
Aub4g3IN73lz9jZ0UzNEribJLmE8ek9KoAZbt47as1yl/UYczWrfeWK/qT2qiGUuq7uilGXHEHSU
Rryo36kkr51MQy6tFJRqh3SVQqO9ajl9mOvHou/FSSXC38idrtmhH2aPYlJJB8vtoLzz0PtK9brZ
lfirXWD1wzbPh+hYhnn4VBWBZrd0D7zH0mg4LpMC/rPDiXt++ikqpHhfJuiMtw3FRqGoN54g+w+k
tvMHmfT2qRpLBFmMptnfn7LJhc9nTKHojvCLSLrAmnzwhyu0lLlt+GF2GdQk2SuulO6I+XtHM0gx
90ks7drSKN+tuFnb97eJe/aGKlLSIkAmnppHx/5oKVWi8m5roG1QJaeV5L05Hrvg0mv7qAw3hThd
d/mOdufj/VEv+HxuFJpboL3kKXdz1wrmaBZ1mF0606R96nMb5Bdj8skr52zJlXy0M7tAZa2RM9TV
s4tb7JToPT2JqmAb7hdzogxvf9RrrOFLvuSjvdn+r+lv9wDfZJcy+Ga2nzqI6q2HKCbzyO65P4UL
Vw2pH8CUk2jCBNm83jiZEXmgiaz0UsiBemzNgMqLiZJyF9e/71tanEQYY8kxQaV9oz7ntkkWpwmD
UtunrNcck0K5HvrQ6/0kzf0fqLFqLRMqL42OdDwdUMR80KTPFk6wWgLPVsBB+hspP3qBb5vl90B9
6+TG1uJw6yUHU4t2ZuZkrr/pCLhDWzvwKrUj4cFrHKJsOdjU1tMgxg96i9abBrzEfLs/NTdcnJN/
Jc1C+M9aUAmcOfLaNy0/tHB4+WZq1nUAkGalQ6DtbcVj9YX+FpTf/NKm0ff1vumlVfloWb5ef6MZ
zcDVouyS1qaTj/quyqPNSO1HMLtd7hZbsfA/0wa3cqKWdjgtaRNzLEUM+l2vzZpFIvlKmGcXk7aI
qk0cP/0TWD/1+C20Pt0f4ZJr/GBqHn42eZaWpczcaqVScjXATyfF3bOpA/RURrncwo6BRnicrDHJ
roxxnnbpqTmlQpXhk/v0ddQbe5Ce8iLf9MGXOPp1f5CLy6jg+KdX2yT+dT2fkZI2o96W2cV3Azsv
Thkd4NFJNMOtbAUvXfwslmvpmSWTOmsHgg+AM9qV1yZ5acm53kT5ZYQfH+q04pBqSWJLSqE6sd8P
j1areTaVemHv92N/qH0/2xUWKhidMsJOqge/xs5qNlWh1gdTauND6ubtQeaKdyU/2dyfoKWrAgom
yjiAFLgnleuvbS3RJaHILeX2VksTXpIczZi+YC8TPKgZyzWA85LnmZ5bcPzQgEkb7MyeOebxKCT5
pd8de+dfO+8nf/Hxt89O7RjHvRK4/HbFrHZS9xolX2Pt6LoQ8cA3uW+y763pbXKTTpXL/Xn825A1
jzQQOEHODuQ9Utqzd1aTp9bAIcov9Zhv3egRsqbXWrEcNTC3hdy8NtEv6HL0/qEvPxVxY1vnMX4c
tNjhqUy03z364l6IUIPrHqBEh3L7wQvtRFjjvLk59VSUgWNNSX8QITc9COIY6pkfCvlFNwbo+gun
d5/N9qkSxUORhW8k19OVm3Tpmc0YSLdTR6GYMucn8NW+siyxZ2Zar937Zc+jP6Y1Cdmy0QlLOX7w
uffsXu6LQ61pw4scDsk+UBprQzlQXtsj0w67WSicAT1TU3Z9DqpRm0JqIiHPL2rubQvpUBW26x3T
/8PZly25jSvbfhEjwJl85SSpJptVJbvsF4bbbnMCB3AAh6+/i77n7JYgHiF6Rz+0IypCSQAJIJG5
ci37oVb89VW3FyggvpQ/Je6xLf+NVbRlaKhAgtBEFzwTGbJlWJ26jUmuRgDWNyCpSH/RrPWc1Py7
a+fKZ7Pzvayjsp49xUmfp2nyp3bF7a98pKBlM1h6bJXfvQ75Jil5zN6hhWZ0YC7w2gUpm/B5LZS1
LDKPbTy103dEqq6v9KCPMJxqOGktqFD00gE8jCtGqIxNL8mE/Ik3xNnBSqB2A+Kvjfv7+lQYnLFW
nJq1YCZdQRnK5go5x8JJx28u3jtPE7OSrZtlhTol9tORcwayNJfr/WkoCq31FjttH4nRp1/bekSZ
Hw7Fn2bNaKetegb+8Eovv91f0d34/g8IHYcn2jVEHgWrIClrDQI/0paHxpxPFku8okbYO6Vh9aZb
j1nir53hg75KEiXsZSfwuAArFyJA0M2L1F8qWPOactYwXx/lI/Uc/Kejdi1LSfwfY/zHjnB9DuVc
2oULO1b1206eM2dT8nil7be1c3zgF0LX8lSnf3Flkf7tNYFdstGwb9Q4mF7hNGW0Z7VdYbvkgCOC
c8fOflXSLgaZEeEucmbqIn+N20KL07Xx+HufPKeT4/GuDYriWNGz/s02n0rEmwCSBQ2CUEUSLWzB
wLXj43UImA/wMeh/uVlIZrLEGJYJ16FBI73i75zISLt2nAUvQegeIAcIDAA29/XmApE44XNXsVhd
Mr9E3wttDA+tJKe8espSEPzZi8/IlyaRjO02zru2u/394u1NsnICvhJ2Letx7R5m9WC4h8L2dRlw
bG8dkRXcQKQ6GlJFiFzV6I5SpzWLe9PF2ykbE18xdYZ+2FSK1r49xzEoXPM4DpHygZze9aC6WRlB
kduxuIaIaz4Yzy1k4e2tmy/FdcXaY1soj1oC+lq3/iw5cbZYTHQWUHaC5Aj8iBuK6do2S9aFzWgO
i13AZcEsgEDDJpkF7GHhuejJnNnSBL0Fot6i72lYz3nnO8vUn5q+AzsxRLwlV/tNMIG7DGq3loHy
CFA1YoojwWlnLhNhsV5rb0DHvlq8xvzbPxtzOdVGfbRn2cm3XUTiHGwZPRgFjy82z/UcmBoHV8XU
sJj3RWhnEIGw2tMyxUija2wJJoTWKMT4JRh96wVSoMkqGfOes6GFbEvTbj1rhvAB+oh+EVSf4GzW
iMiSWuDctxA5QBhQNtbb2Bw0Ehemtk+52EDFUDVrqUIThTfr93kuECr8Tif6O23Vh9Xu/E6fnnLL
9YmxeHNZPfbc8NPMRvxCDot5nFsZ8mtv7CgUqaiFofJyQ8s4lsxlpU1ZDOoUj1DioRLLW1nAuDds
cMJu2VuodONNcj3s0qCQiECuJ7YSfuhbzeuJ+3drtEewFYSSLbWznZGjA4RtW1ADTbnXtgxG9Hwe
3S52EiVkpPUJd2I6dN5cITu3cuW9aRQQRbPy2cqi+8Z3zn5gz12C7YMeHSCmrm2j6tDYIIbsgHV7
b6yfiy2JUHbmETkeNHJpAAPiCt3+fuE+rUbqmaxjF6ODWtGA6FifNfqcygBLO05xZUY4ETNjHFtT
hZnuQw+Mz+P7/Vna/Xlg4IFkQCoO9enrUXT9oo/ruHYxRRMOoeECanIIfP0XRhB6IpuPCjN4Da+N
9MTOaQvUbbwanc8ySAShBD/925a2rQkG8Jr/WBGcjY2poy4jrHSB4UmOpd3F/ue3xaoOyfkAjQOs
QlHxyKaKT/TfTPvhZP+NU13YEWOmlOSMTrCzDicnAXFT2nlucWhL2Tm7g0XYZgsoP8gX4KwXU/dK
PRZT0WjYmhToB5Dn6Bz1g8rLFUCQPBdMzeDVrQ+IPrMz587hvkfsz+c/1gW3o3ldTgwCqTF0eHxd
R4rRAgkyBzMAiKjvm9qWXbjS0GKBex0tQ0gZiY+fejbypOlpD+ezSKQzhR4UjYOVG3ATOqktuCA1
sunWV88WAG3hfet7+0sHFxMQKLhOIcp17frAezVqg6ageOle0WsTUV5469JIrOwkAbY2S0C6/sgq
ARF4bUZR637UrLaPWa6i/ZHxqNG1CLpdj6Y2Rm6qPLXVERRJJ9cag2LVI9NUjvdH+udlfzPR4PqE
wiMapVE/u/4GzQadlep0fQz+8G+t82wC108UEi4u9SAvOSLh0tZKYE6ap9l97TGVPSmrfsy6NOLm
u5rJkjG7c48HDkJWEIUBeHP9QVliOc0MTu0YrWKrmXscDdTZKkl4bKO6GfWFEWHm02ZBL6jK+1hR
1sNiMc9ZXvTuh5O+qgQ8LZKFlg1pi2EvLh0nKzSFArMXK0OL9syx9BYrrrRGtmn29uf2NvzfqRPD
MEqUArF4Hw+JZ9TvrrN6g/ZRS4+h7fa6nT20tkIaCyyxYrzPSWtkI1qvY7ySoG6khWl2AuWT16tG
uJiSydsf1D/GBAfNq8aszBTGauu3635LnTOq1jqSx/c3wt6BsxWrwc8BrKwlut3MGgQN8zLEDO8j
Uv/k5gcHVHCaD6R819LHsvm4b/B2928AS7wzgbVBotkRn/O5zlfNhGgsonbm51Md9CbzGBovALB3
ybF8KkZ2MMvcM4G0+bfN0GAO3gApW7cf0GOa2KLsLGmalw1yW9Q9I6ArusHrufZv5xR5VRDXo80O
4SSILoWlS4fFJKtlIWExvs6n9DRakZ0cVOVRpzzIZMjVm10mWBMiCVoqY7kQswVOL1aT0Z+M3GOa
DFB9W37bzOAFsvVMYPVc4XyyazcpEtdpY6YgD2NPFvOpzR7mlCge3mDG50kv0ESBh+axcurmoCma
Ejp01KNuGR5xWzIPKZ4pyLZq+32X2p0BoMm2Vz/weGLE5oIQtMx40saZb5S/uvXdkjHP3ez8bfAX
FoQ5XmgBlbcCFvoc78m2jnScl9T0oDP7rKeS4dxm2q6tifHbyMy0G3tYoy1aUEHfbRSDDzEyv2yc
Z9Jwr0N2cSgyD6cDs9Xj/dm8eYoI1oWFVoZppcNqt7GpJKDDtNbEz+1WBhfY9sDVWQorgG6h+IOj
xwSxlnA3IMhxeIIxOtVhbY+FeeQKOidPFUp/tmQ/7k4ornkIQFkIO26awPV2KUZ3LllsgkYDjee/
7O6NTWrYltD/DDpbDftlGraaWwjyivj+fN7m3LahQmYItwaYbwHDuB5qvYBYrOowoZkBTZPmN3oe
gsYY3jOziedCeea28QDenVdrldF73twhfyxvfU7oGUZiUYjn1qapVLNMWTwwchhAm6X86Hr3AEK6
0/0x7u1AgGpUKGxByg2Ur9dDLLIObEQdEiGEQtE8ZY7uZ04HmASqiZLdceue2FtohgHT3SZWIlYn
+Lhww2lUFtOVrv5sMwtRxSDTQpZZEUKXplZMPuQWi2ctSBSPseD+hO24JNKTfygI8QREnVLwf4VS
C/ebzeLsvR8Lr5kdb6IHUL8vme5bSTSzyKleqPLlvt0btUHUnCB/iZh7YwUDV4dwks2DYRdqn+Mt
02nAymQIe80ZAVNOWuUAshcN1WirQNt/OQUT6EvQaws1JDRGIDrg9AzgLigZ06591Y1sDruavK+g
pz4uUEn1JzJVUaWwiCUEUZFBXhsjzZ7LxdZBskQnMMUYPMo7B1SdttJJHGP78usTZRsZNjgKruBU
E/uY1pVxR6cZUih6FxZdFqK5JWpARf4Z+b8RytaeNvLw/nTenmKXNi2xyRKSUdDgWtMuVr5W5/K7
+2X0KrwZJOfXnjOiIO9aIHRF4VR8q5hociidqkXaA3qJPidgIxhWwiRvgxt21c01wOKODiPgTfAu
2j7jIlxX6q4BsVHTxZr5mGb067z0PtDYGzU+kkeHoS0CS3FBpzYFBHrQabq+ZCuaJCFN5eQ/dauC
r6AJrvFbZHtL+qmdwESAQnbLPu7P+u2xtn0o2luhOIFYXLwfS71qUdqvurgq39b5MT0n6MtTJc32
t1c+jCAi2ZhmQaYpNqADrjCvroOMnJZ8ZsP6VOTcHzPjARnnwM0kzAq35yeMbSyAoM5RLQh3XE99
nbjgfSk7pOdsAJtKdiRFgtBKpi+xawZlQrRfb8UfsTiSDdigWk+6eADNUbA2To6Cj06O4FaQUTvv
Th/esaitA2uJhN31iDodRFGzoXZxrz3kLgEt1zFDJxlNv6aDZPL2Nj4qPmANQfM6CjHCUZrnjKUF
2LjiMVd+VZuOA17Ok0c6QDtUZMpJ+5UwGZh01yiKP2hCAnIaHWPX42vWJkWLA3JC9nhIEnDW8twD
uVvj64hhKvtQjr/uO/1txzK2J27W/7Foie8mspJGU2oLDnlQT1QJvuq+ES1RGXAvCRp/9iEWEHYH
/c3xE8kxt7eYl6YF90wma2irVcFiKonyZrrsR6YOQduxyrOrqQbBhu5ICly7JiFjgSwRjiKEitfz
29ksrYstP8PKkxFSHOGDip6MQ1pJWx1v8v6YWHCMgtIZ1Debs16bgt6KirIhkiLL/D1HsO0XRqSV
VqCap8wxI0Ze3U6mm3PDjL8dttBd2LhNcb4gpLk22qY9Mp551semGjTf2bk5L+fiU3JSfDsEg+6H
pgS2jB1z7x4BeBKvXwTe0GQRbDqZNuhqw/oYqAuAbYZA/bdkrX9GhSMTDDVInaNB6npUVZc2taHO
PULd16L+PvdHit4INwvRCR5mae0bmSzJtHcFg8IRKCZYRWSzOdLFreUoZWEsnY68WWo+2B9FMx7U
VwpOZxDRfMGTURJlyMxtf78w16d0tJPE6GPSL14C5RjOQLVU1j86/VnVHlvkMe7v+12DKK2i/Icm
jRvEFE0bWxlbtUdVylyj1Cmh8A3h9ENZ19XRneYhbAbUxRIoA0rO1b3bAhHilqhBbRWP6+uhOp1e
gNnQwsz24xaQZn2U2kUVNOlAg/uD3PPMrelqox1BKVdkw+UZm5cuyYeYLg0Lh0mrPTvFrXHfyl7c
cGll+4qLtdPVVS2JWwyxRRMvL8zQyF7T9GywTrJmu4ZwyW7YLtDQitU2a+CmOyTjEHeE+ZqSBTo/
5+rXwZUZ2pk3SNi6W8MYsPBgGLseUd66XTnYGY+1qlhDUo71i52kpQS8seMICLLwWodQ6IZGFg5I
TpMpSzlkIXDOn4EBitcM6ptmdri/PDtmkJTbmuBA/oN+euHNVdHa7fTWHmKe1x7K6h5mTVdlRFI7
FwswwGhthQgbnEFsIeXESBY3r8Y4syAYr4x14bdT/5sDXhlVaEJ8aierlxwauyND4gzR25aeEnv3
y6LSVKZksJn/NWSf9OpFySUPux2XwyWC2i5oJcFm4gjHIKhr+9kB4C3uCQphdDK1QGmBHx0hbBj0
gKRJXHzH83SAPPDcRzUWFLeCTwA+5C5aZo5x3bssWgZrBUsSaFjvu8TeYmEPgf4Y9VLUrQWXMJPV
TqxyGpElAslX0j01q+nrryprI4fWr/eN7b3J0SSGIw0bCalh8SrpW06yNDen2K3U+SUbKjNwlU6L
0Y1pHhW8Z/2MuWAGZYoWUZJrD1yzeNSVYOK6/yV7w0ZNCh3OCH427qfrbc2MAnVuu5hidbDqg6EA
F9+pc2AN9btmlZ8WuLfEQ3ey8oDYIReHVm/0lIFU99qk27d97xoKj601x90JhGrQqXkeuW05oNbZ
Ni/jUJMAsYXygvumfaxSFykLgqYRYisyNfWd6Prqa4SrR0EyaeaTxeN5IG2gN8kQcstVfJBH1cFc
6vnD2Oro4xv78UHlqQxZtHPnAlWEYAJY5Y3wUzDvsiFvqqqa4hoXrd053+3+eagsfx1+r2w9ZgmR
ydTvDvjConCQoxHThcg2LNIMUlj8GzuXSXfcOqlA7Gc/LdnX+x62c1wg7Yrua2QFUekVL9wGHQd1
YjVzvILOt44nd/aSBbkfmaD7zslnIEeHtmY07d/23Ok2N03oUsxxAXr0EQp4qMo91OrH/dHsWEEp
10Dvkom2I3B9XjuvA9xdR7VpiTvTftIV9BqnBg2VoZdx5eycerhtIa8LDCUagsWEKpmGdAU73BoX
3FIeoLPRB6zVmCTwurWyAR1ceB9uXfxf2IvMmhYGslkeK3kDgGbnGTI42e2EwQLwtHi8ojUFuYzr
CWNZqqRpAnfrFxa6DJ0Rtl340A+WHSvby/A6KbcZQgwEWAFiOyIYKhGWcnUeppgsz4qePbEGxIxr
8boV+jSvXb/V2d/J9HOcZDTdtw6OKtX2DnGgO4YLUXjrGDnVjIT2czz/zN2QA/U0BqouuQT3pnHr
JrKQ+saCmcKu1VOeqWirneNuYVDoHtDE3PiD8/u+d++4A4D4KJJA0gn8zaJ0Vc8V6JFDGj0m6ae2
Lbxx/eu+gdvjDq6AThX8OiRq8My49gaV86Kz6pTEnd1MYVsQAzkUa/4MdF9QV5v4IYTAwnkyK8mN
u2fYQVYTrzeg7nDxXBu2e1Ol5ZoTQP0dr1sia4YYmuLPxM85sAlUxr29s16o/2Kl0A+LTKfYAZY7
STkZPFtjNo8emY5Wyb15OdyfzW13Ci6PbibkDHFQbL1mwu4tkaLCmVCtcbMcq/6vTDf8ErrceEGZ
jcTUjpNv+lMI+8C9DkJyIS+ztPU86W63olPDiWbKX9fJCiaIBdrKero/qh0nNCCEifQzJhBc2EJI
gnxw5+SEk5hX1PXtkWRB1zGZAPPOAqE+hzZp7Fk86sUcfmJTCLO4M4nTavJrGq8p820Za9fmzsIC
AQEPxl/4PEjIROXqMu+UIVF0ErMqXNZPSun4kIKCcvlB18HiWiWhRn7cn72dhQLRIPjrQUoGviJx
oYAFT8rSVEg8zibkmPoKfMLFtHqlxU5D6RLJYu24IEqq4HMDNxn0UETCikRlhsEspsbVSwcFNGbb
UaI+OsAzzbWM6WPPFsh4NBNHIHIFIiimGTW37RNLjZGJz/M56Ofcz8vsU6s9Tm/3Z/GWNwaEHyA7
gBiB4aKYK/Lh6Ys6Fh3ttbhVjEMyP2dKCr6/zrNA1NmSv5beA4c+CGLUyKibZ8qTkGR1uE7taczU
lzblEUncr/c/aucMu/wmkdJzNNE828ytFpdtHq55MCeRYj0MxqFyzqMxyC7U22Tlll5Ddg1JQ6yu
2KM5Z86Ksm5JYsU60rTyEv0972gALja7eimVM4q86NSM7o9xZ/PjeoCo2KbcequLnTedMQ12rcZD
tWTeZPMZLbOJLjnNdjzpysq2iS7SM3ZlcHvtCzXextWY6NxSB4jOrH6qLZ5eSFjl9qwhoY551PDy
Qa/otbUKKa+sZFyNexVk9K2vJc9oC56HoOolHrKz+bd3lb49qzZSl+3QuxiXZpYtSVJDjfPODs2C
l9ArKDhY1gFhraksnb3jj0idaDht3A3sLZaSmDnVk7kkauxOfZBY6Qv4OgrzXeXfVQUad1N83zV2
Ho6IH9FTBFpC1FwRcV2PbursktYUqAkNCTXG39fmt14Pfq0uJ9MM50aJnARk1eWTW7pPPJEx7O+U
Rbb4FYlcXLaImMUro7AHajkpw/6rfi1F+nUB1SPEU07KYD20tu4tgCGVnX5A5BQVKvnRz4ufWvzE
mhj0huc8yp7aV3Sc35+WW15cHLuYk41NC1pCWP/raRkp5KGYjeRBM3SBTmHT+Nw5sTpF1PlWFFmI
1L+DQlX59+h6KVonOsC06ZmD0bonf4Ng/alAj1niyj5sB42yfRhAvoAWuiBoEtaLAtmQAjKG+cLj
ZYG6U5EuQZG3nm2PYTo63mKA4IUuh16qrLZzjNgIVZDnRZEeoBQhXFHZRI3BmbR4HCGAyxXOgExX
ZFWOve2GhiyQQoHsZWsivZ75aTLVGvAlLTbYl3kqArNfkcrQo6SWsaXtHCHb7wMYDmzY7VncF7me
OXqlxfWqB2WVBkC7gOon9XKQ77ROeN+l9q0hSnY0hMx47F6Pq0pnHXwnWLiqcOyImXjWpGiFjWYQ
kHozUha/lSmr/30kATVZEHmhUPUHeX9tNLesMrPtRQOo4otZ2wHg0eGoPE/DeLBqWdZnB2OI2wVP
UoTP23tHpCIxumwcoGCvxaqyhg1kJEdwyFipHq5kCUCk4CdWe7TylzT/4bbFwzj9atXjpIOCZJkk
G3jPi5AYATUB3t9oPhVme7Ymla3aqsXOcnL7rxN/L+y3RaY+sWvFQMrCRhM+bhzhlFD54trzAJJs
UtDPKp+f9a5qDqYz/JW4lgyscot5x5m0dTaBcg91iZuWrcUqqqbEiRVXPTLf3cEtIyDCI7MvH2bS
v6X5a81/tm44jIa3uiTU6BDQysa/7cBmsk7NnbFjh4KNGo3LSA2I8nZrPc11UVMjbqqDO08gCao8
c34Hj9X9fXPbPAKc2KUhYZLTxNRrOpcwZDwqExAqaRksI6Td3flJr8u3xXkFr0mnnmoNYlYr/VL1
ikSZbeddgxZtBBq4l/G6ER+ehc3XFnQKRrzWSRrmQ8OPSdERvzHQTnB/uDuH7KUpERwDWfGcsGI2
4qohT8pM30uwKN43sbdyW28K8H6Ab+LdKRwKINBvq9wwYlIP5muvocRbTY1ymqHZHhnyKsCePSwh
Mkl4FaK/VLBXQ2/NnLB7Yr7UYWcOgWWfW9MI0kFS6Nqbu0tD24dcRGrqSMoC5wHmjoEhps69yYnv
T92eI2CrAyuJEw5NBNsXXFhwxo7yWevNGMUgBjFyG7BpCXBpb5ujAPCPDWG6IBHV2qTqTBiYw6X1
s/7kKuWjmvTRQk6tBizx2r64NBjnz67JH8buUzueJxJ1aHq5P9y9lbv8FGFCyUZfXgE9gRuSho3W
+9uk5pBkcWW3/u7E4pJCIA91BeDkrid2MfsFb0ZMLKXgAqtBBHXWCkledi/WRSIbUR0q1Rs3hWDE
tRgDAYBtxkk1UOqVao84szWR2rQ7HjSJnj5pKn/lRmVToN3zk56gJaUZ7fbJMTJZm8Hu5OJiRmcs
GIpvCHpNt9abmidmPI+Henzk/ZN5ljqszIhwD4K5LlkY6A7jRoNM1vqYZJ9pUvj/3fpdDEZIBeYj
MHaEu2bcla1XFd8NMCZyRRLN7DrJhREhiYVMWpWXkOAAhcVBmyEJ8gqFn/sev3eEoAT7n0URNngz
pnWadRgH5qo3fk7Ov+6Ixm2GFYeamQuiEVW8ShIXEBvidlacuT87dQUc9Nuqj3i1/r4/kJ2FRyHl
z/EO4swbSpMEZFk8N2rYyUBd1UPNKIT+Yxc2Zc6e0TomG9decmfLlqIWhVZPIPkED7DbfugKklvx
RL5pPcR17Bd7eqz7+oVmqW+BDLdcrM+5dSgsrzLtozOc+NkowZcU1jKS593BI7+0RSdQ3xVThKPR
rEUNzrc4weutal6VLgns7sVdZL0eO+4C9d5/DAnba+xGpwXAA+5ipR4qr6Dz/vehBxwFSRtgiJBp
F0voJQr4ZE22ddRmry2QVgfmLHn9L5zlwojg9eaGJ81SZsWd9rTYT3b1COqU6V93l4NMGJgaZGxR
FQciRbAChuTBSdrR2rYvyvQe9i+4yyVX1g4KAFa2VwhBxQWQ7u0ddnFF83bIzAW5jpjRYnmazOSs
gL8s4AxgL5vWBBz6LmgG8VpqTyp3nEO5liAbByarjO7P6s5xhXelBrgKrpoNaHr9JTrQukvDqR2r
7tk2IdxtRUxaKNs1ssnfgXYGgD0xuFryaZ6YPdhIuZ/A96Rrj0n/+f449nYTGg7+Y0Icx5i2pdrA
hKsjw5apP8b2Y6TofVElEHaZIWHpMjWb0UzD7FjvvpWZE6z8nI4xH2VlYJkdMQ5QEos44wg7/Wmd
zLcqXV7aPP+bE0lAKlsc4eli1g7lXdLY8Hi0ts5enzkQt/l9f3kkRsQXQz5NNFGb1o4LglIz2o95
/lAlwX0j25RcF12Q+0QBGA8glHDgzte+bI9DYtHFRVoS+qohzj3Nt8pFD7tmdf0cXRtZnmbHzBlk
+dA/ld5Ly4gFUTHAAxP1OCQJxcoVhf5tMw/JejY/raOXJKEDwR6PvtEnflw/FHbovzgnoH0fK8e3
nvvnwjjMc2CbYIIDocDDAIq1NvySRRVokOPx+O+m5c/HAUmwQZxtZAoFT0qbmdg05+ScMKvzJ46K
WqOWlte2meJpc9J65ToSL58VFt63fMOztpkGXhfVNnQCIX8q3Lcu1OXBBj+Rc1Z4Wrw6rzNIFH4s
f9kPXXlw1SgHidDvGYksX4dI6Ev+nuWSWEl0vD9fAIQNEoJgJEHXzrVPGFBEL8vcJmdq0gmbtVo8
jam23yY8k0R+N3jrzRYOUiQegWLEkSrcHcRkYzb3DTkHjfeded8/xvB7/9F6D+3h/rzedFiJlgRP
70c0BuukIufK44HplV7jbf8aQ6BSjtbB9dBJ5TNPD6Kcew+199k8jLk3vi+BZF/vrvDlmIX5zakN
jm4TX/LR/PmIZ9U7HT57q98HTw+FX0vVaLbjSNxqlwaF87cdUjbU+v83OAS2F3DuBczfxsfD1Pd9
9JTJrus9J7q0Keygok81PYXa2PnxOfrrL/fl8JAGPvHejpKj+CaNJK6rcBbnkz2OW7v8+ZFHwfrY
RsbJrwL+HEhSBLuuipIiIIhbb5Mpkv+bRdU6HLXWc+OBSv571oXd1/W1bDwr8fzFy8bgV/H3facV
T+dtbBtfKY4B1KiRjrzeibRIQK7Sz+QcmYqvviqr/xBrMhYXmRFhpSyNYxdSGKEn15ufQM/GwTjg
uZKb5uYhIQ5GWCgKWa4Zz3ByZkbUfKXfjJPzBaDl7BNoBuyQPjaNZ+c+iK0HJ8xsz/hvHMWC8h1I
wbb+FfGqmxrAmKtlUs9B5eH5XxoeM7yFRs7Hy9kvZUHxdnCJew5cgTbKmADjojBwvXRISTgO+iqX
s9KoIHd7VCsS3XeOG4bwbUIvTQgnGrOh1bkq+nJe35LS+1L++B6pXnTqHrm3vgL05LnPYOGpvZfw
eARIyfslsb/dRPeGKJxjTamggxZdHmdwYHRh5QXf3/OwOThBfiinBwuWcbgcFZwtSWj+krG/yyZY
2BtEnaeKOuZybun84ljNcVR6mZrDNoJ7IxS2BojNLA2V1OWspVHWDyEhJ6dlUZ+w9/tzuWvoTz8j
QFDAhgh7w+wy01j1Yj2r2Rma0e7wu1kjQ9Y9/YfBVhwPKg1gv9gaGqGAfu2UUAufq8ZJlvMX3cM9
oH4s/kf3EXx8Ur332at8NfVep2+5H4at52fe8vh27j/7siN772q4/Aph5UBPVxVdoSznrffefFas
x0lGPbE3n5cmhIWjuVqxqsbCQdzBK0GeqU+L141PqyaTPLt5l267cGPlheKHYW18h9dzOuS61sx1
vp6Lk/lRHdVHcJcUf1WnqvUoJKH+uu8ou2HzhTmRkc5kk5OVJSaPj97oPz7PWTAHUR2cGv9g+0/h
FITnb8mnrz8RsIXhj7cYPFwSZ72pVQtDFtnhpypPK2PN1rO2PDObQ4g9Jg7oyFdvGlXP7H8g96OU
uQxjs7OooGvA9Yvj1N265a5nGhS/aVmqznquXqwvQKCp0fhgd49NVKwnSNK+FJ4Cdb2nEoKwqSSc
uaEOx5ChcAZFHpBjgQhQxK3aFMQABRvJmac/Zu2toV9BLIp96hnrjyofDuv0OUO9LiuNtyHnp0JJ
Dgw5RvtjNL2+GtCJfWRJUA0/WNYEZvrbXFePfL/vG3+eBsL2RpiAghXyj1sfoeCK62pRrUR/9Nl4
fv5QEVA/4l6Yf84R3isUsUrTBfVL6mue/5YG8Zf71ve84tL6n79fJGiWFFwsfb2s57l/GF8n26vs
r0SJZh2NagF2nyJZk5u0/7YmuFxR6CLbK1LMw9SNwzlXrfWczGCXhlZM6oZJnoB+8AXkN9zIIJRg
PZD3Sgs1XUbQdFMU/2NdRQUeESEUoURStsIi+ZgNynoeH/rwY46CZjlQJQTFs/8W8MmT0bPtrq5+
YVA4NtcFvegOqKfOMzO9FnCGYfIb3oAYIpj/GsGq5VC/q8GPxn+mKXA1L4r6Sdno7IPUOkzGoctD
d0S2wgUBqWRrbqZFx0PiG1IKoGxHD7sQiVjg5RiUasCnqd53B0xtP/pSki/dNQHs7rbmNjKvgolu
SAq349iAlQeyg/Xonucv9HzfhffeiBYu3/8YEe7HEjiOwdJgBJrkgeY3PjIuBxyslh9Ea9Q+1Sfz
KZosIN8CONRwwBHA3rIH8lg/55EsB7Hv32iHQ/odoEJ0LF6fd7raci21W3JObeNnMeah1p+6qQwV
+ttI3q0pKpS/R8jcq5NXm8H9qdh7ViHVChZ5RCUA0oj9eHZTz4W+MnKeZsWbx4/cIyPxoXVZ0odx
hronnbysVqMGMjNK+4UWkuTk3nMBTRAb6SEAusAnCe4+0hV8VRnWIineRuujbWPrMH5xUj/LIuPd
eNNncN/3BBTnhx4kZVD/Gz+hx0RyyGxHpujZ6HXfFMpwrN5QM+AQaK2cWuQMWRudfGZfOjfIT30W
GF3QLZI86U5gBBgy8k3gG0dfr9jZazv9akw0Vc+qg/oJ9pFueGMveQft3aKXRoRLYmFMmwsOI25/
mK0vReeBGbviHxL/EQGx2/F4YUa8MEvOes1QFPjPYvu2+23gX6riMctix3ymc8inxlNP923uTh/A
CKClRwiti0TBzWxDfnbN1LOuhe4LTyU/fyPt9mdI//y+OKQBsNR5JI121tMUTKM9MfIYiOBWi1Ji
0RoKyysUYgCeWX+oU1eBbRv5Ty/loD0PCjwVZ89wOW4mI81zN5qWloaFmczUm1y8v8N6BBJz1pse
Nxi4gEAfMYx40UCiBlqDxGHQeW2TASoT1aSUvyCMNn7PUPEEQqdbcSMgpQTGZzSrOT+GZVlt0AEt
JfTq+0mtD6rJp8EHOAMp1lXBQ9iv28r8RDhik7DSqfGlUWvHCBYA13uU8QCFObTLCky8tZoU6tJM
+eimbp6j+0u2GzRsAJL/WTNdOON63lRuBRT4ORgAh/DsY3WokJVafQCa68N9Y3sPZiQZ/zGmXR+o
ZNIXpvBCPXdPahD1Pg/oaY3yo/N3pPnDp/VV84aX5cmJSJA9ju+FRyVIhRv4qehCQqV7BA24ZbLN
RclnRwkV0HP3n0z9idGwXT+nJJzbowOlTNpFhH2gRzDgVh0YSbxkUTnwsHY+u1TG07k9hm7OuItp
2V7aF4FbBrVB1lg4EWgf4uAhq0+Tr5rHjvenf+8G/3+kfVeT80hy7V/Z2HdI8EYhbcQteJom2Wy0
e0G0hfcev/4e9Joh0RAhjWZedvabYaKqsqqyMk+eczn7sxt8qKC6M+Qw4w0k5HaSr7eKySHTlFQr
O3UxWkefGbjCEQ6Dkmg2zQr0pCBfg4UWiNCqAbK62+CxtRszwYEakmJH73gLpG9WvAlP3XuuxsWU
cV5Ngk7e+3tm//iO2cxGuZ9mtJswTtJq9bGGftZW3qUj0VW5fLo9u4vx6AQ8mPq+GXCWz2zRftw3
Q5YyDj3oounFFgMdSUZTTt7zxv2oDvmoJueVJV0MUS6NztbUHYtkGMSMcXwbURkIqcRpioFerjT5
0DplbkBx/PZAF+8vIMrRZjE10iizGI31fGgU1zmDrBe7yUBFWuns/5bc42ebXtiYxR6el1dJzsAG
xan0SUx1OnUyLQMIe1gJaxfvLGD1cFvhvYbmoOu9hzVLhQrt/I4cm278LohbOluJKqYL/ZcTgjaM
Rk8aWiLnE1ZnUOTt8Vx0skxHpy/KSqG3y0VCHyGIEwgre2/N2mzqBt9rYi6DtdI1e4mwB3dKg0S1
el5rSls8Ty7GNR1rF8cWPdaRx7awJMdajRDYPxah3rbvwFLc9ril8xENaRNxDohW0WB8bYgtB8+v
ETY5wXfkEUOsA8KELxkNFWzxz9yHl7Zmg8qQGevSpmSd8UAjmFACQjEfHJTTFcg8HspNvpZVWXLA
S4PTel7MotgEgjQoMBjxLaSRLE54jr9uz9+SS1yYmKes5JFpM/COsU6j8ok+7l7bbfooM5q/kv9Y
PI0uDc2Cibzr2wEcrawjFKNNeTIkMB9dFhjitxFrVnh3PX9uzoXfkD4QV/x+MZK5ND4LLuQ+AxdL
lrKOr2xGF8omAGfBQUh6StUgX9nTq0Od3XCu0lcgSMZQK9DB12oW215+pKpNvguy+5Hu1bg2gsaq
1norFq8ZVFGgSj21TaHr9Npf+IovEha9fk4C7Y0pu6PJEtr6rTI/9A+QcU7tvvZ0OddAciIa4xr+
f6kKh25o4Iw4MDlDkXW2Qdgqo1zsUSTiarWsz2muDhq0gnUu2zChSYu7ird7XlOOSrDycFrKnl+Z
nm0Vih3KusaD1RE+jMgSjNHG9ix3FBm12DAo1UVLJ1iIVdeWTryV+STesFuWJiz+pkzK5HcjqAqR
Nri9vZYuxD9mBGih6xUJhSrpkJymHdQNCNKvJ2klF7C0fyegGnTW0akAWMC1AY8q8t7tSsZBS+dg
5tCazQEXUr0HJF1XAuTFtANkk9APgSwMGshmyztkQh17fI9YVGPeXe2uVjeoIJ1cdU1ZbGlQuDxQ
nQO1CvT0ZhsIvFZx5HUM4wB50kXA/SuZBgS43rXR1EFNgvoY56t0LtNUze9ioMtBBAQkJVTCZ8FL
7kp0O+QyHt9WAsEMIBf16ig8uiQ56tF5m23XYvul8gQ0y0D3iIhJQcVnZrFF7/Q4RArjRGRb7vad
GUukMFRP4+9vu+HiyYBypAC1HAwOnYfXbgJplsj3C5dxguG1o74oye68T7GyUz03y1BlwUhD62Wp
Bi9hty2YlUt6cT0vrM/GSfHVoLjZZF3cNpnJvxXeUyTbpXcQkBVeU91bemFIUwMhQjc84sGvfD3Y
PqjwR0PAOgNwhioLOL9CivGZS3VwvZMqQp5IL/dpZCUfVaGfQXuSIWGW5ZZgM2j39r5TD0CP8eX2
Giy4FyA7ExAZxRDwQM0uwGqE+FomM4MDXXMyFqAJgorpbRNLO/TKxuyea4akFVm0kTpgXjI6KjF4
it+JldM1Vl/uQ2/fU5oP6cE864ysODDl//kLZls3LQe2GSPUvbNBD6rWLMF2G1e83iM6A5t/7Xrb
tuAI2IlI1fUGryR2Ua1gpBZnmmGRiQagAG+RmbuhKbvqm54enIFrX3uwNVNhuLKYv4h/8QqRkYH9
l41Z3ClLAP8VI2Z6MAcz3Pm2b1f668Ej+NusSX+P5JLNH0TysjlDEly7vdBL9QaYh44YwAs/+/ra
xcNGYPq4R4H9ef/67pFMpdTErK1INVHYd3Dvko5Ulm+e1gS2p7mbHZKXhud1vqEGTgNaQ4PTjGYl
3knNW5c+x+LKy2vNymyvyKCK7doSXgSxOEjUFc2xSmRrDJFyoxvK+FOTqSCjDRY9HMSzXZP7/5zM
Rq21/f6QGpUJXgJyTzCbLzJp7MI4nz7X2oqX3BQPP6CSFFzfv7TKw54WBuj/AVcgbiLvnhXX2gN+
Drr5Yl1YmAf3DNejYY6HhYR0gyrvRRMdN+TwAOeMSfio7JV9r9bkI1F7+G1AUo3Ve9tXH1BW+Xoi
1KY2BZVRkV1XKY50a/n7n6Tvre+bLTMV14KXBvg+gO2QX0TWLzZCIzOzvXt07UQ19Tsn1COjNBMD
ymUkVTtCGamKoOO2CyzdxHg9/mst5uwfidwpgD2MowO8Ia8Ccv0KvdL9eDeEf8bZLi3NDkhRKpmq
UFAHTjDkapp0DFm2fVASA5Tz4qFGeUaUiC4OM1Zvj/InGLw135NHXrwnI5wmiSL+2H59AH89KQCz
9G0wEuN/YdF7cvxojFxvSW197Z6gnEXOSPWqUL3Tqu0qSmjxukIBB+hmFO7RmzP7Hp6vOM71xwFz
UT5kkZWdZK0r73junDCMFhgpWuujQZXs2/Ow9BwE69kfdmfRUCoKjVzHsMuaEJZ/rr5chaiJYa2c
0qt2pmPuYr7boOM6D4rMiO9qg95o6EdQnY58rgxn6bQEiQOo8FCHxLtrNpzW5QIWBGg0zAgfh8ND
YdqQlwy18TFLcQ9Y7t3Ka2txu1xanA1s9FAzYDpYLPJjKtQA66ldjHSiLWjtzt8rwh363VZGuVC0
AlUFktQoek5NrbMbl6J5EarVgELuWw2pv9cgMj2onZEmUtdoAxYX7tLW7KUTIC8ss9GAZ1tD9s+d
DK5wadxrurDWX/5TQ5lvyYn4CpQXCAkRrVy7iOwPrlJ0DDDWtKw2ZiHtQCt4ZDaJbZJ7tDcRozLU
73QveyQ2T1vu4ZG/e1S0rMJRuLaq03b7/S3IQ0IiAKQk87s9rMYxZXiMeh8+eydJZTZqbYK7hnxj
86847Q+l1y1js7O/k8CQ65XTcm5H4/3VeG3MzpQ3Blz3/l5RWxJvjw9f+pP+VqhPpdk7sWrFuqJ5
5/X35i9ClCmaQwKWRhMsWqWFOUai6+UoVijUAuqWT7dDlGilEkOxCagdvQKyfgORPV9Txj470JSH
y8odpG2UitljIKa0LaA0Z4b0KN21WRDjP8s7kxt56VDhLzTbecrKCbYY/01im3gbQ7kZn33tNtQY
+PkInVrkFTTXlGjCd6pLa6Gl4W5U7FP2/k1p1lawGyKra2iXaafNlw6M6OBPm+LfX2DrIs1lv8uQ
ga9GfWTeOeZhoAyfoKl3Zc+vGZoc9uL8lEOQC7tI9jut5LzyTQ6Ku1OOCc2ZFUOL4fzlkGbzGYpc
hiEhjSKlRHveIh5pUPrVyxc0Dwk6cioCuhKO8hZq3xT5tB5XzralnTd1jk41E6hwz5czKVvFixOY
z0sPEmF7gfviw4g0QaDy1LcL3ReaUvm2QMWRVPmG8fSIHx9uf8SiTyE/gOY5VK0Bnp0d6nWau7Ec
1YyTema0HYny9lQZZu2Ro6nr3svdZnOSXnDqQFHztmVm4QJTpr2HAjZopuFTs3VOKE4aS4AHm01E
9ki7dPo4YL5LJJhO3LEhK+He0nIrSLog7TJN+i927j6SYx5iKIyz5XzoCJGn8jtFj0dO7ghKIamq
aMU2VTn70bJuD3UayWzrTAzaeGgA3gY2iNlxX/Q4f7iSpZ20M5T0tfA+6m4HIegG+Hou1Fp2rT4y
Oe4tg7MtJLCpIPdItDnhB5PtJabURHkN7LewTfHQRlMslOR4EQfS9fIlLE2JWQEbSbsfWn1Ug1FL
6zWKhjUrM/fkxazK/QBWxkr1NofgFFm0zhHmg1XAX6eJFu5EK+ke6VxfcZelvPaUSUCKDtxFaKWd
3VWB6EPwosVpK4OKwZPPCrPLEj2JdABLir7RSgj19V8SVLUoNa6c7P220yzArXA4MD+USVPUOqee
DXKeSdqxZoEdZU/SxwTFiHSTke7oZ/CvWUAhVLqrj8fbZhcAEddmZ+s68j6VyhnMQtFHHDyNTQGq
2yuG3FllS2R0PeaSoWj4hMR/E+5p5DkEjd+1j0qkFeVKdPL7jMDHsBOFBKgMkfKY7ZzW66oIb1kW
4Z8dEH+7VrSZ/vvrjXL9+7ONghQ618XNiMGC5UaUbD7wVaQWVWHcpuWZh0Q9Xe2VUCsGOxv3dbvm
Y7836rX92WQjCQEyn2l8IO7LnvpjJTy4keYm95H7Nr5F4kHqVOkzIwMBfvX2Qi+Eu9e2Z1srl4aW
KwSMPY5V1KzaKidUduyfisoqgZPW+WqtlDAF0L9mG3Q4IPZHgymUVa6PjIath0gokGvnojoGWpNu
wZkkNTEaKKVO5M+Ry9LnpgpaDUJe4K/vUl/gSFxGokggOg9oYZsI3ACFDTnYjkmU52Twu/49Grvh
LaOT8TOTPHCV3p6o30cQ5uniq2fPgnEAQ7IiAiFUQpWQrkSLA2478rdCX0Frck2lZcEj0LQw4XYn
rOcvuRuGqXM5Q7OUEwhPfGHL4UPSGLcH9Ps6QlP+pF0GLCeoCOa4lCaWOy4d2gkDkwDNGKtDUdmU
H2lS/sjFWhcnapatpUB+BztIdwG8Ch4O4Ue2+XrtJaVRmgbM5M4YlaHpJ/Fb3/prWpkLMQWsQNpu
4miGnMicUjjt+MRzA591xArw/nhTlSTg9w0YZaLYNdoW3FxVOWpyYwTJM7hQm+SUpAURwo81bNVC
8QWfwoEPBFcIdEfmXNFeFTVgTU5Yx93nD4VaaIJuB5t8W2m6TEY95Qm3EsstlKBhEp6D+xjKvSg7
XM8x5ctDQwso1Q2njFTIDScqrzF3vXoXacKfiN+QhUZDNiqQaFjHwl5bw6NJkoIuBoggxk0EGGP+
Sb+xaqIGqswQ1yfNs4j/8757WuMlXni5oRqJmQXiiEXf4Hxug0GEvBaCD8fPCOpYAwks16630l2N
5O221jdfhQ3YvYOn48obbOEIu7T8c3tePE7QlpnEHptzDtOCmTg36Q6MXoBu6mOsuf7KybM2TnYW
glDsCLYwCuOkv3OtuOM029skKrpB3UOp82gPc5FArM3IJ8VaPW1xK13M8c/D4WKktTzyiRvBdn7s
awLiJM3bcui5U2lfV6FA22wxv2ry9CdSPleLO4+Wa0Tw0GKBYSnXojdejQ9CvxNU+gEBRhyuBBhL
tyDySmAuRGoQzWJzYaC0RnJNVnogVPpt36qtQj49wcgVDdjozn8bqzVIzNIBf2FwzpjDjowy+m2L
axcA/oH0LGERx+7Q4i5sut2b+7SJ8QZZe72vWZ15EhLdfV30sNonOzpVq8ZsxD81MtBGgNIDh/wv
gluqY5s6CjngbdjHmuJtyEhpNRMSgXUKjsiUndDyK5N+V64RswYbWpRrdWsKQguXmwDuYEBNcYuC
Q3D68wu3jf0oy+kg5ZxO7e34vbE9A/O5Fjux+JVZJHNpZb6IedbH6D+EFX6fEP6116Cl9lo8ZzbK
+GsJ/IV3K+57PFynNnewbM6f6EONayYWf4akJRZfIyRX+3v54aP7kD8cligMEbfsfjyg4dc3uJzw
9+naa2/h3Lv6hlno1lejEGUCviFC+w14SIIjt4Hodffur8kWL7y7roc7u1eCmA6lZhruYSTip+mZ
5Ilwm+9MV6xqrRi1sC3QQQLQ1DS1Uzr22luocnDDfrK1F/TPVS9Z/nW84SCKCqDiD2ThwhcbVvQy
hcs4pzSgR6QaiXUfmJVGG3r2AjfRbod1zMJjBoP5w9z0ORfmykiC8p08rREpjeq7MwGsxnVIH5rd
ubHaNcrCpXADh+aE5wZ+BhRr0ya5sCfITJFHacM5bhKSbtNyOivvw/fgBAoXwh/b8p4ed1WarY1z
0RcVZKtx0ABawc98sQmRTOuijnW0Z3Yz4qkSqnc+6Z3ujMTRaQ2vswAym3JUuAVAygPiJ36KbC+G
WctRM/h1DmBJoue0Fimq2wRaTMfoYYx0L5a11I0xB7s8Bw9mDiV47sRICMD8Tm8Hh4m3/riJM1at
MqsGCCTfRawm+eeOUflSFV85H89LjW4/Y9RRYnPFKZYma2ISAoM1khigxL/+ej8HaroTGtZ51EaW
tJYdqa1F43DEC69A9+k9u9UqCfliEOrcNr3Qu4eJuzA928hhVwjgesadM5zApIv+vVpzT62mECEg
3BNd6voLcm8qH5CXF/Ou3VvpamP7oo/iIQAypUnbHU+D6+H3Hpq6FBbXO0dCZHEy1WVIraIf9LTK
77602y9NzWZadAPghEeYetS0Z35TeCSiCLOnEaBZFr+Cdvkh/Z3fQGAmgAwbqAfRdjKzhuyb5JUR
rlbhuXqjH6Vtr7UP3F2kP0iquWNAIQOmtVPpnM+c45SE6E+ptSPI555PnrGyIxeyNCC+/uNbZgst
9QOXcpQMODYaTUHJZAg8lptfy1gsuTKU2NHZD+wc/UvpthUKKRrkkXNq4T5USJKant4jNEz1IHJu
++5S5C1c2ppdDAPVs+6Q0Ti6NTTHKGdeHd8Dh9IHY5e+yWSzsXL1W12xupR7u7I6O1FbVDuqsGM5
ZyoBDITZuRtx0z4QUTvqu11JWONtHFXfEtTq8/aAl5wXfDbICoigYgGa93qfBG6djk0k4qUhq23r
ke4cdi+3TSx5CffTusoC+iL8PJgvztFyDJiArTC4eAAoFwqfXLMLk42/EtEv9JRNzxaQaUw6HMgy
zbyRrT1ZSigMpUM72fDoPaF1+FiBkKG1CEl2H3BQPIk/WvJF6e9cRfzBZFZmU1yazstvmEWhlcD7
HhPInJMJGYW2pqiKBTPlRuVJKfzCqaNsePCgufElgr680bLGRbc4T/nSvvdG9AIqRVsnkHcdUgYd
IsXAESFCiEHEPKLf2YQHMCdrUVQiRUFVEHr0KB/bPXRT9N0yYYw8lSekH7HIJ7Ehuomkl1TzPqLl
5G7wm7wlXTk2L8DjN/bI9A0kuRRKcCS2Eh+yPI2PbFZCcqCo2bxQ0wFcTiqXipynV0A0efjf/vAS
ZlKJXCmT5xbFJwjMakkB4NwP5X0kcLGVxxL0/3LR+2QF1HzVhhcyNU7rlCFj0tYbOWUpO85TKSAx
k0utmrNxAz2FNKY7PS3RhklAJQDodOqXbzS0a2gidl3jqmjUjd4TTFVFJtHNNdXTxRvjj6X7pR7e
BS0aO0H174QPBQTCVeGsDKBbywhl+1tXVzzD81cScosh76XN+Wkji9WQouTq+DtR9c+HUPNOjMmA
FyLWY1NY2YgLNT/sEFSQ0UCN3f6rY0DuICAbpi68U/d3Wmvs95FVAJiUkWfhAAa0tyxX+UITY1Wl
MlNbuS2WRysit4maykTfMdscAh+4g9gnvMO3WkudxuwUPfJoFCoJbcOnJA6ERdW+6e+GNWzc9Mvz
SxPCcP+0PO8X9jI2yUch4B3lmc3ViHClyWa7rDWr9ni6fdotngCILcBdjjMVYh7XByp6QqHx3ac8
HtzPyrBvWoAGVqoXyyfdhQ3+2kaSD2wg0LBRGvstyEXAGeRr91+u4e1alegb6/xtSfajvPr+XRwc
IJM8A0w13k7Tn18c5RQ3UgPjjbyzDWDm9sRNgcuvNbr47VnE1ojoMeSm3x4cfeP4AADe/v3lDX5h
YBY5SUIfikoOA3JouaYPYOFz1qKkx6OcJ+Vk5E5ZIxIl23X1StD2E23eGtvsaiqkBA5YwHSm7/ev
BwNoLdIVwPuAbXC3K+y7uw1LtLMUEk9buxaXoqcJ5vrPNZvtut4L89DzaX5qO9gP3694jxBeR4OQ
fR9vzfz76SV5uNs4QJCcLOQQ/tSm/8P8HJVKMTnNdSGG3j4zu8P0AHC1e0kdDuca6EczXPGixUMG
DzbE/XieAmQ/m+p+zCqGCXCkRkA77gcVEsW1PjxswLPz6a7xOS7N7aWx2dxClCP0xkFAGoHXo42k
xvcW87LittMdMPcdrB1OlImcGmyH13subSMPSukxj1SFkW9pQ7VOn1az9mZbyiHgSY98BaTjQPM+
j0CxL2RBwgkZlKr7bbwXJAUvP3lXtgf7pdX9e7nU7lQuIk7rRNr59hiXIsRJ2h6SRJAIxRdcDzGW
moQrWpZ3QvG9GN6G7CGh3oY1qewFQCzeEBdmZmOkOKiciBWH0+t5OjV9tT2GQEwV5P3BIz72A0/I
jjqBl3un1iDfBXllYAyE0hQN3F0NKg63h73oPcCGAJ3KTAo6M+/Jfbag2UHiHfqVOsSdKTY2hLLR
QSGu1PaXDU36wgqejVje6/mV2IJRMtkXnFqTRYN7p10rTfU2snLl+/aQuEU/Qt0LlOyTjuMcVQjR
XCpPEpjK9EqXCHUejZFTY/t1b0Aw5Iym3S9vSk5B/eEUf+spiR5ApZkc0ZUcaKD2c25/z1I1A/Vm
8CBNOmNA4kzfe3FjuQmlMJ4P19L2nbqHPDpBWV8tn+JtshM2vqg26tqOZZduskubs+tZFlyfqqGu
iyOIQ/YD9FsToW5/NuBmxPwgO70uVN2aKFhP2uPKgJcWAE1HgK8A7QT47Oy4qGp+YjrAeUud81gx
uPhZ9u850AT1qQ7es7DPVbkwEX5R8O61JPziHXtpfXbH8kE7Zrw8TEPfa+VReZIgCQ8+rFD9Bvud
tTLW3yBhHBdIB044YeTH5xm6UXZ7hgpE3knQDlPbhemVaupLWhS26AuXtT7Uav/jttHFu/zS6CwG
aoIhrXKEt4jZH5/dPaBcZH+oiP3VHY/Hp2y349Q71bLUx7XjYsGtwBkAfADid/CsibNdHBWhG4pV
IjjsN0hKOqR5NXDV9JR5e4ALMd6VmdmOyXgvjuo+x2EhjLk5hjLmlApCdXBRgbhtainbAmg3IlnQ
CIJcd/5k98QoF8a2EBzkIsnEmHpvHk21JD45A8+6sjWmbXd1keJygzXsi4lkHRnK66MgGmnI6wle
54Az3tP8BgNrOr/RV8b067CdzECkAxJ003U670frkIkXSk9unf4Q3TEaZyV7pMW/QNdlBqqwf6p1
Xqs0pT2tDO+Hhf7X+C4Mz/aeEAhhCkabzvHEO7fcUufa5hI78A2gWtv6TWI/k0H1VXGHppvMiHzj
XXmLeT3B81yBnkhFoOx5X2jBvnCGxo6CJ/BTxKwa73yzdEnVojuj0iqEzbr3kB2yWG13isOET3Ki
+lrikTI+9LkpFGoVgA7Mys9icSwhUArp0IEioZW+FeBAqRTDY/HO5a0cbb6bACDQcJcwWsdqiRqh
RklSIPwEWe84wFHYmkR3/dS9vy+EhKAxCMX2mnoCmwnyArzu7/n3sFptbZ+20q2pnNb44tZQ3ADF
aFlqHQEN/Y9VoXI16JB3DMj88DHSSaD0ytfl+9uus+w5qEkxKIRDqnN+b0T+0ErTAjKGf5CQq3I9
skZlt2Zjdnq1GYr7ZQ4bW95E91u+Zdf29K9D+cf//xjF7ALq+3yQCw/bDGT1WnqoAVV4jOAipNi6
b7cn7DfWZmZr5vLdUKRCy0y2CJoFhcziYl043bkkJ4xaGN2WUc9KstKuuDiFgMDgDYzgDZz5186R
DGJR1XQEo3XVGI0LnauBiXo96+wyAeKor/vH1KfXGKt+40KnwaKYMUnRT+ors4lNsjCR0hZLF4av
9Ih+NRbdMHdpwEx44oomHBgne1P8DNhd/kUfSlmDrADhm5VgcopKf+2Ni8+YzTlwk0NKp2E3VftT
g0IZvMSQXT1APac4JBJn3F7kn2rpLYOzzRgK2cj3NeabL4zaJ4ICxYAgtEteqz8yAZJbEBDIQPmm
ikc50BM7kqzsg/lqO83HE1unPxmgCLOn21+1uhqz4L3ygyaTgnhyvSy2ouZeYFT/3csfFDXJCG83
z12wizAlKalELaK2wbByXPyus03XC9gZEOpBuAPF1WtHTNmkapJc6JxK3AYicsTH9Khwap3hyH0R
3JT0lpCS2C4EaCugZSQkyj0TPPWcMcg42fUezS8CcrkdtKNNrtuLvC2s4myWjtLpHpwILBGEz7P/
A6pjPJuK+EiokG/CHgsonlLeFmvT68042ETCa6UcBe68skBL1z0oECamDE6i8fK5nh0Or8qKEuse
6h07Jrivxl4doWzMFcEx5F57kQalz6ZkDcYNdQq6UqLyWjYryNf5UwBNjtAnkNGrx+DxheftzHcj
ypUqoUGT1TNvPsND5JDIL3hYmpkJhaZGBVJtsCAyiqZL9x7IKk3cp4CSCD9/356Q6Xi42Ea/PmU2
HxQgZUDzj7RDA9bORR2J6DuAud1kZczzN8DcEDM7HzlQMLQRBUMlGA4D5rN3j3KRQ6+c1YVSMOpE
TbZcU4Ms53Vo0pXTYnY6/TI+C/K8YGz5rKJpp84esjc3OY/0JmitgNGY2hCpleTa7Cr4ZW1y/os4
gaEpuaYGLG+EYo74AKEgyOZAaq48JNFab8fqvM62uxsrdJ8JaMNMbVr3KqOgrbRRexDuhGjr5lIL
YuKr9Bo/qzV3G+AtQKzAiOBK+XnwXw4xKAcJMr+gvgUWXTYhz2KEoNOGWgTQl8z7GsPN4ignSiMc
FRDeAczzekqbkAYpKqD4TsjrQqwKtRXaCmcVwxFBpB9/V4pZ4sZl3I/b22OuBfOzlrheaaQNwUYD
/O614TEqpNAd0H7GNb77KDZDZ/YsKmpZ6rGES/zhdQja5JGSudBmaGmwEmpAG16cvSRj+R0xSWdW
Ep+dYmDhDmPGArdEC2/5EGbW7S9d2sgohKOTiWNFHuLL1x/aJ7SfxS4+NKiMSSbcZ8xM4+RVWajZ
AfozIVOkAQSJOGGlZuFo27pVh3IGCEFLDXUiNTyCpfOYnEQ9/OzMGjT3lC7oO8kIbMHstMSmjQKl
MpCbniJNsSFagHg9MKi1AHPawnOPvPyuuYdkDOtyHL5LYr/EJLZao64CvUdax/NepQ7PGC5Vhb9b
/feP/j+8r+z499+v/vaf+OePLB9KaGnVs3/82/9rILD4Fgdv6V9IU369NX/Jvv9yrt/qoKqDj+o/
px/713/8t+t/xG/9w5b2Vr9d/YOe1kE9nJqvcrj/qpq4vv2nf/8qfPT0Q8csSOuH7NdP/I/+pZ/R
/rc/9Jevn+96GPKv//rrR9ak9fR9XpClf/3HH9mf//XXaf/++68f+hnMrR+IMWl184lfpljh3yR0
WWHTMdASmP7661/Azub948/BwPxvuERxHoA3cfoL7gCDF5P5383B/+hf+se6fMRfb+Xf/j8AAAD/
/w==</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spPr>
    <a:noFill/>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plotArea>
      <cx:plotAreaRegion>
        <cx:series layoutId="regionMap" uniqueId="{7E421213-2EF6-4C06-82DC-A46D73EEC3B9}">
          <cx:tx>
            <cx:txData>
              <cx:f>_xlchart.v5.6</cx:f>
              <cx:v>Revenue</cx:v>
            </cx:txData>
          </cx:tx>
          <cx:dataId val="0"/>
          <cx:layoutPr>
            <cx:geography cultureLanguage="en-US" cultureRegion="US" attribution="Powered by Bing">
              <cx:geoCache provider="{E9337A44-BEBE-4D9F-B70C-5C5E7DAFC167}">
                <cx:binary>tHzZkttGtu2vOPR8YeeITHR0n4gDgGQNLEklqzS9IMqlEuZ5xtffBbnbIlE4xLVOXMmWbEHkwt65
5yH/+TT84yl5fqx+GdIkq//xNPzrVdA0xT9++61+Cp7Tx/rXNHyq8jr/1vz6lKe/5d++hU/Pv32t
Hvsw839jhIrfnoLHqnkeXv3XP/Ft/nN+zJ8emzDP7tvnanz3XLdJU194tvrol6e8zZr54z6+6V+v
yKtfnrMmbMb3Y/H8r1dnT1/98tt//fO3/xF79fv/fK3VR0vo/27rpnpMwsetVzh/gxck/5KAK037
Fa9vMPmrYpoIzan1549XvyR55v/7OeXiV2ERqjgXZP5B/4P9+jHF5/+fXuk7cY9fv1bPdf3Lv38/
++gZE8+ehHXu/Ml/J5/f978f1nj8gukg+f/fMRyqx+zrL+/z5jH5DzN+Rhb+5xf868Dcx+Zx913Y
1iR49el/BGnx8JLM/inO11//9Yqy79z9U3zmb/j3x/6Hs/7PR54f6wYfltavlFjUpFyZluTzl/XP
359Q9qvFKBMW15YptBCvfsnyqgkgf/iMYPioMKmlJLGUevVLnbffnwn+qxJE4M+1RSnlTP+l2W/z
ZPTz7C9O/fv/f8na9G0eZk39r1f61S/Fn39rfk+tCFHA1pwIDmnXHC9RPD2+g/HAX6b/x09z1VhB
z47qTZbZWWCHg9N/ygs3i3cnbFlBsjaQ5DnS5HsiVrJjx1hTOyQ7P7wxE3tycvq6Km8NIe3LeOYG
3vz8hLKBTj5JOPAa9cYu9XWXuN4Q/QSIFJwpy2I4EQt28BSkECKSRjnSIwyxGyVfWPpU0egQ5HwD
aObO8pykpZmUEoduygU1qarCYex8dsxqfV2GhaN14MSFe5lnKyiKm0IoZeKnIhC7U3KSjnCZp7k4
+kPXv29Gr3ASEio3Tmp+dRlqFqwFQYBSFuWmJBDlBZQaqijzk0ocy55pR6lkcgcReHeXUVaEQAnK
pKacEmGaC/HuclZQKrk4Zn0ZuryT71u/D3ZToYu7savFximxNQZKbinKuGBCsAVVnfaNUjMtjqYg
LXOMVKUPeZ/TyB7CwQ/BTa4TO5RVF9q678hNHPvVY1ulQ+zWuVXLnd9Lr7cNMVWJ06lCPbZRX/h7
KhsjsKcgit7nQzM5ISfRt6Cs+tANM9Z99kPF2rfd2FtXURHHchcPeLhBHoVfe3FoJqESkqiogFU7
l4+27onwp1YceUiCXUPL1yIOfTcwtLgik3IGz3iTivZL4TXTTVIbtV1Wmh8vnymdlWohOpapYU/h
eE0Tp3v+FmbhlWbTgcmMG9RlA7GF1dxFegzteoz2Bil3smjszCLXQTVtqfwaEyxNoSLMskyGX87h
Ra6I1/BJHkVc5A73i/E+o+/qqp52ommSYxgJl2hSupYZXcdGxd9INZg3G0x4eRSaEG0xeAJmQdgW
b9FoFqVN2Mojo3H5yWwz74oo/bnrovgqZKzfjQmJ79pxag9G2RQ76oX0qh4S4/ryi7zQY/g0uDBF
OIReKcnOuVFwq+a9zo1bMx7Nw2ip4fdJ9t6GYXp55oCRRME0mQTKTPg5DBe05jVrjdvKd5U33Qyq
+GrFxmRzkzhBFBR2T3UEcQvv/N//PoWSEjhJmBFL8QWnh5zGfeVPxq2mNxVN7N78chnghZGaafsB
IBZOZJz8isSsN24Zu0/Hm65yWuuayA1TOJueM62RXHKupdSCmxSG95yDeaJoa9WWddt0nDo0lL8L
o9qHFYvcKPLiK18nwe5vE3YGuZCNWldVWsfKulVvkvIzZQ86fqj5w2WQFyZ3QddCMvo48LsuN61b
n3zps0dJr/vk/jLEygEheGOMEEnBPLU4IMLNOjZEGBwNY3IiXzsWa53Bv+94t7+MtKJNZ0iLQ+rr
KKNsCoJjS719LvWhDYePlyFW5GCORE34ea0ZYQsbXuqODWkZBce+aINDN5XXOvbrXeabt7FXjHd1
EJINv7FGFZy9NmE24RbVgqouGdumLBpA+tWhHPvPlaneXqZqC2Ihal3lj2VeAqIaq8DmqvLtQm6F
lLOmL1RIKbw+bJAlEX8vQOjktVXhtcERiur53Y02DiPceQMxyKxbXf7eaL5h+NZET0mF9ADpJtPm
wvi0ZCxZwgHpszvis1nqjP4+rP2fOaIfOEsRp4UVqU72wdGMq4PoaWcHYzpsgLxINiSfI0vYHuQ8
mpgLx00SrwplBxD6xsx2ubDbMXnTReNBp7ZRbgVjq6d1grYQ9DSO1RTmY3BM/fTA2vSGVuRrGox2
bnHXi6hd1YUje7Vh9L573hdScoK7iAHpaHZG7AG3Ct6RsjnUVuv65U0R2QFjn7pydGNf2pRWdti2
ThrfBsmzH1ylteeExpe+ukPJp++EPfnNnd93dp/vIjPep1Z8qLk8DHnjZtq3qXHlV+NPWLrTE5pP
8CRpaogqdZqQ4Fj0wZ4ipgAL3cHgtkwfLyvsmhk6RVoIdi8bs5UjZCFo7ytSvC6n4KtfffTDgNlG
WzuX0dismi8ORWliWdokTM8J9SlhndUavZp4cOxkaE/6ChU1q/5Cp8qexvYz7/R7HwnpUH4yIjeV
tpfcR0VmB9Xo5pNy2+wm6u7NaHS48myt9r5MNnRjxY0pdfKCC857URuQSluw/Hli7QkCzNftQAJH
TOOWW16zlZogEFBIvZBTLhQjJINJi5YGxyRPKreVwrRbIdLryyxfs1ynKAuOj50ZeI0coAbhY91W
d73xpRnFTcrSDc6tksMYhEmi3mku4/EoqWWM5Dg4xuR9UORux6YNhLWz0X8hoGZyLjwhiaa+6kBK
YyR2bFW2ru5/Jo5ROAtGuLAEYXxxKm3ejFMVTsHRo/f+yK9yUjoGLzbS7lVS5ByqIylGcLYgJQ+L
jBeNBxMM0Te6D8X0pS82cpNVDJOjcMqIyag1Pz8xIszMiRlGZnCMsjtv4k5cHyJZbjjGl2kYnIk+
QVnwi/MJFJZBeBxYRuy0EcytTT+4njy/2IURuzN58akIe6f25WdZN+nO59Ww8RZrVuz0JRZCPkif
e4KB1GmoDbtMhOWOQ8jtcBykrQ1/R/J+q0iziqkIMnBULlCFXkRTXjiSMm5xhNfp2NldPth6Eo5g
b8Z3P6HBJ0Ds/BzlYLZVp2aT1LW2wR8l6kJwUtPYb3Bx1VScAC1C+GjOWrpBB8fc+r3pCnvQrSP5
jS6K3WWKViVTCU6+56pIDc8pgm+zeI9CyjEzHvxI7arxwQi3AoBVajRFikUUDoguZKJlJe8rIwqP
Efum/MmOo9eWTlzRBBtOja5aPo0isZyrAKgln5MztJmhqjoMjx037XJsXJ0eyv4u+yMOUP7IrgaH
RPZkuSTb11ZoGxvHtsJNjaqaRB8EUTFqIefwcZ9EoRpmQq2Hhj8EyL+2TMla3n+GsRANVpEmGyQw
TGEcEAWrG3MMd8W+GZOrsawPRvLV0GxDTFb4qqmELaYosaDqsDAtrWI9AlU/PGqvv49K6VJiBvbf
FkVUEyDZzLSERCnrnHmeahujztLw6LVyj9TY4PGu8soNEVml5ARlYSta04iagWfhMfASu1WlbaFK
d5mQNQhUoahJTPwL33VOSF52wUCsJjxO+q7Nqr3fmRsIKwqFRBXVdRN1YvRKFjJgdUHiN1kdHivy
IWR3/ZC/C9gdJ8lGYXFNnmEaGLfQ96PQ4HNKQu7VQVJKyLP5LNJ3Rv/QJFth3kpSgmbLD4yFzuQ1
uh9RIsKjCKb2xo956bS5KA4o6d+khfoYWXV8T3R530fxVvq1Rd+Cj81ESqPtgF3rt1b3IZKfG+vb
ZWGg83cs4uwz+hbSMOmQDkNthkfjtqbmQV6Zoz11tudHNn9Ox9JW9CDa3kbqpdIt5q4JyilzZwac
BB4N430b9Dw8xm1ij9mulB/DlNhW/HSZylUchM/KEhwtNLWI1UXR6pgEEkHUJ3N47LudKN8T8u4n
QNDokZQjwtBqwcl8EGYkZqfI1ZWID6FD1W2yJRKrlJyALDhmZtQI+KTgEEer38k6fGdWbLTrKuZO
OAjt/AxNFmIX+F5G1QJOxcJISwbDqoLErv3CNZubpMzckG2JwkqQhA6BxS3JvhedFuZ1EKJsKwW/
UdHARkTNot4xw9YVQ2Wn7e1lstYc8RnawnLQ0fPKNgLaVLnqY2pUdpXc08lGgymob9uI28Xw0Ocw
v2rnx749jmKDs6t2BV00wpFAML4sTWVDEXtUwUYOPuoFDM0Tpx17bVekE25FLc9OSj651Rj3h9wr
6g1hXTUtJ/CzWTjRPKtktKEzuw1rtNtQ2Z7xsFmG/R7PLI2LIObcrlZMMLk41CkNtEHaajbQjW0Y
b8ouhJTeRemnEO7Nqj6qB5pfIypy0U/bSGpmnX6BTQkGQtBHZJZciG5LTBTFgjY8fhjz2g7C3E66
wMnjWzXwPVc/kadpcQI3K+4JQ/Mo8tOkAhwZEluq+6R6nqIPl8V27dBOMRaBqi+MQbEBGEV3k+eP
YXs/yg2uranhKcTCUmojCMqymyFcwe4ytiuNKz0+13RD/FfjREEVTseC0jOx4Jfn0Y7rEfJfB62D
kNjO/Xd+QdyoNb62QXEk2eQ5WXfdxPHry1xch2aQS2bNUdASuugTTvPZpaeFz6/NKQ1tq28HN6SF
PiiSdLbvldUB9T165FXdH8w09Tf4vOp3kdegE6jRFFR6wejISMKSUAL62X1ujvk+bkt36vjXNKzu
OA6AG9P1XDbkBdklxqHrr8OMbLSYVgXq5CUWNT3SVJUfiiE8lvTOqiqb1PebzbJVPRTCVFrNmc+y
UK1lHXdJkyOAqmjsZJ5lXkvTz3ZtMsnruGiFXY3jLZGFeLp8zquiLBAVClT+EbEv/LHZizTvEgA3
RUJuaCcOEaWTozOzc5UvtRuWw7hRQ1s/VomGO1Gw6uR7WfPEDLTF2EVJW8KsS+OuLR/i7orxXd40
e2q4FuqRrf7gxWIX0mSHqtKu+3yZ6JmoF1ZPChRN1RzeY9bozAz1jfZas5uzlMi7U41w0Z7aUN1V
oTmBWAiNjkLTrHqkKCT/MBWlM5E7bpYb2daq1PwAWZa9qiAgTAUAMdLiE6LTKP59UK2d1uF9Fz4l
yYasrIVVEE4ttSm5pmzpqDxPVKNVgKb0ZhpHO0luUG0O0g2vuyqSJoIpgqEMgZ7e+el0dNKlZ0Ik
Bz3aGONylPySyMyl4bberZKkGAYu0PlC3ZCdY9EkqsZkAFY0aCcMmdPk3wo27mS/ZcpWBUIhJWY4
MJj0haJZfVI0RQ1Tnie1PXhfg3HP2r2Wt1PiOdeWLhw028Ims4XpeIiwzKzb9+PXy4K/9RLz8xPF
yxoFZ0KheFH0GFSh04Q3U/jHZYxVoUSVaC4CYACPLjBSXQQEIxzh0UJ4JvXVEFEnKN/6wV4Ve2/a
QFun6AfaQlh8L55kWSFPlwHGJCo3raldBPeXSVq1FyckLUOKTCRxmODsGlY6pvfFL35Kk08QFhZJ
cYw35TWYlrVOY77zU28XBNM+6QbH+lBN/oZ1+n4ILyzgCd7CPLWDiqrB61BjizyHDW/iuLSj+k0e
Xs+toDa8KYY8tiV5F8n0IHnrBnlj+5DIeGvkZ4O3S6MSm7SPwhSUB0nkROre82L78umtiohGg14I
DFihLnUu9NNkWIFKRljJsP1Wt2q6nkz5KRt4vhEzrRqTE6CF5Jd9KYfEBFOH+JGmsYPZdztIU9vr
6g2StpAWUk+9SmBGDkjZJK9Klt+gdYMxBzfLHy/zbvV0TkhaSL7OsrbgTQ+DMfm9HZrPcVhtyf7W
+SxkfxRpn1ctMCb1kAZ8l9V/0DjdXSZkC2Qh8JgRVjwgEDONQ4m9b5g42Azi1k9FWqgeI67QenH+
JBJ1KgYIWkqTQ59NtpF+G8lwbMINQVsn5gfQ4vi5nwWW8MExVZq3KX/Wo94Zld4QslU/rBF7Y3RW
SPY9ijtxFkXTq3xkCL4HXypMcXFlY/I7tyMqd1US0lvt02jDMK1T9gNzoat5UmJ8VAKz7R4JHXeQ
uGIoNkBWPRSmHDHibCLEWBqEgvgBMvsJWUX+LU64bXZXInzuiFOZ+yEj139f8iSDw8fou2laS6nI
mqiNrMFCrT/IyKHMDeEWXtQf6jhPNqC+N2GWZh0NRCExAI/i8nIarm7jqhWYicRI0nRVW9TWcFpx
squD/JAXB6vZz0lkH9e7uBtdNd1L1f7etOKmJo0TGyS2p2Y8XKZ/TSukwDQ5prIwSi4X6s10N1l5
jHcKw8FFKEezb1lj2EO7u4yzZqokZrwlptbnecaFUvTRWDSDTqJj4r8b/W9ogl3+/jWpOf3+hSmM
Ag+VJyONjnmGyR7T5jS2Y/9jMbZOBQeZxe5lvNUMHLPdGM+klKBTsAAMYinKqZkJsvpyX5Wx2E+x
ye1oyNWVX7DYrhPLd0oztuzCH9JPo4UZ3csvsaaP83wbRsNQdjT10myquMmlCaKp/4H5xEErzDA/
XMZYOzhTS2rNmyQwM/PzEzsTZ1PbTCyPjlmSPtTI9m2MhxU/Ycxgkk3OUEcgmC0+BynDchzzMYuO
ZZ0JpyVB5xBMA7ldUTzVRQdnbZnDT9gZtGRNjdAD2zDLhhvqwtVI8jE6juTOrx86mThx/pl6qZOm
d6OVb5A4n8VS+dU8uc2QzQiy3NoIEws9iqCNjjpSHwpus/ZzxK6G7CocvLe0eIv8c0M6VhFNwZjg
GCFFqnbO1JyTMDESMzp29Q4xT64z5C1j4+TCR8lU2X45fCql3l+WF/pSEwXh2HzAxgF6mWhqncPW
skiLYPDRqHhSe5G4ZXpLE6f9w3tGhWagjjUcy/EgegebCF18M5m1E2C8xd8sx7+UXLwIcjoL09vg
97I81WOYMCn8Mjha47ElLs02BGilNAwArMeYGsTOI87nlI4BKTk2IDAE1CPlaEJ3ujIq7605lpik
fuiH5zErnL4qHW54r8fW3JCoVUajM0mphfYhX64klIUyx2CqgyN8je3Hld2jI9/Ryml2jfiMvuIG
3suIAytgiCNgvynK0XJBbqKKrMLWV3AsVe2E3Ze6GJyuf0rMfZBGG25pDUti5UjN3XC45kUxIymM
NMh9jIHwrtix9PfpvaEmjELbqfjb9UOBtismQzGWhgGo5QiU1QYqiHMEAIb4FkcIopIbGocbovJS
FQX67hhLYozB1CztW0obI5xSlIKaEO2R9KEcIsd6HM1HI3tmH61+IyNekQzASZTO4NXnvvK5YFYp
G2Q9omeR9wm6IobLvY/C27P4WucWAqqvGyrP8H3ntm0m7wfe/PzERxiYSAmzGmk+NZN94VGnK+R1
EqiDpt0Hjrlhf/g2NV+M6yRs7K2Kxkq98hx9IZdVoIdejyibGIFxpfRg55O391RxU4c3UezdWa3c
1YW+8vpmz0juFp10kANsaMdKQIDXmBtE2FXCFu+L5TLi6VzOlRXTGq5ZwxxBvozRhzEJD3VSO5x/
Hlvf7viW73wZBEApLQvT2qiXIq5cBCJeSqhv5QnMnBnb2upstHDQ594S4ZWiBMboMew4LySgvriU
YZRrQzkmmHafxq/kEBC3CEYnFoETCGqPqf0gr83D1F1lhp3XG83OFXMAM4viu8IMNwR6FvgTAZsN
RDn6IapW6okOtZ1E76vq2YreRtHThizPlmUhy2dQi5hKq1ZoowdU2T9G43MuX4dpbpv+OzUdhHnj
6X2ef9zAXNGfU8xllUVMihZopkBf49quXwfyKsxvI+8w/NFU7wIpbPwjLFTQDhvAa8SihYSqC4qe
SLIXfPW9CuweoDpBchTdMykf4+eacMePW0c374X296mxley/TDkwnYjVXxwlNiSRDJwfppfTqh0H
5MdDtZsLu562sJA7OSzbMIMrLfJzpEXsquN6Yv5cR0un1sEWo1F/zCq2Q8rFLezMOrmROCO5DYrg
LWPpIbDeeePwtwd88A7znBI2UaCn383GiegOtTdFZKa2MwzqVEZf2J7CgIjJo3zDy6yqKHISgulp
GGOs25xzdvTqKUjpGGKVNncEb66S4o2fopV7VQoR20J/oALbtcpzlUh3c5eQJfExiKZdxbyNhGzF
5YHuH++y4L3Juoi3OfpyGUqGRWbZnvUYq8o2TWVPbWpHQehsVrfXbOEp6CLktbCWNafzsME0frAK
7faZ2uv++bLarJJmoVUuOMbokLWcs7kuTIklEgvqOtGrSh94a7lNY7paVM+RdifBnaglV5dBV6JZ
pEZo72DzC6HmsuObZ11rkoCi9pJgTaIrhOGknLcbXmxNN09RFs6E5Yavyx7FF2YkhyZgV215z3sU
HrbmAFaBKAw3NpPRPSfz8xO1SAfZtV5rQDxQSNthnK845FJ9E1DAPa19vRHlrXIPVQcx5wIm6j3n
cM0kdV/mAltUIyZkpvsxb93L57NK0Lx5iPBYYuNjIXpxW2OS0oANT0vL4fKOknxn+Deb1cW1OIPN
3bD/AC04145GNg0zEA3kUaXBrgyYEw3dNboELq070w6nYU+s6Allh8//OyIX4jFw6VfN7IfN6Sqa
9mXytsgjm/rjhhiuHhfyKpSk0AcWcoGjC+wKehKbM4inHCzr8HTaXaZkJUTG9gY2EefkyURScy4Q
PKn6BKsi2HxgmYsmqYdI2aSfkibcF2g3q2HD1c7HvwwrsC1CcW74RS2TcZ6UMf4YmwNRsxtNjMRe
NX+/k4Ld/xOIhWCMBu8irHGGx7F5F3WDW/uJzcatVfRVOT9BWRwNlxlhRo5NgP5bDhKUusc6x1Q8
Xj6e+VsusWsRmBQIdnHjAGgZWGXHSbkrh9t4eD1ErVNEG6KwRdFCFFIrQ0MYY+XHtqjvdDTe5MHz
UH5kUfXuMlGrQLhHBVVWzAyR5eh8GxsdbQi0pySjK8oPdOR3NXEHv9oIBFaF7QRo4aAwxlVJf043
a1ogNqdzBmjJL15Wyg2vtHpO2E/FGJQ1b4rOinxixqu0oFYW45xwL4Az8psYXcL3TYS2msiDb5fZ
t6qyJ1gz1SdYFIOjwxRhLkSJenrTZx45pKN+0yj6XNUqPGTp+IdJpnxDc1dPDbfeaNgj1FqXlWta
s1QELYYQFGnynfKxK5Jn3u+ZkFj9D6LhZ0yfhXKEMrH7L5Yzf/VERlFKwCUKtVaZx3D2WOHbkPk1
CUHlWiNXxfVA+I9zXk6VV6iiSP4c9YMON/x+24pvgSwUK4x12ul5yiamN42ssAN7Z+Zb94OsuYp5
cQKVPpRwEBidU+IVJWbzLdQ6asXL32lXlrY0onwjAV3p3QgM9f6AWQhf5LeiGbMBXtey8qssKjlm
7ZIvSRWl+ySxIkwV09H1q6ndDVZr7jwWE7fzjMDNTNPcdVOc2n1i8isahBaC38m/wdUxm6srcxyz
tJunrzkL84mODD4z/xwCqpiTmz2mBprd4OOiCi6vtLhpvVtuxQ6yvWazxrV+2hja4kJprIgtOERL
L7GsEB2teodFaz3us4fL+r9ma1Cp+wtgQRuXuMgmnFBlQsBzixFDvatEtsP1TinKO8EbMYUbmr8a
as3xqaYw2nOl95yb/YiWnT8iGpZFYe2K1sjdtCe5bWR9vItZFdtl62dOppHUFU1efK5kvlVlXmUr
LAEiPvHdKpy/QxL1Zht4DN6JfsHupBVVdhD/cZmza5YV1XqsZ2LIWGm50KHMx00gzIvRBFQuYTcl
r10DmX/2BRMLfr3RHv9efXwhoydoC65SKzdJxmF7Qkb2ynPIOCJSHu/RBNp1TbE3qi8pHxGUtTvN
6uvLpK6aC4m7XFCNxd0GekGqRcMiyARsUtYdKu0MP2O+cVZ/ff+COK8boRsGvn/wUpey3J7CreB4
Npsv+HcCsdADY5iMUfXwEKLs9zEL94ze1mN7FZH3Of8gB3szeF3VvBPE+fmJVWlkHxl8AlGReEoG
Q9tWELu48cmtx+A5ovvLR7Qq8SdoC9+UEoPpfoI0Rhhensrqzew0Wr/6icIMfLowcTMELsIhy5Oi
uiPR9+2F+LGM/oiim5/ZCIHXQFHYxM2NuDRvecsOHEPcViNM1hS4aMG9z7Rb1u+HrVsnVlUKmRIG
wucyMAKH8wNqMUaRBASFriRqb5s8d6L0/WRiYLcx7UQJW/Me1ykEKFGE7WFM9VZxeO3IUMhD95bD
8AuyODJqliLMe2Tzkn1LMOmEJkoL6MtysWKl8O04KkQt6KstrTHnaUiyHCBVh5Yar+2iPSQRd1G0
cPMgt/tsw1asKBoAkathGgUeYBkkYWxkVB5FVxojcE7kRW8EgUdluEZwtD5IGd605KZRW23bWX0X
6o1JV2zlY6Ce4aq6hYWqDLMqW7OMjpWF2p1pGu/rML5rjNJzM6KSv58qwFhhpB0Dobg/RC4KI7mI
h0QM8fe5jAQtyoLe9fr+8sGtmI8zDHYunTLKsATgRdGxQYNyFN5NrEY7GO769kMVavcy2KqUzH0K
3JaGZsiyS+n1iOG430VHMX3v46eNXUoR7JlHkn1O+kej9HPk9+bzZdwVFcA87Q/cxbE1QieTNoro
aDSO8O+Ifqy3LhRZgwBZJkwJChcvMpEcORaxkj46Wr2+873mFhXzbtgYhZ7fcyl+uCAUCwdoqmBj
bkFHbXYtsXyAKIYpnedcbW2Qr8k3lguw8GrN8+NLuzvQWmJBUkXHOUrEFQ3h3sQEZua9u3wea0J3
CrPwkjXPPCRumH4IE1xfk+yZvmZXYZW6Ivp0GWlN4k6RFt4RZbeSVyMIUuPe6KrMTgj5NMgSzT5q
Z3qX8L+/0ihwe9sPFs5vdOKPM4EuAiEiOnLrUao7M9x1ZWBj0eZ/R9hsH09gLDU2NaLF6OjTa9Hj
5iQjP87FnvhDXFZ2UlQb9nZVvn+QtWyVRB2XjfI45HtCl1Z5tVPPdzy26bfLdK25S/APjUQsLqEc
txzEm2JpxZnhYTImw4SWSj8zzq5JX72O8uap7PYdea6eZYCS4JSTrYtdVsUFkw2YQcV1aBg6OOdq
5XWVV3MDk2oaQ351kbkmzbCGHyV2obCsNuEOp6fLBG9BLupBuGjLm/oUkD2lb5IWsUiGyxkj3ORR
19ciKXaBn/+EzZ/nN/5D5cKM4L7OrOhYHB9jM3KKwPT3VcpzO++pYVdBcpX2XbwBuSo+iObmRB13
2Sz7isWEC2OreYiYJbsWbfYI5cna3GgkrIJgB3tejsLFcsu70QajLrCogjaMaB8xsxm0D5tty9XT
Qto57z/hwiRzod1JEUS4FBcZX9gzJx6xXEb+8ApknRhrZFfM24gA1rXhBG+h5rGRB1lWAq8Io3u/
7O2puNHTHQ33Hat3xGN2yq/j5HOxlV+v8vIH8HKtzjJKgoscOArW9DoT2FE09Q7N/7eXhX8dBaOF
s8uEvi3YqZvUq8PBxOwN6uEqv6mSCldPHS6DrHlNXNVI5k0luM7l4jyu71NhkwIkkvQYV8ltJ7zH
yxBrdMwDdSi24toT3KB9bjdMFvSougAixoz8mD0K6wG38v0EBi5Qwk4B3vhFszqTad7KMETE29wY
2PRLx8qOUH2/jLIWAWDe+C8Uek6J9jvcVWP6sPPVfcan3dDgZrn0Rhpyw6F8XxVcBjOnSAtbaw6J
h9vGGzjKwK+ujUSm9oBBsqumDYZdFRaV6/NG3RMDNyqWIjXfRiy5r/v+s+pVYBv+NBxy6od2IXTu
BmNY2mRqJ3sICK5VrvRHbfpYs8+xWV9z37ouoxD7fWESHP4vaVe2G7eubL9IgObhVVJ32+32lNhJ
dl4IZyfRSM0T9fV30ffuRE0TTdh34+C8GEh1iUXWtGqVtwzjaQB0H9SdSISmpFexrEjNAfEth8mj
3y9iRkhjgYoG9efTmueRVw47RO6Zp3JWr+ihN18Q47XIXzHiDOzf+VlZZEU+lgDm7JR7wJ2PgcUi
36Z8DsTdMTN/NsvPps1Rz0B5dY+pm38x8jaa3Aer+jHmabzO9XU/34EXmfqPANXvdfM50czIqXZD
eaeB5yyEUe8vW5isXGvxIBYkxWiVI6Y4/9k0B8OEniIad5ubfKaP2QR071pfO2ke62w9sTy9HSgw
4lWbBuGUgka5Hg9t34e1l8WmZx1ZZu5Iy3TFays9ts0PE25xYbl50zuAbLvjEi15E2bH3iZXl9VX
CeF/3wZuSx5YpQXMdl9mkfalXX5VvqJ6In3wMJkMtDanKxIHJtuWtbCXDrHh8ikP8kjXFc+d9JHY
CBB0SPu2Z1oGAXMZg/oU5mWan4vky+UvJcsSzI0U/is2X6rOJ6w2yJFsL/51NR3n5QhOh/IuHxQG
KfPpWzlCjtAZfgBjwkNkOneeFi9AX4MQtNMC9A1+wgIvayUrXAMPDGIAwI5wAcTTGVcfaw9aWBlC
Ictco9nD/OxCAXj61Pdx3hk3SPInTZUw8MfgzWOxESucWU00o15nFEy6dOeDxtJGQBs26xIZqRf2
VhC5ixGORqvC1ktPcSNXOMVszvyy4EUMi9zrQD5BMQMDcU6w6xBRX/62UlmYsOZDPJz+UXBerMek
CXNwkpN3LIeChIWBqfxyuupJhoKviv6Xf7I3n3QjTvBguedkk93BQIPkBX0lEA0811Th9aURIAYh
QG0IbCd2PQiPfNBR26kXzCaYZHEjo0mPqx8Z6wvBxDUFi0syHBqqfQFpbtXlzx/5nn9ki36sWls6
LTNkz+UDYf3VYPcRkEBh4/8Kso9UuzaKmsLhpZPW1Y2HmQ8NWRDSkrI+jIDNPlbFSj+Ay8WODnAp
8YkndFoFF2Qbad3VMwpRN43TRmYDxmF9UfRSpMa4kSF4k3UEuyCdDTz0+hgOgx8x+uJ2eTyDlh7t
vssnJTXFjTD+981bievAahBp5yfqNV8NLdsRx/upB258WYz88cL0MzhVwDKg+8Jtdsc2GdIOI2mN
1YXMKe8b4tw09DjV9bVWrHdNdWyCiP5QiOVn/+am+ZzwjVOIAs5wrt4y6pVHV4htSR/XuRfR5hkc
W8P0tDRlaE11aKEFeFhbFeZO6krRJUCBGXklxsnOBWsIYPIVWzawVYF6kZcty/VM9P5wWT+VFEE9
YmDOuTO5FPDVRprXsJgUeL4uS5HaCJAgnCYVuwvETiJQn2O5dHA8Hjhrx13AyaZXRS+en/+bg9rI
EOzQbjHdQBckKVaemrw270RrqcPJsTRaMJP0/1RJMMcBdTbX7aGSRY7+/GLERaEaeZVrBCItdJpR
3XX5Nd/crGJcnNRiEKFjnYn12wFR2fCUV/QDJsAL8cDToaft+YKhMdf2snmGLymHFVCFa5bau/cf
/1aCYGRmkluFafbIFrx/6x6IB3LftsroRmbKQIwCRQWMDLiXBXelZYtWajPcfdcfMYm8JLGfFzFa
u7GNbIxFS3lr0CtN7/ZV8olWdxXpFDYhe3cx4obmEGhIQZTDf+HmwFixTtjyggOzYeBgsAf/2Gjv
RteJq8yNV6d4/sB33cgTTb4MhmCgkKdR/xqz65E1NrdazRR5g2yUBqN7lo0pZXAOoed1rleblFlJ
FyQO49TEnXcbzCxs2iOKamACnECkmPohRf5mVbG2gJ78aVTtHuCaiJd7+wsEG81yvZkqhl/gV1/G
ztmvNIj8XMXJK7WgjZ6CndZFVizeACmus8+80NcVflmlheD7rWbtADPg37G7w/Q/fOSsVQoblOsA
TBpoMxwUOQQbnMxJc4oBKa5PrB9p4vpR2hhr/BHD+ytEMLwcrAwV4YO5KAhlrXn0nX8HUinMTv61
/goRXtjC6StrXnmMmzVXJPHjZjGulIhzqZRXlBjoGcGHwFO0zZ31pzavfR2xX+22YP0YQaHXTyC3
XDWN7i9/NenzgKF6vrgD8HVfuEaNUTcsySEqNdyd901jRbjUV86c7OwPfTsArmDMfD2fSOlbprWD
stbKe9R6VCXfOey8p4qit8w/cVTXf0KES2nZgwPnhcgvMDM3NNYZ2+Zm5u0tm1bgBrNUiFzp93P4
mkKUb/iEwPlRZZ7fYR2YDtN2NQMFyCGPMEGT7jWj6OIqsNEyyWaqqMzIBpctTEr/kSq4FTulzTp0
aD+tfXc0+zVyDf3ADFBb1dVunYJrj02x+WJPwX7Jgp+YDrnznOTk5g9rkR8t7ZGjlTijzGVjktot
ZmDRbwD+1BDr14ACtOYa+Ai7UX0rvENnJ5GPjun/T4qgvFP2PXPaAB5NR66HTmnw7DJVlVxqR8AZ
vO6mxBisIGROKp0i0i1OtenHYH8kOqjXAhatk8Jg5d/sP0FYWnZuQKTGkBDTtPy1Vl5M9lH3hhBL
Bj/yOv7RB7CUczFIIvW8n6BPEyyxmQRXrl3EpZJimJv7G5+4ESN4K7vPNQ58ATsCMfdoyD5gbD7I
s2gcbvnAIGY+PuC+QCsJvgewFWCUVXBflBS5rhW476l+t3wyKHT6gLltJQjOq5nntF11PFvp/Dld
f7HpdsxUtWuZEWB6hC/MwzgO2r3np2PWTeGD7BrBaJVfpbV9hTnr3EkVNiA7HGAzMf2MwJ2TO5xL
0TSvT8YiL05Zz0LwUO8KIADQzTC0KtLaNcxzxeHIHkeHb7Hks7ieY3O1N37MwrSvtZKhwPzPmIXV
yMjPZM28yG8nP2oCrBYwifGRFxm4Luwj4eM44Co/F0qWMvCnmRYn2/7WVHs404P2xUmjrGsOlx8i
6ffcSBIsw5mrbqmSrjiRad7zGdSU7Dt/An0F3rygnZMr3VJZo1wm0i9MomFAXyTBmdrZrK11Lk5j
C8w0GrP1oRms8noNCuykKhZ9h+R9lxW5q6iiS2sdoK35I1l4EVlNlqYCveiJdQwjvkYCRDG7HUcD
qwUjoMPS0MQmpy7/AWS3wt/JrgeCE17DBDEUBtfPj7QqMRpr1k6BLQfF16Vi7NpmxbeMuYniMZYq
ibm7AEQrWEkMLOS5JNamfl1miFStudnVBCF3Gk1FvXd+9JZ7MzVf6BzEvf/zsiHJ7slGqkghYTLi
T9RG6Fobt+lwUzUakMafl+QIoKbiU8r82laU4AfobIIMk3cRKCAjPSBtbXfbZwmags+XdXpddiq6
gq0kwRVo0EkvODqrq8MqK3dtBoDRQn8B4FYQVKi8aV/oZWgz9CHJ/G2kh3w51vPLWk93s+qq8qv4
5scARwPaA/CrAPZwfq6jl1AvrVG6dbsmxn6rhTb7y/rKbBSbRv5IED5shtYYyGQgAZyj8Vh4O3xY
ZWIgt0/MAaJNiFjzzRCTTjzElNmCGDp1DiUm0msdw0SIOQmJ53UKa2sxw2Ecb7RSNbItNdKNaOES
+p2R1WRFptCVewPvd7KEAe1AHj9Es6uk5uEH8vbA/ioq+Crfow5CecTVafAM/GrkJtl+6AvsLjT1
Q28f5gWEloF+P+Sawt9LTQXDluicWjqw3YIvNkjumYnDoV3Ji09+J4niYkhv4ObfF56YJsNWmqID
Ig77b5quu/eqg5PWO7BDKxSRC+KrLIH2ROddcIQ5K4KlZKi422a9W8oVC+uMw1rtNeDxL9u+1DQQ
gYExirPFiXgPx84RWXL03UD1iDdysX17l/X+rrWcuFONgEhv2kaaYIip1RdoUOIDasEt8YH8AJe+
+/2yRqIMA5Nm0IVbQRCAkoprvIlcvMVmFbaUww+U4LfLNPdxzKop9Mffl+Xww96a+ascfDIb2zIw
5yFODxsW4G5Yu4c0g5LgJmeBH1kYOI/bAqwo9Th3hy7ARvPabGPN6AaFhYim/r/SHQDxkf0bYAk4
17JgtCBJ66FBeAp+WKohXzFU4f864OHIX0CNzVHw5/86Kt4FwTQ0arglQ3dzuM4cPBX9tKfNk9kf
6o+c2VaeYO/BAj4AT4M8z0pCWyuiGkg0t/l6+cREWxe14t90Yxl10xuVZuBWmaB5q8fgdu2De3cY
jlPQXOXFw2VpshMC8YgP4kzkBY4Y+SCsCliO/506e9WjmiZLZC3K0tkbt/KqFJCjPtZVwUOKjABN
DcA2oMBI25x6b+tXmB7DVF7nz4fVrWJWljFKYjGSu/1l9cQnSpTL/775mE2TWprl4shcehdMh4H2
+6B5GBtVbVD6GTf6CdfZKQvMN7XQb15C9nm+uqyF7LEA/fyfryd4DC2Yq2HiX8/syzDXXvRE3/nF
e5s7r9+K0/+5MHIsjRCu09w4ebtgXvQEQzvMZh+61A5n1Vim1Lw3UsRLFDipp69JcXKMLy5pogHs
kHOp72pspVCFiFJZAYc1A98MhILgCTW9xzOL3d4nkNY5oeWgxWcVmR6bXZIfDFo7IWuwHPH9h8XZ
r/Dgor2O4fZzk0sqBCzgtUdOav8Cti4qJ6Aw3ovv5WdlI9HSkWsjAxUL3gTq0savitNiG3eTo98l
g3O3sODTZV1kHxC7HlBMxZI5DvM912WidGJm0RYczl90L559qpIYbHhx8d55jv9V6K8k4dWbJz2w
NbMpYOLhdQqG9FzxEsjuEJp9aMeCqYbb97kqyWwtI3jtCxAO0J2/HHTmxYFqDYjsudkKEa6QW2I9
jj7WKIL1O1Ls6uSI4OvdFb3XbwWXCsZOE/yDIprCmmxrLXSk6CCN0tu7nFZRquQ4k6kCLBtiE3Ri
35LhAiBIUOFBSgz8kr3cBiQK7MdChSB6hbSI8clWjHBFddbbGFbPypPeYd9vOa1z1K3GPwar9T5c
iUtijVIQZ7p9ulvI6KPQ5zWg7dTGUB/IkdaswU5gVh1ye9Z2Q+cGYZKhCzpZ6xQ5y2TvGLPWp8vX
QmZLmx8trrHsjKbBkBy+zTydjPYA2K7hKvyyLLZB/Z3zECN400VOlmHCAqKpA7QKa+HH8Rkzhfdm
P4XB5KHM9Wu2ut0HVALtMyYn0Wh4M7XY6kldjyC4P9FgyOMJmdGN1VUFljrljuKBlPlKQKv+iBKO
vENqsuQ5Etl+5+1UA8HSo8EUC2C6oCJ9s5JjLefR6Ph3K/Uk7IEhSZs1UpJKSi/HRgp/NzdhRWex
ZC1tSOnBmOMXzRFsgFEwvqzu+PkD5wIzAB83nAr82LmkHnwVDdOAnBoyjDc9riCDLx8vi5AqA3yR
DW+FkVJxjaiL/TbgMkQI6OTPDKNN3lqFboAtRoqUR5aKYE7rjxzBmdjYrKiZK2IxOlo7p8mATWyj
VmNRjzJDCnQxSnzRkio+oDT0BCgc6E/sDYJPFjwLyxLwf84InpjTgO3hfu6MQ9JEyzRfuRUYlci/
ZoKKcT+qTFFq58hLwAaJJO/NkEJTm/lizQgESqDSW/I7qFUstFJj30jgf9+YIerhdpf2SO4WAord
IzGWEHOkl61D+hBhdAnzN8C7gVv3XEaK7UCzmyOF86sDkP5EA534Luj3mIhY3st0yx0bH5P6T5Zw
VD3moFimQVbR+PsVk+6LfU+Sg2d3e1O58F16PIGBIhdIbzm7vqCYCzaChCGE8hNdD3VaPdS1aqPp
K1pUdG/4p5HzWIjWHFcQgtHabh46dEQS5zHw+xDoGzCx7hf/RTN3Q/3F/pzbkV5+JaB/ZKHTW9gP
BiKGuAHPXGFW+8tnKQvnUDHFZTABeUJ5/1zlURtWtpToXEx6tavooznVMQvAlEof5yWILguTGSfq
lSD5Qt8asaOgek1Q/c6wKftUXtc6Ddvglhp5eFmG7EnhF9vDsDFWMYjZKzOChiw1Q7Ni0I55TkOL
lrum08MC3M9Qq4wtzDwDFvBeagtuqS4IjA0AFV+5jM+/5OAWg9HqKN/oc/UZG92jeSmuL+smPayN
COHiFaPtjhrB0K7uR65nfzac29wCjKsdo8WzFIelEibcPOp7rqE5KLBZ5R4M3qcOi+q6bJ/Yy2my
VS0C2ZOy/XjCs6WNmHvOCYQVDbt3yhUIBjssZ7rzyF1fVrvSVIaZUmO0nAB9OzSFAWs4Py8KVqTU
bNBboj3qHGHFMNwV9RrQu5GemtrXygWaOyx9WlWhPhoBdgwZ/RDXrDZ/2BTEBmGWtoBFIwwd/6Wd
1z9QVmQ5tm8xkOSt5RrVpJt/JYCPZ6HXE/0pXbyMhO5YkIexNHwsmOqnLrvVinJRhIpy3YAQBpka
+PvELWSGvxTF2PA3pkR9yAiT4Wo2VJU8qRCMVmG4Cv9hCc35ByTJmoCbBk+HBgpTcz3UQMDp9stl
k5c9ySgjgxgQ/TGOujsXQrWyQsaBQVlzJtkNJrjYrl4cV/EKyuIdvPeceg5rHN5AJnN/HTvfQJKG
we1xjgndrc5xMBTXV6oLpjTBvIC9kHAA57qkS1/1nofnb8U6ymh8uvylpMcBogrOPo1dF2JDL/eD
AuVv/OtO8Iz99l7ahUOq8PxSDTYyhAdct7Ua5EDImPuZOtekBpl1m/l9fFmTN8TEr08pTtsHyxso
3sTS4DpoZHVWnjOve1aG3/xbhhnByFyvuiwsi0/OlY7+kz4enOfLkmVvHhbqgaEICQ/G0IQTWhhL
mVu6cFAZZTsgF3rQAVfrtTat9Y0265hPqoLdZZmyc9vK5H/fRGwGgPWgIbNhe9W8X/XmlqJ03XeL
4qPKVfNBYoWyOHdVgpis77t59sBnbFsx8fO4xb4VU68eglEPaacAob+ZmeFH6GHcF+4Qxm6K+18q
fZ7sJplg60FoTHepFbfHrtq52nF0D8O3q+Dp/V8RlWTL4MQfnKfrXD0PoIgE7KTlqa0fStdESdTZ
gedOcVayjwiONex2xCA94iVBSpNZmAGeNJyVw2K+NBogbmw+nHR6amoVgpX/Y2KgyJeEYCoK27nR
LDlXqV4zpJKrBahHPsWoKWClVQjqvMvfTarRRogQ/2muS1BtMREu1UuUT+CtyPartUSE+LE1Pl4W
JtcI4Hqs5OIXW7BBvsIGTBywwUkH3eH8uGRdqGRoUQnhGm/uU14HxYxZFVArYON8vpJDNjkxtnIp
7pNKjJCFY4K0HloN13YYMfB8KLTb91Lb8SvkA17239cSApSJrqxPOl5ScsARMTkIXvtD5ingJ/xJ
e2tlf6SIhSuWOEtitfhcWOMbTWMfdqsiyZd+KQRYKFqhi4DX5/xAnJk4NfH4pcnd0AtAJVZg4ZQq
7pdK4ctssB8Jc0Iiftmo2iGw0OU+OfrvqrtNsjFCAqdILlRChCNpsnIkfun/H5rNuaWsVbdDZMEI
YBb/aSJOGRRNNrcpf6l949i+lAT7gXaJwnqlMjA+ZqEOgba2iADNiQ23DSDjiaZfrfF3ZR1mLK6x
FSevkiK8YAbzszSdQaeJ1UYVYFoGwumHaVK8KnIpAF4Ato4Snzhy2k3IYM08L0+9A7h1eiyGYG+V
h0C1TpIf7pubgtb8f3IEO078jHptU5SntcYuwSDSG2zawASI7+VhZv0AKUmkDLhUugkxdj2i0z0U
FLXw73nwPN55SVjYqrnkN5uaXl8aVJUNlKgR94jWMFAb7hLfAhs5H1Yfa7csM9T663KIrAH5ih72
9q9mfWrXLmyt9w5FceEB+mIgkkOBHB3N8+fBXitk6cECOEJzQBMGECYv+3LZ70gLfqi5cbYDtC5Q
SzqX4Ra60Qc5un6NTdLI1MuDnbE7D5u/aPnJYvejk4RVmSMhqxQXTZLYgo0MDhZlJU4FIHijudat
ckzw+K31PxpI+EC/Wx4HPUJ7+/dlJSWmYmI+GbUyiPJAPHCu45oaKVuWtjzls3OF0p89tvuyABfv
4SNyoAmAntgV6grfsl3B4tYaXXnybe15sfuXafauK5Yca6Sj739vodNfWVznjS9P9LqlRTWUJ284
OtkOWqWT4o2SBEBnIoQDMtvCYbUHdaYWDpBmA7Z+WPlDVxaP4P67ClrVIIXE4QKuBHSyzfuOwKqc
64StFG1f27BFPf26emPoq9qaknfqTICgUemD6GkZEDeuGgLGXWuyQ0Kv/YekTvdu1x/s9wIdcYMh
EKVl0ISiXyDOZzbd4BilyQOVxP2lmc6DbtlPHzA64D1A+oT+OXzj+UdbgtXTFgadhjGqfjbDDaYJ
kkZxV6Ung90UxuuGGOCHBCG9jhUVOh74aqFXk+/sQcJ4WQ2VBP73jT2vegKei6zE3Uld7J15HMh7
x+pfz2Kjg3A7UZu3KFshwTUfMUIAGp6faKZ+4FqiK8QZitCCghmfq+HknlEnJfwF9W6aH2NwTXbv
/05bAYIW7twwu6ggAJxoxMLOV0VtU3ZF0NcCsTs6XKBLFe6g3umTjTYxFNDBV287SbSy4Ko0vdBj
WWjPjwbTPztmenVZLdkTvRUr3MyFDeVcNVV5Ssmt3v/SbNS/u3BNVG0mmb9D3vhXP8GnLihB5a4J
/fLSz06kMrVoGMAUMznZQ+ncA6F5z7LgezXbLprphCqyf5nT24oXwuTEmEbbBH/+qSP3a/k0zSBN
C0fW7JhTRz1RSJN/VT5Njz0LaKwJ1zab+rRsLEizixALH0PTjrXyWDmqVd9SORiMhATAW5HQnFs9
MmUjtQOcHjAW63h06mPFR84Ups9NW4gyOQwUMznWa6FGODrNs/MuWeHGIYLMj9BE2apWiRCOB5sH
ey/hkYKN+ewQXDhfQXdw71cqvyD/YH9UEQHwhRdoie7DtRYVh77QOVrbffChxwgkPoh4kC2jHH1+
LHoDEGHbTeDs9599TMfiOZobFZ2Y7OEGugpDnvB0OH4huDIYNpdqAz6ZpWlVTFs0Q7TcUc1dy2IR
eDc+X44bilLduSpsqMzaaCClN9wYh0/0h9Y4dhRzlYbCzGQKIVtCDwfTNUCGCzZANaz+ooNRnoKm
7uLAK/UI9W+meGdllgZALuJ70F3gRRCupraazpQRhncowyixRf5ZzSwuA13V9ZZZGrIXXEv0OtAo
EOQ00+DXTmnBooH3ORQYUrKizFPkmVJlUBp+7UbwMPv8dEqjxnIn08TNRBgyfcFqGv+9ixy598aA
1X8iRMpHZpVuOpg4FWocmy6/wuCfmxww5xYFhaqWKbMAsCUiqIK9IekT1bGyol2xHeLUt8keiRcv
O192d1IJqJPi7MEu6Yhz3qWJbWlZiljE0opQa1hYfQBcx5cG/pEgFBhoMy2O9Zoe9y99QY/V+Fsv
nxOvVDhuqUPdChLuf5p4mWlXUAVgR5IcWR5bj84z6sxs2tss7lRrW2S2tpUnGHQ+WsHc8TCOfzqO
4+geqafIfGSXBgsIMW+AUj1uqBBT+8XIxsJFcmUS66B1blj0KUgMv5P6vVMh3KxtTI4D7Y/7CQLa
85vT0rrzRgNPtKV/qduHAFWFzEIPjHofCExtQCuQXaFfiErNuaA0GAhoO5bXfLHPrGsYQ6F0azKz
3goRLg5egaLJBzxqieuganDslVT+stO3+ZJw/IeMx+N/36QJuT2SaZwgYaZ9OKAn2Tu/dEeRi6iE
CH7TSgzNNSm+lZ3ROBh/8wsazHN8+Q1QSRFC3tmekgL8suWpqZI6LicfFD5+20fgu1ehS/h3FyOn
15kjDOCiZSLGZxjPqdLRx/s8fXN/l5+rtQivtDzsu6+qZpPMT2PaFGRUgD8hJxXOp9RJgC2DOQVD
6wo+m6qbf/ZJ44dpqmuPrKpeJnc0FaYtva2waVBmALeOdQTnNgHCPuzPKAsKV4qdMGDH7DDbblVT
7Kr2d8okYVzbhP3ZKFSI6XyGPdFtXZX0ZDgnzr/dpI+B44Rad/9+0wC0C6V6jKCDTZ/fs42VL3PX
TEFS0dMIJtHoR6dadSAzve2/L3yxppo0v6PQQ/duxvoE2HUyKXAWMpPbihDuEOa0QBXuUIhIvy7z
TfFSzzfA6Eaj9QutgUg5KSF7ehyPAyaxTxz0b4K/M9ASqiy/pbizLFxdcM5/ANuHaJCXSoGMQSQi
OAWz73os3INGRUvCsWh3lfst+6fr9r5XR7QwFAGi1LEC+MMhOED648U7NwK6IvJsaA15pH/oafpY
o0WQ6MNNnrtauJQ/kur3nO0NsiqOTmblW8HCp+wmAj65HoL7tDtoKwtZNu0JfSznD4SN2DbMi9s2
klRxpdKQOU7FApi5Nh7Ar03Gw0dankDh/BUhWDrVQSLaY57q9PqxsGlwPE7J7/ff1q0MwdTd1sqT
RYdhGP3jnO/K7Fa5R0l2YbciBF/hlikJOjA28i+FOQl8Kbs+fkQLjo5BpdzCgZybm+XkqY+ZRnoy
rWTdIw3DzmnL++0wI9ldliR7GpAnolwAT4HWpxAl5EnVGNUESf4yzJjJMCYkcliMDPj8okeelgy3
I3Hbq7UdjO/rZKoa+9KP+Ve+CAfC8kI3dzw8Fa7+HedFiuePnZfvoYeoo3/z5u4OiVbyPiaukN9E
fh119RrZqtEA6T3dCBHuqebPcMGeT09ZMh+SZInn6THzzYdm/kA8BGzWH22EEL8kge4y6uAlAvU2
JtBQefF6RcgtCxzcAKMbgKoAYyzi6svCsY3WIRSE63rYgQXB78JK18KdIurica4YCsFH8HYoOO/f
lsSqNfB6zXrVRTNDuw3Tz/7TlN4qPZJMo60kwYk7g9tX/mTDA5pJnFbPpP1tlxPG5knYTKosjJ/1
G7UccO44AJ6DzEu4vTMQ31g4DmHF7xrLRzBqcWPFD/4YMbDwfndVvCdvFsbzvMXbyBOUm2g2ZUYO
k7DW8eRN7hK2XR35lRu6Q7pjGB8Aong5zMGvoi/26Wweh9H5FphL1Bau4uWSfmhUODhPiA7uUEF3
HXwvo5mn1WnUj3Nq7ceeRF51MzifyWxfX367JLKQffB5JZTU3oIuM2dhPiZXs5PWBO59y3Q3tBIw
d2GvTgUoK4ii7LUuFQ/mG1J6fG0sccR8GcIAYP4d4QI61BsyK+mw70KbIvKldvbY6LEEYWves6bd
BVb2YOS3pTaFevl9mVFRNr4a9bgb0t9WNe4vfwLJs4Mfwwu9nETozUZ0dw600ZkabEsJhn21d/o0
dLVDpuTmlsvh1SS4CLhwIf6pHAcUgia2siwkb/eYuulDG2QbO8xjzVcYc1OtT5NEkKhdYxUsEiRU
5MT4TtP6GW8DVu6xEZPqa0GqeFwcU/H+SJzPmRTh0TY9O/OsHFIsTD5X3T7N9pVbKqxUKsRFZREY
KUw9ik2cufH61O5mbC7pqoNnPtBGuybZ+9MuFBX/CuFXZZOkNLRCeu9jdSDBbGj+RKxfKQhPFG5B
agS4ZwAIYCgJU93nQgqNro3hQZPJxI5offdrxRaJrlD0SV6zA+H5RE/hrxjhCcmYw8yVYElvUqQR
lg4X7n1ma4fGYdE82J+xLi40k0ejemb6ddC7UdAvMWn72DbvBiTT3S5YTl7+wljo+VeddYW7fNKK
/rqec2Dj7x0w5rLd2Gg7gkXhqshN9iYBSIoRPuziBvZSiKcmc27r1MA2nLIOO+2mvS7+mX41H0CR
4db/kSKWLGltJtNgQwpCUMR2UVEgxxrs6PLjItUFVV6gOzEKo4tl3oUa6DJzKZUVETR41jVKHsjw
1faePiDI04GiRo0Y8AtueBvrNRZPG4cRLUAHcOqH0k9+dkNmxiuh2sFJGCrYDdzIZZmyawkX9Uem
cGPWVJvLfoRycBmRS18W45iNCl8huzCYpscIFeqWWCckXBhnWGYU4rP8hOZPONDb3vtRe4dkf1kT
W/ZYYl4JHgB1OBRKBVWMvGzMhEJMu7MP00m7AtdCFZPr5qGO5kOVh0nohUZYR2VI96CY2v3z/LWL
rOPztHOukocu6s1wvvYOVYTbExXXRfylCqsoP5TX0y/Fb30bGlnbnypUPieGLciZB/7yrEIs1P9I
rcNlATKQ2JkE4QJqy9SXJsHHsNzigH7c3l2GcNKfSrMFxZYFHMuxcx7tKfY8kG+pKCvfUHvx6GCj
oLgIgcxFUtkjJ2h/9L55WYg9Q/13wC+LZ/9+eiHfhpflDlv+0keU/C5rLrcC/3XqHb9BrF4ndodN
uCXYir02wTx6WTVx6hmO4tq84Vd9VRDofGw1Ba0/qOfO76pLqhYOGxtdwHji5N/JnO08N79qxrAI
7T4LQbYdoiFYsXhYyk/2fIUepFtMe0x4JmkaM2XTQ/ZKIR3/84OESxbQhfRJgolmL63CDnMPixEt
phfZBLWnReHM5epz6grcNOzIdYWnyklTqqcj+OisnkUNKeLVTMOCfAOldjHeWrfVjwXroq1pb075
frk1PulsnxgP2PZRTiqIllTzzW8R7n2bMy2pXc5/7cbe+i8294asvqqx/rVQda9lsy6YesQOXXR8
wdoucoOUFvqzzowpe6I/VrmPmZ0BO1NutfZIQCFMsF2LDLEXPDXZbmmumA3Kw3lSVGKloff2R4i2
12ToBhgYKUcGP99MeLWitb9NwqwOk6fhN+hbje95yDDw8NQ/qWb/ZA5jK1ywsxT4F2zMwvA/S2i8
uN/Rsor6TvF88ddJjH1QicHMLVqeYOMTzCvIOtYuKzTsrksEvqZ57KvjTH/o1mmaXgDt+ICHwhwK
sKYer46IVT9nbaqgwmJwjlxsM3QmgfrMsFgX8+2XXydZBdVCXmiAOcxGm01MipO8IRogePmpKqao
Sj+1hhfxbh7JmiiYMMSBVxpJ4ieFWEkubgE7hSAGbRAUNoXEhVpF7tEU465LE+zbtcSSiT3pfs5d
iA1/eXAbrM9GtR5zRaj8hoP/9ZlEJAPgM+I0dEPOn0kDa8uscjY52fa/ubmgkVjvQNYXzvVNlSZx
l9rAcrFwSLDae11DN+uvkGMpKhGy+ANW9OdHCNa0kCrLe84UqHtfgbiLZtAUYOTzOvcUZiQzW5gQ
YGpAiho443NtrYU6/mgmBbSN/WG/vgxlmExR9i+22TJFfiDzc5xFGwBI/J8r9n2MxaXaumKDIsmc
X3XTzVGqYc/LZbvhP1i8hx58KEZbUMQA9Ptcob6YVwqfArNxdubymLY766VOT6MfjqpmsOwV34oS
3hUA4NCnbSBqjuovxqn83AA1Gl5WRzbnZm2FWOf62HW6FqCCxj034+/jHDY0nKJ8Dc08wlRs+nhZ
nPTrga8bmzWwXh1N7nNpHij6cz+BNOLp18zm7edweUywNsxbp5D0CjOXvcxeAJAImva46mI25PlZ
zjFCeDRnK4uqltwGZfmbdETl/GVHhU0NAQb3uO8XYx+Q6iZBwZcPDFZ35RhTTOnNOhzGFqvRbkp2
StoqzNw7M/iSO2E370vdveqnKF2fEkOFWZJdA3B6o6+LX8T3qJx/46We9Q7sV+A8s5ri2veGfJcl
vaG4bLKLzVdTABSBt9sWUWtVvVqsWWyw6U/kkJbarsoA10/7OFiycKiOfTs95l6jcPSyA8WwjwnG
B8QV+L9z3UCFg+EPNEFOKchUwfbgNUWsdLWyD7gVwv++TTqN2jZmYOhPa/fYrF/sdFVcujdbN7kP
2EoQjoisKNg4NT5eGtzX7hgTDOpjN+tRB6lEhSWfNOFpNR21Y0rv8+JWQ8RaOGHe/g9pX7YbOa5s
+0UCNA+vGlM5OSfbZb8ILruseZ719WfJ+57uTKZOErUvutEFdAEZCjIYJIMr1opB3t/0aHETddzy
rT4JAeNU9lFv+eAqFQWnhiQ5V60aEMmHtH75pSC//mpi04jHikHz9Dzl4LPOLX9QdS95h4hbE9NS
3/I8Kxwab7F1YFXdTgFIIqQ417BJggkAeKVQhyiQlXD242y0ONEAy+PVBKeAO5HLCfwJXezBSlCp
AJpDSzOmPNIu+nFlgZhopuamYWgwZDkHoGovG2qwzTMaPGnZCoSDUYnB2zepytX6YpK2NVaFMigm
VLn1uYY1jJQT6FLuBp/4P1YIX9LQg5bqzPGbTjvek0yt/4NHv65KcBg1M9an8OAvHVE0Hg3RQN4J
qOIT0Zb34yCmGrhCwmyPel46xLsWLJtA6vmU5bg4fIBVoXzNo6NQIhwLKy/Oag/80DMV5YgTg9Y/
89COfRxsi/5cWSH8gatTDgE6BFtbWEk7HtVufkVdTzXtvr+UmucSI8sC8AtQ+byOr/KXIsdVo3iY
qESGgABgD6VkSMkvtGoUYmxxnYUK6WPfFjPDlcU5dK4shpniM0GIhVTnnenxvD1qpa+rnb/Km+C1
8mhPLYuhKAFZhjQK7MXdjOVxWsYTPIyzSkP3ciWtBrl2sywu9DLxQ7NHPIHqG0rFjx1dDJUrw8Qk
BmDCHMIM+7w8t5i3O178g0YrSqQsGoGoMRSGhJmnkCdGE6A5b4LGw9bTBAeI0BhVlFqmnMQWpwzM
YXjDRfaTyRYY3wtq9IohZ+ABVG+FyB1etW7CrpI7WtxShm3pIVJkRTzXzIQYc3/zrUtiBnXChkEe
VItQD7hpBb5KDTetDi/iiR7kRrBj16lutUniKNBUKk+P521h8QEpCgj3TOwt4kZ7az/wBYaTkiRG
bQrld8EvfpVBaRR5rxien1MOKYvGUGydFWtRElGJzUtpqyGJGVC+9OyYmUOVdEbepIKpgjjNwoGU
Rty0aA+qFuhKm+eTPPCFYBHvpR6KIdC8QoNrx63TsTbYKbP4MPh8PJALsQmktQxSPajIgVyPyC1p
qfIFi8WH53J0D/gJdK9yNMdDCtiLKEFDM0UklRoqcQEk0EA666ECAOV1boj0iqP1qywVZhGZyCUz
pS6YZ4k13fthMeJ5Ab218inUwSBuxpfYZXXvKd8WRmdLa8aAMqn7eCAX1t+NVWIgcSyImJSdT1JG
YCj6H8WJzccWFk434kw7hEPBLAj5cwi9SspMMnZpq6BPs+o70M+wqo2u/LfHNha2Gmxp6A6GOBnY
msjbcADJJ6WQ0DkplsGggwVkw/qxNeWWUHNWHqZvoI5qmO/HRpcCA8gQaP+I6JjHu/PtYh77JMpz
QcU5FH1ZcfWeoI7P0OZnYYvB4xY60FClQcMECcZN5UqJGlygto1fG7HG26x/ktaBYrDMM5X9dikY
gPhFsgDzEcSGiKJCOrYyw04wlmcvqQYBlXch8vQ+Sg0A+v6LwUMXEBDzMw8rKYPbFEXFgl4EfkW5
oPsewzoAYaVGUY0jJQAXvboyJdzOEzMluOMUWMAhQAFs8973p1F9qlAnKQvaxrwU7Gg8QbJFVQuP
F0SCh55lm6Q93NL8UycD6ZmLlF15qU6JrWtm+4SKCFoOiLQexX2g9AL2EHQRQ969xJl3BJ5mNOKE
0cN6csL0S0LxW2P/i57YmWtxblGGRByOdbcDKTBy3M/Sq1BM1uu3rjRwpX8cFUtbiABSIEgAzqCK
u6Kk0gcRKmrgxRqTS9IOep7n6zDSrJD2DL60eK8tEdm2C8KxjSBJtPWbqjC4UC70yBt4Q5USlhJ/
NFNEihUmNRryHDwkZfBdpN9d9U7VzF4eNyRyLF0U52Vi4VZyqiW5Am+gImzkTGoAIJvlvh22lO1i
2ReAxuYbMTp+yfgui2SqCvjSD1aXrxIcXiiF6WVX/rVAuKIKhV+LiLQt1EF+AzPkbf6b7hYgkv41
QRxsPeiZt/5Mn+Txb0GhV93HRNv0aONE5BxQqWQBuAzBHVC4oi1plrZ6vFKWkhoI6maScgXbK5lo
5GIMtDEE2wdUJaq20L1yF3turx6/HttZSmjXdojpqIS4jeIMdjoICYBflYn+Vi4aRSjc5QE9FTVU
R5HWbrOK6klargxgzqo4E3iYUXh57MFP3zJRKr8xQBzgtKJneC+eaRWgmiXUFm/luYEHOn+lTOc+
/J4yN8LzezpZfVcYxWsDjubJKJP3MdX0aB35bmGCX5ihEYAsxQiIp9E2ivMeYF6E4+PINFWt4rsU
FYy0zJ/BP1LBuEvTh9csPKCBZAR7LZHm+lIYlE7RsPdlkFhG24EoUdbr0oMzTl7/miDc8Hw+1XLG
R99wGq18fjdGvSEPJpD6T14E9LngsRAqTPUBIveVqpfnODelUXFyLjaF4CSFm6qg4VqWTk0zpgVh
BRQALlu3MTUKRRd3Lb7JV/IdL5+D8YuLyg2fCftKEF0IttBg6kvrEcQdM0oYuz/qprcWIQzPdyB0
BF9EfuC40i6Ur3auSKcbOX1+HNBL+DOo8M59gIDUIXqIE0DhTXle8GDPUnfyOtuyK3UnmI0tbboV
b0rH2Egt+RzumqfpN2gKTVEvjNFkAOtpDNFMbcVhdZnWo770/n79UeT7+8CknOzH+CiPxyISoxWO
3UaniauQVZ14rM0GJJRiuxtG0VDD8JjVw0Ft1Fcgfe3H40P9FCJn4WWk8WoRWwjzBH32VbxP157N
vXor8E5uI6d1w/Nji/PkkhkGs46GTHS1gy2ZMCh6ccEP857Vops16HV+eO0K0IZTqgdLUX1thti3
UkQ6zwQY4qE786URQhnM6uIV8lNDsbT0HCficQPU0qjb4Zw0566rSxtXiZ0QKXjDbEvxrEnVl+Y3
GzGRGn0KL6poxrGVAdbgVYrJVTJlb1tKjLja4yKCGx2HXeHWeN0yKV+C43cbC443KUbZBPaQ01Dp
SysW0GxAGQCERImSGE1fGAWpjIDpQ6rQ5ahkgMbM0EyLFomiEz+DmqE8VS0axHstiLsRKeg8u3UL
kIOmGWSMaeCqrhTaqVEdM1oZYXHsrowQY8fxvQ+iZhGoQbzVdKAhLLV3nqbwt7SroNXwH0+I6JiC
DgBsWQq3tk6Z+h9qBnIpXf80kUfbolbiYv7p0UrMVI83ghMVQKiJZrNl/9TH7DBtuF+CHbmigdvi
AWwIDjc8N+FapUFPhHlCHn0LsbNpbIXLjoZv0QLT3wRfgSH9kmygpvASnljeWthyNja2zO63UP4c
HGCK4oO4Sd8GK3/yPtOnZh/b0GR/1gA2MB+nnMVTzfVAzcniaoV2wcR6gY9oQnqzwAqLfGD5YLWz
xtBIUfReF29ao6sIaGN0Q3dg9v1XY4WNwa4UyqWAFtjEfqTwIx9Oc2CnKFElL6EZuQGlqWgpw/7r
LfbZW28ZtmgCqFAhrM12J9vVjjKcjyMab3C3vx9KSc5KDKaatSzfeDxVj4cH/QK3v52JXp9L80zh
VPmZm5PBmjTlr8erXiKxSxoTezjg4fNlecOm615ecerhsRe0EZr//ireGHlq+2SGIzPdGmtUr7lE
f2yBNk53WcUL8IIzj1OidwJUrqGe8BWDvQf1jceWlh6+Qbj+vwkMuerWGQ7bnt+pMGV6+Z43vgG0
fYvMeM9bF3/TP4el/gccjbwdH/jNiNu0E//qnpMVrWuXNqZEgolYTxRjQEK2k7rLB5zSAtrhfI7b
/zuF4fBw6+jEsX5VttgOROCtBT02uZfGwQvmE9PrylPmPB5XWhgSiaCHmppQJdi4s609vLaU94zF
15urWSOLD4Ic1JU/O9N8jXvGGM6xk6ASNeq8UZxxuQtXVbHv891IOyos1uavLRPpgQ+qfORKOJbr
hanhP9uo0/0V/1a7pds72h6tbD0E4yhxOo/Xg9n7gZJfrTmxC9Aa6iFMJ3Ajq3oe2rWkd2Y2fgvq
OWgpwUKzRpxPSmVgGBA+h9vKRNfmr24Vu77BGYH1/xUkP6f3K6eGgBGHkJ8TCWOWQWHHAvSlZcp+
segL1EPQA4SHPrRR3MZ9orRagcIbfMHWHayBJhOsYDDS13FDo01bDssrW0RwVEEWyH6EcWMZIFGg
4axNvD4MitNpgMtAcD2XfnG5HiTpMWwVAKETR1YlR5XTTm9iGgB8MadcfQ2x26gDHzSjiq1ACbvI
mAblJBYCFW09/8pdZF5ZIWJFEcfeY+fI9HaJOdnKirWFrbrFcSO0O3ug5JXFneHKGrH3qKMwQPEd
IwyymxQ9H67Sm4ViP45L2sAR20/ex5w2sPMazzhrLJ/HlKFEPs0Cseu0otSUqQYLWvae9pucpSEu
lq9tVwNFbCjoQgqkvoUFRniJWtHyIneMWjuNLWBJwn7NBZ2ZQ/JBRcXw8ejRFhyx0eSJHLH1HBDp
d7hOncLiNsyziMqP+9jO/7HafjCOM7yWzIlVOFSD5rdAo/Ix+H+zVpJ5I2zjNjSKIc04U2XzUcKF
Lh57HeLP/THiVAgKl5MyQWomF4pVy3NZ6HhZKqMbtgmxHWqZQKNSmx2+XyH/fiexQoIOr7womCAD
ebY44DxeFbrl84ehp4zI4tEYt8lZsQTtQneVYG7iZWHuJ6piz0CHje6NtteXZsf8oQz94qK/skQk
OrYLBdUffaC168SIZLTNaLuIuQynBp2MzyIEKmRkNIhtCdz5selFHyGyLYm4qoMslYhrqdYSJhNS
SDbyqR5GAqd3qmbJnrDGPNPO64szd2WMCGVhYvOuHdC1EoTT+9j7gqtkw/y8FrBG2aFVaoS+ma2O
Fa0gvLiGoJcLbVs8Y6MD/3bTgvppJQUpYMKN91tDdTTsn0Z+6/d25T9FQBMBlPJ4WBc9vTI4f9DV
VpxIHOMFHQyOde+A7Rh4pf0ANpyAwyuSJJnBtH5scM6hd4tCRZsFwD7osyLncSqh/AFoDxbvdyRk
65GrX2QO/UCPrSxuF9BVFURwHM+kfLdu5SGE9dShjra2Ak29wYHmVSTqPo3HcPElFmCNecLQaQ+R
71s7PfCCo5LDmwyMBhM6F/nPPHRGJtG56oDGVD0vAaWlYVJ/+uTIQYT0DOIDja94giPcC9sg7yCY
MnfwDdtxJa8Dp9/57/1J6fX2mB5lF7vwb57Rp02xyo6jnaP8257LVq+eUXp3aLepxZR8/UHEODR9
pMb+/EGjodiaFVuKkTvVJrLjZ9GOn4S36DhRt7o5fz4aBWIzDZJR6D0PRln4Hx1+e2ZlMc5kcNvP
9EC72CxF1LWHRP5RwHSjVMzPkGf2HzSX6Zn1OGZ/BAIf+UMs/qkWpTDsYQKPTXsNKs17rTa2qLRu
+EN1KleF0a6QhGxu7b35brVuXfb18Scsx/NVYJHpIIVyrNziExJXMkUnXjd6pXu49dKuAEvp/Go4
yYucV/FeGmswBBqfqjkWxRo82BAMe3ns0FK2uTZD7FcAFk5QO0N6Q6Gc1QWDBjcVKGFBnkU6f6pU
OYMfwlO5aq0BjzCeUbyJa13Z53vR9a1pPTjCWTJ6ezRDJ8l00cp+R/a0H81hH2z7V/y55vX4d7DK
DIlyMljq8QLI8J9MQba5RFMUoIaJ7xuzlwrAv51oFIEeJpBcMsJ9ZrLKb0/byLimPB74xXPotWEi
RQ21L6fg0UKKMnqD1SND2Yi6aqYur6uUhbO0h12bIpLPlHVlmhZzLFmSWx1QFrDmiifFIVooEdnG
FxsBWkuwshu+DrE76LXeWR1i6g9kNlztKaXUOmheEQmn45qxDAPYa0zZ0uzWnP2iqULQliGRckS2
UEOtg5GJ05n9tI5h4/G4/QBaH2Q1EqwkgfcHbqAbGe2bqEoXoEs38jVvyab0UjyxbtsZ3S7bDy85
0nf79QEJmMdfsOgjmjrnZ1nAlgQiPLQpZCNlwh6tVUf0xGrDey08Ky2l3LCYCECfgvZCtMWCSeX2
JDCi0cn30gbAc0kvs9aAPFukmZNvUBWllzdbNAhA+hUnDkAqb03lYJLMUgFdAsJZAfu9avfofFHD
l4Hj7E7lDTzB6i16L5RWBM8Qmud2UvqRgoHk8bguPrKiYQ/dm2igg1TrfFm4OjtGbCoPkQeXucbo
iy9ftsvC6qAq8Stk3ytQKcnToGtRaqXSdhLWNFzkEo0ChCyB4cYZj5u5pW7tI7knqjTM6PRCNNr4
UxwHXQRXZNav+u80sntIkfYuN6wH7Yvi+uJsg3tsbhwE1pRkfGbVQBKLAChyXu105NUhfwtBmYBe
JEZc5S1rN6mDR+i5uR/HRqMRj2xT6tNY6LM6Ck1La96V75YYEAfQBQN/Myg2bgcig4KaVCRzL1qc
qXpSMec2185hAz09DS2VVpREgd4D/Q2KrfiNMhTzFvrIOLHFxk1RVUyBjgsIkZlBxV1E4a3zt+hx
cadI3NctGNNS38q/g/9CRUAE1hcvuMCbSyDZvHUbVQ4/b1r05UD6pVF3obrti6eBxta4NLhzA4s6
c+FixRFRnuVhJTeyht2l6jZ+mK35ooVn5aUMeNyWmo+p4n6BIO7z8bguRdi1WaJ44NUT+osmmOWd
Bo0JfpFajJfpnlLumrGlLOWlvQ2gfUSyBrpaoOlvR3KUBaZoJoxkXHxDTDBHvy1VOWppPwPvEahW
5zXLk1fbWkyCgEHBC5HhG7nwhlOfmGdmHFljC3agnKOk/cWKPQjZ8daO+i86BYg0yfJl/p/WnELC
y2j94Zcg/y9rPauO2qpNGLsI8MqErmlWwwtCuCp5FG6byVIL9aMIWMrj2eIQo5MGxCtQPQBS5HaI
W4ZNRCbAfApipTPccyygI1eh9d8tHrvA5iOhEARiRNyvb830Y1TwscpgTYDXRXDbJtbZWEFfZGd2
kQXSFbEwwszA28/jcF10D3wrM5sucOo/b9VXe4E3TVIaNBFU8Dp11luQBtnsPUqYLnoHxgkJynSI
IyDub73juYZPhKIFOj0M842asYIRC3VgaR4buc3ENzbqn8JmLPC/cvVN6Et506LaTqlFLZF8AH0F
pO0M3QNOnjgLNlUXaQwqjttuPPixWYW9DtVEXZBWimLlkyUxwg5CUeVUm34WvPHiyhN3DIoQ+axl
3firvx/8688hIh3a2FKFhhtATZVo1YL0ZRqeM4YWW0uJEDyYaGEHWwN65olEDynhrO9L7DJprViK
9j4O1SZX0Bwsg8Sx9vcKX+plTmNRJgILKHMUOeYWJqxkDRRVRB5Ev3cd8GkUnjhfPgCrY/nxB6MM
lA19Xn1Xm9hsBdUi/P5MvzozJ94GFrhKSy32tegEmfZXxmv26JCi1aSIc+h/bKjo/QJxP5gAyD51
T+A6XxyY6IRLhNEFm7Rfq6CDqbrL42hYtAPuHw21ZciSkPKdjOA1GWCI8amJEnPwA1sNN6JXukpI
QTMtDtqVIWI1DoOfcR6k0U9s89vLnqfq+bEjlN8n1TsBppTlaczjk6bEvzVwu2oy7cGTPMP+Z1L+
9UEkJh6EfTkQlml8AtJgV4EHAf9wG6i74dLqDlAWM0oR9/LHjpFlljurxJnCK6WEERh4Jr8P9vjH
O4gukINb73V6e2xpYfUgBv6JBZKk2ZeZTsbOG58GtbbZREVbZdjag8bSOv+I5PD/PAKQbmbjRV8A
MY6ojgJx2VXxKUoMtFBEoFbSq1QXt5lDL/wte/WvMWL4ukDKUNiAsUJ9Sj/6PePrdQkxHDPToTVv
DLsMFU6z/bsse+cikYn8UBz5ninjUysW23FCPQ4YRTBq0Sg8iIPSjx1O1nAYA2vGDCS+zUVeWchB
4SnqMfH4w4R7nFdI2Mvl9dgcm/QtpPaDL60zHhQWaKPEWQnb2q3BMALRHZQ1taPQnzl1PUJZ83EU
LhqY7yeiBmKSO/ITnu1qGWyQ2rHWtqL6NPm0K/7SkOHwgTcFJFewDhCZqAWLYVIpnnfMG97wuKeZ
hD6sUxtgJWDvxJKlXPbJA8DPHOHqjbaFGWAOJOftkHEF1MT5MmCOEMZOR11ORLMNX6r+pehGNwVU
ozTb9qzleCN6YUM9F1Pd02ypLIwop2TJ+8UAWD8ehsBMgD0M7JS3n5LnXZyXxcAc0cdtCNVgpdDd
0yIKBwJZSITHkChF6yZeO9CojbvQrZmEKZXSyyL/tPk9nqJfkryeHAkoRzf8FD2jLqhvCvcZRYZy
GxzCjRZekZVL4AsyMZCS8CQ3KIEjl5STkx2S7yDkbD+zQ1opbCEpg30bR5sZwQ3FSvIMoDDsMOAO
G55yQTLqIHVE7VX7lAJT4oyWS9aTEuwmNNg9XhtLZkFqBsg46hhoISXbBiJFyEG80oWnGtdBU1bx
ipRqnWJ5QtWforTMXEXrUUcp+sCNw5J71nDJtx9/xH0M4U6miui2w/1vFo+4nVymSyE9Vk/hqQhH
1YD2N5ZPkzNuIXk01mTiXos4guTGfMzigcnR7pjulW7sO46NspNy9mvdHtbRqd4+9uY+cm5NEN4I
reQlWTeb4HSVsZpWV1CUy9TjNCWbxF+hOd/6e4tIneCaRPFlJuS6Hb/OD1M1ZJPsVIFbzNcnTc+E
ra+ZeWt0oqjLtAfAJQ+v7RHpR5AyTogl2BNRUWcnPSgsXrKmeD0DJpMLf3rsHllx/Jm0K3skaYGX
FFMYh7DHcIbafMiVLrWbAG39TbFKc6MD6iB0mzJH/hGN4NgAf0wT9CPryPM3QJGcxx6FAzo6XuYY
vrphpnXCdrHiZSe5bHRpW437jvnw/B3XXtJ80xafdfFbS3X1e+COTa5aWc4ZdZjowhBu4jzXEz9d
TxVLWTkLO8H8WZh65Ec045FtEi1IN0LsD/is1GT8raxu0zfuQzACRWd/++c61StH2vVubfNQEaYk
j4U4gHH0L4A1CKUbkk81ahJAEuUoP3GthtKF2SL5O0OBIwNaTZOdQllY9zcL+Iqry3z3Btbk53p+
NQVZi8fBSmCyUyBml/jEqzgGpc9+ETuUeFtIEnMXP3r2cPWDa/OB4spQXVfNGPFJfuqbD1Hsdc3b
9CbWVWq9fQOw8x0Cc6ZeaglVjhxwk01Judn8sAXc3AfRXg02ZOgsYlZRaCA+YGwFNpRrVjyVVrHN
94krHuUjv45cf62601F7D079RXKA6zErQ3NpiiNkoUPFTnBjnwh2SYX8eIrC5ykDJ0pXn8MyBFmh
CWpz/HGAgh7QTU/aiDbFjiYY/HMPfeT7HAVXg18VfjYgg4sn3shcgDOB5Wo22apZoe1hM6xCx3dl
G31+YCnnj8IhtnObX/FO4tBEpO+3xnkUUI8E7xbY3ViSy64vWVBg+xgFmduJxYfIr3Fp0gXWlRhH
yE+NZPegeKPEHg/3SPfRuo8m95nDCp0yt+6XclEMZVhKJ0nnv8FvCo3Snb+FINDB0/MnGv7mfqZx
0MA5EgccnHJEaEjemmNHVa5bnpFPv5In/13MjDbS5adih6vaFJks5Rh3t7CAEcM5EaStAKzMTU+3
1mK8Fcd+EmsnXrPazk3A/i4ao84IEm0YFy2BnmBWLIV35Aqqu7Ku2jzRTt2q23Sv2bnc8W8e+mTU
VfwUObUVbLM/Yk0xS7NKrJt4TPBc5cHqGHx7R6b/hgKX3jhKUNHy/vxLN2Eyj+SVf8QqSdvKr4ca
I1lU6CB49RnwlJey3p4qFihwQxtf+OAdr0QI11WLLqaMVt++u/Pgqg1hkZ+nfbSukTdur8CrJlCx
3qmVAHsXNrHh+85efn68HBbcvLEyr5arZMAlXpH2U++dUt1+/esyCOECcfFU25xhWcCIT+0eeE3l
6dIfvFYvdJThncdu3F9fZlMKUrkEpi5s14QfZQKCW6YXvBN7ZFF//9Ts7Oy9sS4CPwoN71U70FTR
yPcHkLLiHgFiX/AugXcPXCq3Q+eNrC+2EuefmZW/CTtz2Ggg/l6n9rldsb+rnbrPXyVTMimezkuY
CEwZ8QDBLHDSsKhP35qVUKKdAjEIzqlo47ZSG5CUEMCfL0B1orRpMrsLUQjCadT9kTBnrV1iwZWV
qpV9FgZnqOk4Sqr36MZ48lKdpXQm3B09MHM4ZuHeCdAgEhdx4pXzOAsnMFnh0oB2uq+8O6N3Xh8b
Gmb3PlDAg6zChDK/YswsVrfDV+VQEvPrIDnj0U115D8VqwevwSuD3WAb2sEf6Wv4O6AHMMC3FokJ
G3jPB8rZT87cZ1bo3SsUS2o8puod7Y3mLjkShoiAFPuh9FkfroW+PujSSYHAu7B6HH53+YKwQR6c
+E5JOGwx5+6gWTiIPv516uwQ4QYCS7WMBPx8cMn3tRGZyj6WV+0vMzUlBidBHVAEisn5i2/WE+ER
keg7sBf49QSTvfW7f054A8CVo6U2a8/4OkLu97G5uxM9YW2ew6t8q7HdpFSzgyXCL9G9A7D7OO1N
O+0g0todlmxpyBTg5OLxuEKCVzm+1Uqu5jFXuQ7wHYMSy+fYGupq7gyjYRTuhxFwFRgBSwSwvxop
zBMMQjz1ftyfVSaIntqor/EYq9CIdu5DHKkBTyt4hoQtAFNuhy9gG6bsg0w8x6nZSZaES+GmyQ+T
eHw8TfdhDju47mE3wantTnBVlMYkiZhWPIPfhWvw1MoYofr22Mb90RBQ92sjRLCn6SSWZT+I51/x
B8IhPAV28pq9yJ/dR/z62Nb9hefHFvii0TqCGSLzeAaID7j2JvHc2EP8Lr5nnY6LtSZ8pt4hjl2p
GPQk3vSQoUHNmzvO1KfVS125GvosWr3eJjRizcWZBOPu/34Qsex6aeKiMeHEc/mSjlYOeaJIBH0L
2M8El+L7HBS3KxzjDAQRXpXnkiNZ2hSKqa1Z6AmeN73xS0NT37toTZCiCczQGIy3+vLx8T3q51an
9VDdbZ7zoF8Znhfo1WL3SzmLm0CAXtRzLAMcGX34Lo1fn0RJYXu5NgLW5FsjrJhNijLxMLIrzoX7
23NjRwMYS3PAxm0/Hsr7QhFhjNg98QKA8ixOveeuWrEoDD0pJ8HXHb1Zo6dX9w/dXvZMhjaOyyvl
n4G8W/ZJPmkTG2Eg4xfhwhsiGuG5o7JjdiioWo9dvDuIEB4Sm6hWlAkXISuczfLodi8MpcRyf2ok
fp/YQBVuaOPGQ9zzx7Q0It4MDmNqtuAq0hWrxqpMTbS8fE6jJVKvvvPsEAsBm4EGCkq0n6CWRcRj
ITA93nQD6VxtQYWx8baN5T0hTpx6Q6NwXpqya1vks0Wk5WkpS554Zp1hG5n650EyKivfDofH80WS
E83xf2OICMkaLTwiEypI1efqYguN3mzYN/GQbWqzNVXgd6tnoEUKnTnU/t8fV25tE9tRVw4CBFk0
8VwFlr/xDgd9cph3yZm+BcMPdKrBhYRy4ysRnGDF9uO4wqBK+mSzVrfSnAod35QRvd/Kb70iQjQt
8jEtB0Y890bkZody55c6ei8woILRPQfr9rWmnCoXNoMbv4idENDeKgPnt3RWnVzfDhZlTd85BLYH
XAkhSyWiOsKRiAkxbgbAaUWQRIHVgCtewRpFGbK7LWa2oHBALM1IVfx7m4RDLUnnG6JyLn6x34od
RVjMTK2PdoKjuBWbAe2kfBcJkLaH2AnuZahTQHtz/vurraUKcykNBc6/gAWJu6B3HbpTWNxQtVEi
W62AdJDAA37qtICWjO8S5GwZZz0gg1EoVsjWq0AI/W5KB/+i5K6Km26Jo2vfflEG9O6W+2MFpWHQ
juGaSx4nPc8PoEcC/6QysIXQqtB33NQAHjhiPbmyEpuJwzW+89js0qii1QsvkqglgGuRmEYBwJoG
Suj+BYAhY5J3eDUzCojX5YHDRZ9CMumP7d3F/cw3jxYv1D+RjiFNdDuLjSAElTDywWVcs5a/9l3O
6iml7vsi62wD0T9zw4HCnHz7S5kh1MJODC6BK66H7bCR3Xor2oBlUhbx/dZGWCJGzxPKUYlFKbhU
NgNSLlBwr8tdtYqNwkKL0TF0uTWE72jYgPsDEGGWGMQY6rttP8Fsvw4O4Uo0sgN3fIv2pavaVEz6
QlzejCaRG7OgnRgml4NLvL/4UJs7Q8fbjnblKqeN5jxaN5s14RaRE0ue9b3Yg1vMSnUUGzR7X7jw
rDmLXQU7hnKwWwzEqyCZF/1VOulTVQiSDG6F+yfuNfvIbZo/89ni3h1wIWJlAYdHAlczQUukmBWC
C2v0lrz2V8MK1F9PqIM8XlL35wGMG17KAK+Zb7538Y6ify7HchVecmuyeWMyExO0eRvZjN3JEAws
ZjO00Ua5eqEYvg+NWfkHD2hoDsGDP3ndBiRfVjwA5X/CHxTOeElJvhVH3NDoyheW9K0lYrbEgav8
pIOlxuzcSffswnoVrHqTU/bNe/Qc+mmuXZrD5iosgj4PvWl2ScC1af/eHT5t1ZR2ox2c/Dc8jNG2
UdoQErtaMUYTgOqwNyJTMYZiteiLQkWVSjGwaAgcU4BQy+joIcHqYZKKJUj8owvKmnheN7m9+sRZ
aMk8i6fHYUHSnamAKwEU+q8p4tCdh5OSAHITXUqr2iZ2aSTme2enerqCTOGqL/TxwD+pT6Ur/fB2
jafh8wsdJDStWdp3yPOQXM1llGJXLxt8R79OXA4ro9mqR7x/scZoZbZv+U7o9nb7K3aTl2ivOYLR
oBdVcalBNUfnbSa4GRCSyThQSxUnTHxIYTZmrU+1wZya1883UO7vKie0Pcuzor8GdM2dYVBRm1HA
EKonNTPjlM87CVp4l84GukHYBsa0mTxDNdmnctt8rI3oWOzKV45GmnGfWG/tEisoTbK5mAW7/oe4
5jY8h/dklhJi96n11gaxaoYiCIGz+lk16AjXf8umd05t2hYx7zfktKENB1z4EkDZOM3exg/Dh81Y
Q2DokknbOjqM0pc30pI3SXn3s1iujRDba+FxRdWOMMI64tpz2HX/8yZf2yEAFq3jObVTrbj1ZCmO
bOdmbvcrWrno/rIAnbGZbnmmxZR4kUiuo9b4Amjkk4sMPt1B6PQ4Nh6nhHk+yJG8tkDERNJGURnx
VXLp0Mg3FvtUzYxutJgYmq0nocn/fkeEADSY6ufIB7U7+WIU8UoEzSYxvtTCcWiNhgHUzvL7EyOA
M4yzJEAQvJR185Z3KpAfgm0L8sFmjm7KYisHoMLK7ccDsBRKuEGwmorvwmMdEUoVn7ZYijyG2Cta
E/XVyUwhmWLFXfXx2NJ9GQLrfiYUwcUM4rBYJ7dR20+qmst9kV7a73rPbVJj67vlJ/cc7bgDxdRS
4AD9it4JPA2CfJy/NVXEUVM0YZlepmQaeWPM/eKP2LchY7RojPqjNE2uQA65mbbooKp/jfwwykbi
e/1O5pocbdOMFuGiUzPJZy3JbelQvm92lQy76+8jhiKUo9H3yya9xP9D2nX1xo00219EgDm8dpOc
PEqjsewXQrIk5pz56++hcLGeaXGn8a1fFljYZk1XV+oKp/LdkI17C8gZwYQRdjG05eQ9h09QtQyr
a0tbeQ4GNGL0D7d/wiKHdIA2o0UYwLPskkRNDIU+nZL0VJja1gLErVADUPN/pgG85HlhHzYa4fHI
uLkiTVsfeeD0ZIoFmlYj2adW3lkcCV6KjIDHY8wtRDBamsZYCcxlYKBlSrNTZXf2ZEsIZ82Nbqto
Ube2KHivdU5nx/fSGEwv1h9iVROKzliqwbwHMilVBaAaZScAvs5AoJiBv3dei9XauOcFmAv3BFIG
5szQIAWHOf/5RaigGV1ZNF6OHjB6z8uvLnPu4uPMOSxvMLKxKrKTV7f9nSVU8os2RtWDULQtDeab
JZLY6SYglo0CMlnUEhY5ozFWoYOOnMCqMVMpoXWRzL3ggVUHnLv9XivR8CRHh7CCuhlMFNuJ2HjG
6Bem0Z3EgproLwkw/wVwqYfS/2gwdYx2KOux7zaRHD5h4o+ULVaK1ye/DeiILVOerQiOpaDPodxX
PJi0L/G9VmL8NmSxUC1HLyLG8a6vRpzEMtGFqj8J5br0Jbfw3loRJjp69AOMgk/rMaudWCtJarih
EG68Dn1b2NSYlkTArpKXwXpphD3aVvLE1TUnSNdJ8NliJ7B5ZwJNDH+7rQ6A0gk7NJlPBQGinj42
JC8cARktEUW94kVQAVJ4KIvaFr3fmZg7wTH8SLtVFb/p0YvVkxrt8Le1+rvL1AAS/dUvjlWgMmtb
YUSbqJO0/pSiG4Fkeqc7YpuIrhqFn7VaAiRbNt+7VuBhLX95e4bfSIYqGDxAOgh5PcZXSyEAzxrR
RDPg8MPThs0gurm/ybPHMX8Uw3vFAEL22RrOoYB4OSCFJTnFnfKmb2Rhm+7Fp8iwI9Ok0RHwUoVP
NekuqNHJuVF3qulqui0dxhAA28ODMTqFE97LlottQKSoyHDI9VUX0lJ5tj5ky77N0O/ttggH0BMO
HQdiAtJPTNCYaXVveJXQn8Q4QIMvkIPUO0C51zo11FUwHdqywEZo23jQqL7T/CfdOJTVQIxoZR7T
gAQxr9dVmU0my+rLX8SI9lCpQzwGXn/qwoxIbl+6cXkfW7T2G1pY6WrUsfbcRlUk3+sbPXjtzl5A
KuFeE2navAidjf2DnrmGMB7GwJkMW04PGTBJBFtC47K3jpMSkkPHZufbTcDz/t9qK2ivx45mrOvA
pm30bTF+J+7jYpjkIT5pxPZGZxzwcnWeRqLd84CSv0VPDCWm4BHLRqgWWR+fIk/QNgN2jtNqGky7
l4DrdVtKvr0sZlLoq8L4CRI30IFra1N6ZpeU04QtZcQ2RrejaJMB2iXvjfzN38xkNNgzBe5UBxj9
NZnabKMEHdggY6GjHhFSS2Wz4Xm1r5zxlYCBDEwHrmneSAX4t2sykiUXqSHX+amuBmGd+WoOVFkx
9OKVVOq5RvPRwCxP0qjVakratqKJmoQm7eMxrkhXiuh9EqbQLGiG/VAjzbwRa+I8rGpC71cR1tEq
atvOP4aCEARkwMiORBTFk5/KQrEgmlg71NFUH7H6s2ixPYaKQdzDylaehYRUoPeviSVEnttOWaDQ
KRO6X2EO0HoqVqPBA6r87obBDAVdqchToX8NU93XzBDVKutTS0pOg9tsyqNi16vADVGii46v6joZ
SMuRpe8BDEORuWW9a7up8xH1N26xP4TKNu1puIGBm7C1QrC9R25/8beId3aVmPadoeiAxsF2i7Rj
FRcKGqLwzjg2bl+76C7GIrfWrTunyc7qrn4PMMqAOPi22nxP0IEwRpkxzaDCbQCg7pq5UmF6oxSm
6al2DKJuDwHVN40znjhGfHY+jEBfkWE4mhjBmDbYRnZqafr88+mT11DGPQfj/WoLEAp+AQLeytg1
ZH9UnIjQ/72lkWEX44tEo5uKop7P4ZQkgpkxyTFAQwblXMuSPFxeC+NhtHDyaivFtaAJxsWRXNcn
6sYkPjW2EflfIbKwFB1SgLcOCn/oO8Fi+Gsp6CrRrEJlJmf3TrORP2qbdOeK6D/ebx/sW3TEEGLE
LRimaOyLMD29AINm55PISV2OqH2vssw08GiDkUZiHVJ9fRjESCjujDlouHdg22Yf758euHnZxRu6
oCJfU4nMssRMGagg7SARV1pjvhOtJc/PBf3kPEaXmIbegRk6GjA/qElckxokM06k0M9OQkBe8gEI
8JFP1uvbN7PgQJHdw4iLiIKphbD9mkheWUqpKi1eUsT7pdxlm46IzYrWHNDNRUW9pDPz9eLF1iL0
FYQMdF4mj1gH4p+ahGyfTN4Y+BLTLukwIp0nyqBYIeh4DzKtqX6HgorDEbVvcSAk7ZIGI83Y79m2
hd5kp52nEcx1vQ88rMfvWSGGBGPXhNpASqCtwa5kI69EKjjCL4U+8UqvMzdY+3x5kpmbF7ciTo2i
hRJOEm30rVvt5yHFjVE9qhl5Cp55ydMlb3BJjRFoSeoka6xxKEwjvMYhoZ+ci5kZf+M47P6nBMlC
vdLxcm82qh1tOV9fig8u752dBioyrKTEbsDspG+xQFxzdHKs6Pp9pAopf9xWS54AsClRo9L9rgrK
7DRSBJxk3mpS2ulewqwMNy84R/632MboJhDHuy7vqvleEAi4ckRiN3QFmyNtHNVkkzZRrw9CNUHY
Gnt4wsL3VUVDm7eT5nsD4LXmsLmRPBnGfozBuPIzctXNh7XbYChTc+KncS3vZDytzrevincsJsbp
I0HzixEE7fDxI91v17wjcdSGBSzOvUT0FBEEXlQqrdXfCeVVFHgUGDPQF6XQTiIU0zzsJncgeGzz
dJ/jZ1hnFqj+lMQaLr8HOke5qpwtnuiE4zEXY4A/FgYTdNf2bASolmzU3SzJI+32gMl+793t2qTC
5v32rXOMwTfAnsqf1LRSoDR2QCPrYe88iyLpifqjDkhGeVMuHP/5/aWg1L4kCrNpc20Nazho8Zra
ybagPBYuBTiXLGSMgS/7kucXX8Zg3vNh0sqdbG1d7YCt3lCaUA4f57Ds340Ppniur8yvTTWvlFl9
YvJL2UW2bu+f4zueEt322RjrvSbTeGXUNyP4h7Shuqmx03zNOchtK6qy+3ywSXqQwwqyh4dq82Te
BzvqUJM3eM8VhFmXL1x2VtRNLwD+4yR+ElK7E6VAfSQ8V3fbIhgqYxG6TJGyUUcY1VOUOU2KDuC7
gIZUJd1rhvep8dnuhVXm8B50y3TnXkVkqjAEwBjT2K8GH9kJWG+nsg81wc50jrleNkR/KDD8S7Ww
F8U8yU7SU/4o0GaroFDLQ9HnHYNhn1RqfSUCAwJR9S+k4t21cn9b2ngEmFBK1IcQWRMQSCeSkIyY
v6Pn2xT+RdD+YRTbjmG1GJcZR5A49Kat0+noKJmzpSOvR3nmxXcD8IfObCAuBBrg/4irsjhDjkA8
R7Z595w4HN3k3LnOPHLmrUoqFjjO0mwRARNug7MtDhwi/xKy/TkIYzmjotPGyohgYlxzlaL/WSDx
qrajY7Lmqef8g2/xjDGaSV+lStrgaRjtd8Ccdk2FdPTndMjompcVWzacf07FGE6pbLo+0kJU9bYv
IdGfOEf53vXzFa/9+T6j8ZlVh1LV4m6kemsQSbYljUhH4YjaDUndijgJup8eH+OPkBoDkRFdcQzC
sqArSB7PGHzo5GUsgqx1WhG0czERS7yGjUSMNZqNgB5Geb5uloBv13ZBiTELmPZsk0JDTVb+KH1a
IaUTEMveDYeCrjnB9lL6dC7H/nMqxkIYaZakYYdTjRh7AQj0/pU6yXr7eVYQpcgc2V98eP0hxkIW
IDfWIx0MYsEmeKKle9sULRq7i68zFsIsrdyDgchO519TQB7T30+3v79oHpAKnSEX5uQ7cy0luoKB
AIHw1x5sO12Pz1FKEFndJjJ/5NvdXxBh7qMoyqqQBsQ55gqOdPWMmY+/o6AwwW8lYAQp8BFiBy8T
wQIVzLCLa054uHjRf07BbhkG9On/R72PqweOxC7e8sWnGSMtjyH6OGswSD73Kw0LCdQ15555FJRr
T1M0hRVjuBWmDL11jfPkPf7lERiz7KHLDT0yIJDcd7S3He4TetlWXTCJscZASOvHwICoAmjn8S2n
970t7ivKOQdHVtlyV2JVgJpSQWV8eHmzXhFhvv+VMrAmN7CERmplEAhO0zpe7XO3Wt2msOi2LhjF
6PQ4NmmuoYR0Sjb+s4iNcBy/teztLwgw+mzmhVAm8ztJXZ0rW9mZwWwzsHeWo9Wcg7Cm1VD7KYpL
qEV5xGbdU0Z5L/OFy0a7kYYVRWh6EtFReK0VaenhQdEoOcIWvMyxp8clmc+TqCV2XVGZj3kR5RUY
KbfwH5Q2HcV9k8gGCyxQqhl54f2Cjl/Rmf/8go6Ul9kgzqfB+38zM2zkye7ChWhobkILPYBzdInt
oo9VBbsWdS3HS9yVE7SzDiXnypdyWFckGGYBpR9oKwJIeL9apz/fFW79XDiiLZ1p/B4QjrYvuL8r
agzLrCKXpqbQ89OLd3DFkqpA0MBOAVp93FZJHh1GJSvZ7Juknumgxxw7s4/UO/IeXjwajFbChwia
3oFzI9VX3gMyjTZ65ytSnm6fZcEPXvKMzTTHjdEb8UwH6Mkk77jJhIWsiCahy3duDEU7Hbsz12p6
SRIm8Co8905NTGzPJgriRb76LyWyrkgxLPOEHvhtMkhpmII18GhxA2w1hwQEzkjEH7yEz+IN/TnZ
l4e7UNA6Uto4mk+mEcsVaEexn/yT416Wrc0FESZilFV/aNsBRGISbXajMx2RJ3nmxEJcKkzEMmqN
ZQQiqJSOujrEu5L6z9Ln8/iDQ4jHMiZuGYopRpvEF8vaV2mtPznZr8/b8vy92wogMOi8FjGoCbRz
LCy4tpt5L/VVb6jzE9k7xMdiM27To7c6eXZ4CA9ohdj/HM7jPrfRB+Hcpv31bSY0vqLNeCAf7coi
Vv4hmRHQ5L2yQ7vGGhe7Clap46vrFijvJSb5q37b2WgFxx6ZTqGiM1Jghgw/83TGCgl3GNNQP9Ot
4ZRbxU1yYlYkPZgHeRtj795HGZMqIulbpWBDC4le+n3m2763bv2UKockxeLItfjqmStszlN/mDEN
hld0HYbVqZlWXYYNJptGJ53PqYsuOF+gWmiYrcTYAnp+mJi9yzIAgFcSXr+SXewmjTyHNidS4ZFg
dKEz8LRVrH7OicvU1fevT7zBi6Wo9OoUjCIogqyPciNmp7wiL6UjU8UnmQY+PvBme5es1RUpRhda
bG409QqnqZ1oUyT0BWiIFS0TOtddjE3K8Y0Ldv6KHKMWViADMz8FuZ34gVYo6edt0V8yIVffZ0Rf
NdWkmdAxepruUOU30NEV0Iysz/lafrxNaiEwuqLExBQlOhcUXwKlcSXTQ70yf6//jgATRqixVkWK
Ps1FJJG+6fcV5wALVvDqAEz4MEh1nmURVAWp4Y3qVAl5XX9yrpunK/NvuHBOZR/KfRtDkEPM3Llj
64zKmpdvun0R6Bq8poENuZWeG6DRfh7ylWoXZ4/TiX+bUwDnvqYQK1NjeiJuwnvOSXfqLUJzm3J8
LO8YjM57pY7twiWOseuQqH/u/1dMshk14x/D+G0CJ5HqQSlFVFNycghJZD9ipydvEoN3BEa5gaKf
+UM9Iu8joiiZ2NhXzJnqW3grXJ2CUW9PyPReSmbzEW7RJ+zKvLZzjgHR2arTEIe17HmgIOzE7WGu
mgBKa3CffZs3+3pbN3SR0W8ROfqpNnAjZUlMQn10IpRrrn2fpZ+JBa44xmh5kRuaEje4kxe8rWR4
eYOWe+O85YRUt+26zgLNYAQtVzIVhzltGsJ7hHA4xYa4kGrVihJ8XOxsdyLpR3hoSm4ymcOpL8m4
sFV5mqp1H8Ae9lRxf81zlToJ7yPec5djTL5K7hdkPNUINC+HgGnEdcUn+p47HKO7SAGLvwD3oWJF
w7e3jm4CH6FToCQGuqnyiWgPpH/nREFLvdWYy/hDhTHtdaZMoW/JUJS1Qew6WZfIPrhYomsDMDsn
Horb3UpEU3GOwCI+6qt1g1H89sen8yrebXl51EXT8+fXsCKCWDxUBBFnjkn+q7R/or+aw9VFIbyg
wDiBXM5zv/RAoWmIRYX7XQ91ve3xF63bBQnGBWAYssjkDCTOuDYdVHKP3KbAOwQT7UUoDglqAxlP
KtsNibkPdFJQjmhw5O+rknIh4UkblHLfg4hGgo7UeHlYdy7GYvLT7cPw6DDOQG3NOiwbsGukv6rJ
tTAUQR3t+TYRHseYMK8azLDWcSunXbV30ZtoV+eKk57iyS7jCMKuH+K8Bwnjzu120Zpn2XhiNR/x
4j5q3citssZ9YNAY64wBLvx0m0c8AowpsLIJdW3Y/9P09KI9ti63r3rRNP9RjK/H9sUJ1GgI4nSG
qAf2/sYiL/FxIChrJlvfvX0SzlV8DQpeEGoHBQO9Aghlv3NyB00P3zk6/rUd95tDvjgLo+S10LZ6
K+G2S6exJVekGupK2N+HQnOImdKuosaDU5Gnd14zPEeS2YV+mhq08wzkzETJriPyY9sT7f02/zgq
yWKEY4dSMRYlaESb3jHPv6WVsZo+/s6+fFXALy5pMFuryAwQ6amWA3bLlujP6viXRBi9V7xyTAC7
Ar0vzzBgx3SDoSvKa89ZqipfelF22hAOthm7WeDswVphHLajm+ZUvsSu+rZT1zxy39EW5lfAhfAx
piCqva7vagjfS7eXdCfcH06YQryPB0wXD1vlTOkw2DinFDufmB79j5mNix/AmIqo9RMNQACzEB78
tb9Vn0zyZNjmf3mx/SHDlm7VbuizYHbWL+JqN341qWCSMH+7Le3LeZoLMkxMMAVGVpQebm+Aa0Af
3PurR7MVR6eWqheXl/YViV3IuwhjMRoBeIZe0t7B+iIPCzmBZApQHvkQkQLWg4cdwz0ZEyiEXmhg
OA4MtJuM5BF5RR4tdNdYfvKXLFSvnVPQR+WohmAhXqXpc7j68ZpR456XUePYPrYml4iCZ6SS9tXy
OxB/0zni418ehDEYGKccUm0AiUO6dt3oPatdmrzcJrJ4DAwyzp012ArNjvBis3s5VLmJSAGgzj9z
gMfp6/C/GL4LGoyGFnGoC1ICGth8hOXxVNqqL+OOl0RddBR/qHzz6KWmoWCtz7Fb9FN5QB/+3Oxr
cM6y/Jq/IMMoqG4CfcJA/HayRxrcWwSLu4m0bY7r2/fy1dHyzalf0GGcOjY3mH6Tg05crLBK9ZdH
ZtQxQh1gaG62x/q0izaCa25rYuBFVACoFxPVnCf4cir34kcwOpsDK1Qvwvmwcr7zH7BASH+CD/kR
EGGV2jxfsmwiLsgxmjsFHgZeRwjK7iBjWtaWurlJRl7xjrUY/F3QYcL8MM37NK+N+WmHygR56Wx/
O31+3r5Bjmaxq1yrtEtCXwQRjKGV553cE7yMMIxym8psA26JCRvpD1bgAbwZLTkAGiI9VtH8p1j/
glnzOS98xZilwVh2syDqRLUx3Pz+dydgrEMoNxhv6vH9AbMgx4zb1jAryg0OsY4bQ+DjGGvg0FeZ
1n3znXBDXyOHh4awNNkAmId/TCnbeBX0MrJiAg4y9zXI9G4i6PrFujdu/z9Hsljv3Q26l3s+TpQS
AD/TlgQP5xZDwsJdcF9sKnHVoSqMsR3jdPumOBaWnX0XzD6by9DzK9x6Eu66E/ACXD2wOSK9eDyA
jc29fmgyZ/mI+bMK9tWC0WnPzS7ePMc214ovWoALGox1HfswFvoeNHb6KtuLW8keyKjQ1//2zjQx
vwu8SkBHsegHgM2KQx+LyHFX5+QEwOWzT0JgpsA13b6cxXfmBSHGpuld2talGM2EDOxzwXQgr814
WcAvSDDxCDY5T1IyxXMbkoTodHRq+jFQ+HI7ILws86KsXdBi7NrQDCN2bIFvXUyPQPXDCyK0LV7M
sOxxLsgwxs2azKkwIpB5mexpf6/ftfuHnJPmW+YbtnZiih/SjHUF1xa07qYRiyCyudWhc/PX/hVx
Ka3tMSeqK9tckZsjkG8G7w85Y5b9C4NdR1gXJohFjsfs5I5noBSS+4l6L5LD8XDL3LugxMRCpZVZ
XaSBkoiN2HeBrWIvU4oD8YRhUbYv6DDaipWrraBgdeTJxuoFAX5O4NT4F09ioEMDC0HmEXW2yN/2
ahf3aQVxA5qkTue4Y0438zvZl/z1JSGGZZnnDXrqNbOaxscQG7O6ym72bwMpbfk3JKLel6eG/peL
uqTKMFAUGk+dRjBQIdNLindlA5D5DjkhHqH5Q6zsXRJiAsZB6oRhTNv8ZCAvmPxUaU0eMzI51bHY
clKEi2p1SYuJFpNI9LOmxJ01LiK40ZFmrXJru4C14C2tWDJHl7QY66qNLYRQx7V1M1ruGpMcuQ24
fvu2DZd40jH/+YXqGrViYbE3yBSod86ow8A1vcOmCoh8RxsHW8h8mEEuLByPLGNs0SMrGY1VzwZq
cqsNQA5t9VV10LvcOMlx+CWddf5++yWlvmQpY3rjBO3LMfAMoQlTTtrz6Biu4Vov/WtAfRTKDJOK
mpPec0eNuILD2OOwUwZTq3DcClzGABstdoCQAXZsseKCUcxC+O8K8W2zipImupyos+C48oycvnel
vU5TzSHjE096loKaPxwF2NK19OCZHQkNxmQgpMm77Pjkd2+3G2/3wJHS+Tu3zsRYk74v+kZPQAco
RG+pE7gfjZMdZSyR4MbUvCMx9sSa4sLvc5CaXBXlfywYQmE7Q9cjN7iZv3TrUIw10QRVFoMSF2WY
EdH6zlWUj1F9sFB8zES7Qlxd2Xq37puV1b6WRfc/w1Yjj4qFqeoXjhrAjRmhTIwwrIJ6nJsuDdSE
FDhTp8CLP6O3b29Z7f6h8+UJL0wMIm5N8NsvOvWv3pWcbPUf+kcBmwmELAComxhwYo4imKrQJMYw
yyFmH+c7Ew7aK3+L4ZIcYuergVq9KGMsjLEgfm8JtQ+sW6AViNTNIB332uo5dt9vc2zRXlzSYc6j
SfUYdAboAEf/N1btknAzutZKQvHZt3m9/l8XwAriBTX2goZQVVNPBjUsFSZvw+73dN7y0JK+qia3
iDCmYvL6qgxms9RjRV1KlN94ztn6SIBlZN89TraL1+u9v1FVZ/iM1ltrw9vWslimuDwmY0SSUJTT
TsQvmLqtlu+edw/+sSUiOfYbhF0mR+qXPNwlNcaOeFMbG8IEahpQB5DIaF+a19tSsqRXlxQY+zGo
4wAhhVPxX9Fb1wXU2Nwm8H3nMizEJQUmBjHkUWy0GmeobHkGtZnsDH3gBtE2KXk5+A8hTUjv3qu+
PTw79us2o588K7n0NL/8CUx80gqGNfnaHHIBbyBGIlcmnzxsdx4NJhgxwhS7XOZQqz1vCqdxXn2b
d4zFvOblORjLUdZZM5ralzgY2H56Qhex49kduk2exZ11f/vieAdizEeQiFKezuZDuXNnMgMdUfi4
TWP+xg19ZpPfjZ979djATyIRJL+qJMXqNuxW4EQYHBlna9nyOMnhEIJKD7EDuPMU0OPn3x2EMQuZ
OtSmIIBZdohgl8R0ojE6pnh9hYv2AHiRpg7oQlVjn+RWVEh53on56ZfiTpv4Xl3fPoa0yKo/BNhH
eCFgmXNYTjhHFjiuvtXpABCIiMg5qeDVj1lFuevSZhPzTQguaDJGPVISPzJK+F0gwtOc6BjWnqNb
3e6o6NLy7m/PyNyVXOZFFadgIuJ3lQpYiig/J25M9VNHXwNH2IjzgGu34kjhsocEuL4sQ4cVhRX2
ri8UgG1KSDusOjv6WdNAJPlpGw3c+sdS+Alo238oMRwVVBijUQElTYbEN65GDkNuT6tW5o4T8Ugx
zOwNPR+kQJ49lBvZ8WG/BYQ+vwo7f+a7jPw5EeMIAecbmqmCO6vjNdLF2P2sEvW35NB+cnnywaPF
uEQEtFkRJTjS5HZAHI8CQMoptL57CDGiwssRLda0L++KcY91r2UpkDQx6gMEJsVJ91aFRECzml8l
aBnc5WuUy2iwuq3oi4b3QkIYjwhU1iEXO1BVzFVdn4v23mxW2rOYPIutm4rkNrXF6iPSldj3Bcxl
JMcZlsaFIQpirOCVcrdx0W7XH/YDusf+S8X2kgzDS6zAKwBtqM5vc4u0KpF2xS/9jafHs/Z8l8U/
h2F4FzeAjpd8HAY9fSUJXuZh0L1HjDPQDW/zbfmW/lBiYooWK3+n2sKjR3RS5yMh+/kJyYsxuZcz
BwIXT6vKKlq/nC/HTvaHzAbCPjy94vDUatl3/TkMG094hiroAchk97Y72K1TP5cb8Wl47UlEK7vl
pK/nX33jltj6mZBg5UTuQYtfpowUxwLdnRkXY+rLZn+jomKHOdBO5zXTs3m84J0kAHw0KCFxM5Se
5L6ENj23IY3Xyjpw5RM68zfdY+J4PCFclIwLuoyFR/uDqhcJ6FaoaPwqn+/L+4fbsrfIvwsKjGEv
0MUYaTUo7LwDhg8p7DrnhnhnYGz6iKX3KJeBAraupGv/OHiAh7vr67Xf/5fpXaTI/9wTY4C0rPLH
UgQtDPDZ0qNIstUDb9pwti7XsgAQbxUz4hJ2XhnfJu5U1W+S3FLbk73hudn559369PV1377Y7yHe
9c9kLlab2jHwJ6UFokrtpofepbyCK48RzMX2gIDufRWMeHu85/Wl8r7NXKQ+NKneGvh2Srl7whbe
V9esYf2HbwktwLTbk2I/1jbgepy9D+f79P50vn0HCzMD15QYH1LAEgrdzKKYbIBa3JMdDMaTbhOX
Pj1mq90vG/rm2A5GDx1OR+BXIfqWMDFexcNEZVx1EICD+6t/Dp9NJ6UfAJ8+2N3dY2Bj3fuGrsMn
h7b20/qY2h71XWvzfpsDvHtknA62xkZiV+FHuI/IjXL85ndXc81dxtW0nTmKo4mPD+SDp+ULabXL
j3+bsjNbTat9X2tP59gRjumqeEsIMNyjZ1vgbVC7rfbsuN3fMBz7Lq89lSx5U6XJM8PvOVfJ+5WM
updC7XlhCVn+6y/PlC+8aze1iuXNpgrY0bzGztsCqLOwjaMgpmE/4ldrhBBOVnwhT3ktI4x6Z3Ha
hNYsI0C/f6wtR86fH5LHxkVK2d6/71vgho67vXJuNGocgrdgINE+4kHxy/OV/ruif5ur6yVvNMxZ
x7DMmiokxtZFdz/ntWuSrUv35Xkkq7Xz+ZfiwGj2aBhZJ4hg7EAo59MKT9QYxR4KNH7GOr6NR1lc
kvghX22du/1IHqn90JL9+pW+P7U7urJnbLetEtklL47l/AQmz31bJ7+vWzKv5OQrNL8Q8DCQMM4x
4Ty7Xy1BhTuy3YO3qYhMnA9sAbhNDXv2bgvEl2m7INfL1mT0CcSyJBvbIpvBFt5i8h6jZFqvBbKp
XIwVpiQviara8fGABhltIzibwN1tRqS3ZZ8ob3fa8aXJaCvvTgNA/bEtN3UOGhF9Ujp+4ayndbt6
qVd3pugov/UHCdvdVipW+K6svYJ9eiQwSYjlk8O2BLIFMQ/SI1BBiB+gLTXZtAlp7vVPCV2UG8Av
4C9MdrgbsKkTq79Wyf7HpxKhRG8eK1t6qjM7uu88rPB4zPZF4+Rnw81pg58r/DZfteirIyLKSL9S
XOwWrWm+95BcSlcS9n0c7vMZL+3jIG4ad1W4HxbRMOG6QcWMitvSOfQgGsbrwY5a1LSR0tDeRGfa
DXcl6Z7uTCegSGRjE5lOA7twI5O8bEqCBdPwZjkd7tDD6woN2bjaCpJqpRTPUQrYYIW87ldrYEE8
GqvQcQwHGemD9eDvigxljAdzmzqA9uzdAqXz5E3DBr2JjPYgUevD2MkbtSFaiorv8T6w84Fs9HDu
m9J3SNA9NFiv2Xv2u4bpDJOUPd2/im/pavuj3B1LWzvfyZ3TkSesT8vsFHhPykawH7xt8WyctIIA
cRWQxlga5AgIjVcAHJZQ19CPXW+Pa9HZtNvn/C2tqbYKbGq2wI0JXeMI3+c01CiA5IW5NrRoQEaw
TCCekL3zNk6xfuqJAkzc7PO9t+W79ftz/0NTCAm2tr4dN+YjBi626JZdk+pD78lqq0P4J4E0B0oy
RB5Uhen6jRVNJ0MhboXVFdGHQa1NdESryx1xniqSOKUd20D66rDj+EdHO+xx2sb2ZysBBmpdkc1W
OdDp4Ri6IpEeq+cAFvCEwBf30R2PG/xjtyfFAKYhc9Xht9g+BffX+vtRQ2cQNfFRcEKgL4GdvU0r
F+jsGf5XcnYpcbFr6YeAYv+75+RvPSCuEzTnqqS3w8KxEue4/kGTD3V1l++OLcVJAShhoCS8CrEf
5VSsrHtJ2iWktePnD3i5EZK/9/YAjy0O7xgUJWpB3sW1TOr1ZLjbVbLNyaP17mck+Azt8cVzn417
rKwunlvUXLc5Ro5tKJpIBgf5+jVRVtuNkNmeD6kMnJZmBxS8V1R7f40p0GOVxxn2Z9vadU3JOiFg
7W9kQoXNMWnIeFfvEqeKCVlvnBIg8ZaNmWnfke8FxDvxXUHWI/XAm0/YKuCRkmb3/P6S3p1Td3gI
DtGrnQ3utBahDG1y2Oo4/22DtuRmNQAZqYaqqBjyZc2nHkSGIIRehx5cxYXqD+RXeJwbMhK7SYl5
p7szDLy1wVVtQ/R9c9wRlz4TU0lTrVSJanWAj5RSKu3C08kNgaffuugdus83BSJn5d6CGc0OnBfE
19kY5351dibq0tMgEjMTtMuR/DpZQDEIqUeQpVzfZvJCcw8mEC6YPDvEC6chir6BcXChO73YoXMA
6o1yLF+gLBrW+Rr8Gtf37No1OeYN5ptNMukV7rQoyI+f0jkiO8mFAvCOtRD/4VgKVqoosqIDou76
WHLRBXLn+f3JIqj2Z6ILC4lR+vweve4R8LDKey6C3EIFYD7bH5oMK+MyalPfBE0gu2cB3CB2u4Tu
Z885Gy9EuT7a7evnfYv5yYOSy1FXIEKxHzm/8nv65zr2YS468Gupwjq3OQC3SOxoRw3A/T3JOWRk
Hh0mFgcEWS7UCei8uABUI+RwJ9Bfh5PvwNWRNZYtnXeOSJ7Oax6+4oKEXeSD9K9a24Xi+HFdSun8
ekExi/d64UXC7ACUYQ5FL8zPl/Ouc93APkXoI8nIjxMCEPeRrJ2NttqeA0IBFf8+0q1v89plvnrA
GQt0dT4mGPdUOSmbAed7se3D4/vd3bokPxFaurucpA6aKP+PtOvqjVxnsn/oE0AlSnpV6Ny222ls
vwgTbCUqZ/36PfLdXXfT2ibm7hhz7wADTIlksVjh1KnVCnqeO/tu77sYNQX+t8B2JxRHnY/1aXC8
B2+n7R/wNNh3kXv/gcd6u3vfvN8QvFA/VPt4DOGCbUzvukZ/dpJe+W6+DidZXQ3CBnjB8urWd4/b
o9vjU99W+qZG2IBmtXSl2gdMMMxvRRV8wW36jAfOVCKeZAyjntM+qeOJ1E37Xoq7uFCf4eDZP077
MBvKOZhwHwP7uJ13eu14vx4BiQltuGmZ27runwix4Iiczuyt6a4D14raCJ0Eud1PGv9rm3xpg/6j
FpRJiYKPwdwFd/ty/yM4aduX9dHdlo5519jeZu3YD/g/OmcAK6Cehw901psHDNkETcZGpK2Cy8hX
oKTQMGk3HzoYFUVP8bwWfq0W0v8qhqWiZeLbUxKOQdqkGJqLgKWS4Qb1L+YGbaKSW+9Fp7xkzc5l
cfZYD4ErA6VdB6sZed3mt28/zGd5/YosORcYVf21Is42j36UJgPVwfDkHJP7X6nDfqKbQcgAv0AB
gNfwTA5nmy1m1rmlQ46BgK/33tRfFUaCgO02A3G5BEg+ppza3tNHtbq+QNEucinQto5R4WWfu0i8
4M3A2/Ng9LYIFCcSY176GGFsjVNUYHku8201tf3fKZSC4QZeX85ipgeNOpghqlifU/4uBemhkeT+
YMJHO8po3sJ7UG0kRJwhwEEVoojUDVb9xtiy95lhoRRc9qWKwrl07q7LhVqMUTlLb+/v623m/bm+
vMWU67kATulHVldyrUKAnK7S0c0NT/Gd12BLas96Hn0XRycaXPR/yAQ/pKEYMmadc2dHJj+RRguX
+miBnojuYiTGG2/ynOzpX63uSxL3jkqY1tqqMVbn+s/x5NYugtfEbTcEByYJMpOLKaC51++/l8U/
fqAQz6ouwrIKV7d7zJyUbX9L0KkECn8DrES2YHFLj9K5vMvK1X8SbZiCVMbi2Ou00W/WjoJCbLgL
Hq7LWQrFYEm+1sWHYn5Y+1qEcAiJlHyjuWq3krxiDyiFsk8xoIsdffgViOt3MWro9KY0bJFRWXLv
L76Buwchpr/U4XyQIxJGiddszIPsPZS//t+byt0HP5YkdKfjEEfM0EH/CEbprJ7Mm3/RyT+b569N
5Z6BWFFKqxs/FzSz2KUgWuhXmK61Fq5ovk3fn9AvSdxDEFFTG9mAFc3zQi1QZ3VoT0f33M3cPefD
V4qRp4jQUCmULFJQ7inIiFRZljzf8xWoK++oK60DSJTvrivo8lPwtUDOnMRamElhgNAvRc9Ismbg
XP4ZCdFEyqxi1/aRsyWtaloYuYQT0049MqqY+euAQBgFxgKOreX4qwhUo+sO1nPHjtI2uK03Ijyf
4Ch54AWT6lTxNbyto1M/tS04Y2hQuDT0Ov/jr/cU/LZUUxQ4XiC55Y4u7ceiyiUstlu91CAJq9B5
8CB6W5fzH2dSuJOjrTVNAaaBPz5bdugkgz2AsTWwa1cBSIZ50Sp4GH8JpS4c5MXauIPUUqZqqQa1
7FafPiViVdlDLnK1E07eWDiwM1Hfen1qX4mCcr57qU3QG6t7ivsgguCqIiHcOyBTWgYBSB7RXGHt
s9cMebJmo3nlybqfTsycW5iBd3MKOCr55qM6KZsDrHdm756QI3VdtKC6YK9xycYSguyXvNCLDeDf
jjwds2w+Yew1MZ3SsYDl+eUf7t6L/Y8CCECbbkZb2o4+qmjXVXjpzdBlgEEtDc0zGP/Oyc50EiRx
DLswOugF9A+Hn4XQPfzscOeswoUQ7mFK+7gHHhRCSi+9sW602/Yp2NFtuda96JSgp3d+E28yb7Mf
kAr/aAHI+shOElLo9ohGC1HyYim8uPge7v2yEn0oawPfU62Oikc0ez143U0DgJaovVy4v9wTlkpG
0dIaolx/rsMk4EB+erBeRRHTgnm/WBH3fhHgbZkeQszxV7C7M6EyvU2967qyeIXOVIUzd0pbklIb
IaO48w+Vp61OiOEFrrxoHZyxS6gcB6RB9vUY30Xeb2ldIQT7N2/uxW5xxg1tPEpcEayk9Gov91oP
IGw876l4oPKSG38uige0s0AedDy8/SN6lG1jr+4DlNxu8lXzVBxF61pKelwI44ycNQELrUnYPflW
fiEwJMetgeqn7K7QbPim7cZjsGMuhT1xX9utk/3UN7kjOQdP1WyYNt92yu0uPKqoQ6EI5vmrm92m
e72uRUvpr4uP5C1O2CkFm3fEHNCs8CNSUfxCr7PRr/JuE9J1q9q56kbVGpzxsXwbjfakO+HkVMRh
qefHKB4BOD8WXhy68bSrilNdrknxIPjM+TOu2CyDs1kxdpI2DcoOxPF3+o9gP3xWPtce2YMgeBPb
Djbo158ShCjR6lkgfPmqUUNFk4WG6TXcQQ6Ujnoe4iBHp//5glplbzcomGdutOuPzER9b3KKyfai
R+0WL1eLv03sfm+5hSv4klnSt23ADFgKN8dUvo3LJIqkBhImS8IxjjskymWUwVG9fS+3d8MmQivT
K2pvD7Gt7dEF54qampYt9Vfxh3CWOlMr3wo7hFVq6yTvGDyabnFJHwSrXLQ6Z1I4Ix0kBZWzANtN
nOqP5CSvyMqLeHGXX4IzIZyJZqCEUswYQuBJPFM06USIBvtHYp+uH9lCNuS8XsazWbekJJVWQA44
h++VBxUR4Oa6hGWjdrYUzkpPVWqmzayeeNS62/dXtsldgW8t3C7ORqs6WnurDDJGTM6QN8W+29V/
nHgtmoOweNW+1vL5HWdZ6yDsUDP71DBo97CV7umqQ47q+o4tGz3dUDWKBJmGHC2u2ZmUSCNR1hZJ
j7QpuEX8Zytx1D2wInCrzRXbOK9zPKYAnaUhS6A/V+s/AhVfdjLPvoDTcS1kQTOpYf/4MmQ2qASD
Xbe3gFyY2+pim+yzo3kDHkpMXs7Wwmhi0ZieCed0f7RUTRoSCB9aNGlvM9s/eHbneQKjvQRrBf7Z
oLqGwaeWpXGLjOKwVUO96nHHNCAVughnCjINZ8gwi+0YbbRdaeuT2/xoY7t+xBTBfVHCbJEYZJH0
R/KA/24KEWps0bqcfRS3eJR6jImyDn4TZjaxxNEen0D4X/+4rmLLF8aUVTS4yJoqf86iOVMxzJrJ
IoYBIo/jbkIl6dV5EhYa5u379hiYeAYIoeg24Eed+xiKMIT+MK8ke6Fve+3Ebul2uB9SO8Os3reT
CEi7lE/Q0RKv4jiRB9IM7kBz9K/rks/6x+gjeZ7nzs6Z5cg5rH78vkEVJ7CNo3yagLt5CNdFbAu2
dH7j+fWCVBR1CFOhuqpyHu+Yk3yISdrDlI7or6geEw+clQeC4a3D+kHUqSzPRuCaOM6sRrlcRGZS
9qCbwWyI8mY1gMLfB/rKkda6iA7ts9b3TZqCuQq6YeC68Nw9QVb1ZWZCXyp3WMWPTeoEhkMhjW08
5/D6OsEZzF8JOqL/CLZ1SY2UM8mcd9P4k59HXd3/Q4sPRNVhzmxgBO4fZaXYJTJ8gidx6QaeC+Rc
zmBU/VxqsdTQt4/qgdk6s8mqERn5JSsHVbVUw5i1hnLq0iXTxCoQiAPNZtoqxgGWmVNrp7TADGPy
czBXVLIctNo5Frie8hufvabSZjR+xqFid8UulwFvzLrOpvlGDtHMTwQfuNDrpwNi/fWBnILVSh6p
xXybcJWMVbIL7OD47oMy4zVwyIaVYtrPJWfkXCL3itM461QzwM6rYL4rd6yGVa7VGYUo+S+Ubm+m
o4WCUOh08PHBRyFktV3yXxXYRGJRaunU4D4gjCTVGGN8gA6+ysO9haaCwbmRhHncZUv1Jcic87xn
5tfsq3FqZh17BrM7mqJeElvzrFX2IIO7fKdBE9ybn8q+cNrMjnfWXXMU5biWqnA43v9dKx81qJ3S
JaTEJ+xnPvNu27+Xx+JHtp/W6fYnukgx3n7jxd4mXvs3okTSkhulaJSiu1I2lG+EuBPzFcaKESF1
OWfNgPUT4lkWmsOhvmcyuLPUTAYMXg4Zx+YuS5w5l7KD47J+Ql7SBoRGckUpj+Ub8yWSL1f5cln0
Yz/1KETr+xRR2AyW9e5A2B4eJVfelr+Ehb/FR+dMJGcdfT8pRj/GI+vOY83qEyZ2g3MMrcbQGjEZ
zKI0XcWQVJ1qlmZye0om1mFKiYYnfbuKiJO5oD+it/2heYt3oyC5sxjNIVf+P8L4J8dvU/Cn1BD2
bCDXgtqwjPFNCoiJmMgTXMyan4vidpFGLAFXrdI/+uvmDwikwhvF2Nb5Cj+lF6IcNzzp6wlpx74V
VFqWSpyYnvu1Su61sVo20j6F6GZl2Lex4jWNDZwEOzXAZAAVLnKSFj2/c4HzGZ+ZnjQr0wTzSuYc
UywjxQgDB5o1WwJ08d+83DqdB/qppqFQzpVNEJONqaXPDiCoTACnmmOIwfmtuJvQE+MKFgNNOAqa
ghgMv3VOO9WEShIYaGBVBhVAYLOVuskmVTLd0hQzkO2uza3GLVIDJKSdX0al3bBKrjAI0Wyp57dK
86FKhvz7+jaos9hvrhNabs15SrKlfEL+zjacTImUy30yPDKEbJojty+jsmOqPbS9bYX5ygSnDHsj
IGCV0Vlj3sfT7zaxS/XEUCJiL/pPiwHTrpe/mHxSMlsZfyB159XVMVc/UqV0GGCZyq+ksBMCYLid
ZA6t1mO9BVWDQQUV+UXDDYIceNnghLL4teR6TIxejYdHjByM6Xv3kOWgJf2ZPKhP13dt+TC/JPGF
udKQg0pRICneWqD/RidG8GscdglmYeH03qJwHSOr1W8FYhcKrDqqc/+zwM92xLPDmr21AORkA1od
ZWDsUKdTnV0jzPQveTrz2GRANSzMZzU43yoe1IlIqCE/RhhkOt3Ud6Jc2Ge0wWvduQTuMpiqlCdo
nxkejRx4Vcm36eiNXpWhHSTaTYfBsrttdltojv6ihFsWrv0CfS0YzhLZ7bABPVvtKKpLVIwW7Y8E
+bQY2jo5Y7E1g7W0wxDIjt4w022LjSUMpZZ8Y9hElaiaDESVzhtFtSdJWuAhrdz049hJDt0WmLfi
OcV7dxS7fUtafS6OM4lTpvWVpPWzDZ4jt+NjBkoww/sx10VM7+MBSVNhkmNJA85lcjme0deHGkj1
HnPTkUe8BRtYjvkudJuCvOOQuLkL32+jiyh5Fh3Pc7FciJwVbRpNE8Tm4LIGH8QtKBRgimyth3ev
ubNnRDY9AI3lPt9XbnzMPVQ5BemlJYs4J12AAaMGxodzupnrrZ+aNZnhBb+Ya3iT85OtRf0Wizms
Myl8ri6LEcQFpdrjKpf2r1vJRgnFwai+xm4ekkO8N0pRi8WiA3gukvMj8kZhoIjCwkZPe58e3dWb
2x00N7jr1tom+R16Amu15I+dy+PuySBlBEhOyDsWmK8UFc77dJNg0DcKMnN89keU/lyKxXUwOcky
LibBYO5L36GRkiIdO7hkWuczNzQQoQ5RwxxpAn3j9bUt68iXKC487kefKHJrIuW9Vl9q3S4N10CT
lgQyX2U1aQJpi8+NDopDzQB5tAkIzeXKgoZGfqhhZS5c2/o+3/kunpd7uo+F+MDlTfwSxdn+thsl
uY/hFo2Ytjlsx9L2XaALUELLPLd+kLYADYgUZSmwPV8ed+NIOQ0RAM5zYEuc9ibwfrfuBOhEJizf
a7MO8A/PmSg+CKrKvlYlFaJYCr1oHFkLXUYdGTisaZe0bpExj/0Z0mOeR07buo3XTy+xOdk9OMiy
naodrd7tfWQId1G91YMAquxU7cpvHeuttR5Zvvep17HfTfhSF0cr/DOBwCTbjMkqBMdY4OWIvCpf
P/TaLalv4mHjM8E408XYEkhLQzYsXVPBEnSpLUgcmyYDC/Pjy/6NUCcHotNzTpb7UaB9zhWClD69
Dn5Pz+Vxx+cTNa871R/AzT0CBWmBe+QZpT13e7+9N5w778erMdqO7rDNrlmDnwSjk4Nb9CL8uX4n
P52ub98B7AdgdoqqGxr3HXmCcbeZ2Y+PLy/IWUwgUAWv37QBVGFA24h9sL2fMdAE3fqhcIr1ByaL
oxa5P13/Ck7BDIItR371cyou3FA+rzwpVlZ3gxEftPihIa6qvsXRLn66LoQzP5wQlfAJGmLQsJBM
JBuDn1J1VMfRVqgXD+9y0G8ktPWyQcSfwGd0/5FJVfDXI4aZYbycVvlZWPWqHx/a4bHX7yS1cq2q
AkezuVInsNrpZLDDyig8PVcNJMAcxHJeYWb1DjGNwGIsbrJBDAutigS2fjZiZ36wL8Vy0tT4ligF
kfkUHfM0dga/cRJTCES4NBj/LPtMFPeoIA3UJm1igVOAhOuaVHYty+vrpznv3Jne/iMClQ6Qg2I+
AIKwy9WMVhH2FMMID2p9VELTpWlql3RyWBTbEn3+F8IsGZtmqiq8HO1SmGW2ndQUEFbV4fNAd41W
rcAGvJaSrVkg5rsubT6Ib0tDKkajM0pa5yFZKEN0TWJBmpSefCNxqmzHJtW5LmT+5O9CzLmmb2JZ
FufXVH1RY7pLlBzSRnrTY2O8I0YaCkZdL6kcTgqUNYaCKVm8cxGGUaknapEcMLLbjtOjoZPG7gLA
QrNWIGpp09B9QJCTMCggE9xNq63JL+K4Sg4AJGP021v+4/p+Lenb+b/PvQ+9nhZS3JfJwZBdMqnr
jIWuycZdQXKvZ/HqurTl1ZgmIklFw6q407FK1ulZC1s1EGqnGBysxpbTZcLsOBcbf94itBb8rxzu
FmVkDKRE1uIDY4ckr+2QoJe+/lEGQOn66Uo2Uegq3mtkIq6vb1ExZu5pVGp1ihzK5YXqGEsLAAji
Q4aqfg8myvJHmP5hUyxwApe03PiSwwcMVSfljR7AEGXpbRXd1iJ3ffGcVAtjrzHfGdOv53We2VQz
CQy/juLkUMrHIqnQcL8LLUmwiEXVOxPCqXYX5kmklLiqCRrpkz+hxR7khNZ2i5i9IQJH6HNmJ28Y
jDNpnKL7adb3YOiCrRtXmYQ+f722k8CRX4t6TXPlME7mLSMPlE1O0J/CBuX1utwWljeFihsFb2l1
StstphBYslOze4IZBcRo7KHU76/r0NJ7jnBT0U2gVnVictsSZbJPaw17nzHHkt4UKnl680fqMdBJ
2tbqU5AIvJTFwz4TyO2M2ddaRNsE1qyCe28VbtwkdjYKZqosnvaZFO5qGKFpDBGBlKZ9z4LMk5IN
sR712GVFL1Csxduhoy4GNliK1kEuSaKGY4SxIzDPneH/tpJNVw+/r5/R8pZ9SZi/4Ox+xP4gN2ZZ
J4e+QNahSmNX9YEvbvTIuy5o0aBQ1DCoYmoEnuyloDCtMR1aaZKDFb/5mPeR9Lse4UUsuB18mPCP
wTyTw114kkd9oEt4ZlK2G7reybr9EO3NvlwXVeeNzPHZr1BB20HmjMPe6oujEQenpqg32Qjkfl4L
NnhRW86+h7sEVQn0REOxwYNrhPGm140HdJvbZdmugyYKBGZ78Tgp0B/oeDAwm4t7LjAW3adSl+PK
Wcwuyl2FbHxfCC7AfI2+GSDQIugaMeAC8RWpTC2sfhqm5KAb/QvY9k9qVK/y+EBzty0pxpdHosI9
nyr4PFVMNTMs/BBALrmbPSWAntAOIgNTdXpp06U7v3yRMNtTL/c0z120TDsmWKtahxqvf6+5cMPm
MRYmRfqdu+95b42pxDLIlu6kqdtaeeMNDEwppBVUb5buyJekbwEQ1aRaqghOT57KHdqBVmZ16i39
DpGLQE9Ekjj3xRzjxqAUkizW7FVrvAX27CilrUOiZBA4sks6eb4qTietJEmjUGLJIZrA4y+9Vebd
kP38F2ekgjdbN8BipvLcdcgthXma4pY1/VrTwn1QH5McZZqpFlhkHif4jyaeSeJMsl5JUkBQxj8M
o+loEXL6aDa1fFeqUleu6Z+gH49sqNZWmt6NseKkRnYyWH4XxpMnT2RT/6xb9pTE3SoI5NGWjXXS
v4b9tBlJbdmYo70NpWayZVNBCEhEbt3yRQK/CCBFBHSnOmce+yxgaRvh87N+eorBs9RG62r8LZuh
Y+pOLSX7Vtdu9NTch0FjE1kV2OdFxTNUXTZmhwxDJS+fgTZvix5VLlym1E/WcmzSbZen6rM6yeVN
JRWF4NlZVD4DwBJEhUS3rPnvz943oKaHWNE1KB+ra1cjLV01WdrAKJbK5roO8lXef1QD7NKo9FJE
bQan6B0dVTWWICv37zqpWE+GmTs5Kx4MauyIOT4BZ+NRHxN40lpQ0l5yFMwz0ZxWNmEzFGMpJwcm
W7lj6J3hDEDxr6+vcHEz56oyUtGKjPry5WYqUxjD19Nh+AHKxE1umyNB0/p1IUsagoyBih997kXk
NHTyCfyR3Id7mzVbDIDdhkm1SdoWtGmyISitLm2bJZuyqcuEUnD8XC4oT9S6NDIJgbySPBiD6Sh5
LSqsLW3auQxOA5VGymjYz+sJaicajs2UuUKfdHHTZtfKNDQCgBEnxCxTJdWZBavUDCsWvBWF5IRR
u4pj0cuxuGVnkrjjGS0che6bkKR+mFlmk+7j+vkv7teZAE7JilLzkzDAfkVkjXScnQD0InRhRPvF
+RNtaMS+YWAVjXRUGZJE1XHEIDOSrf7FYlDeAIgTnb3AI1wqmN7nTUMKLMaqTnnK7Gp8muLn6zIW
T+RMBuef+IGZjCyEEmfSU1dHDozBv7mSwGwDoUcB8/1EW5wZ0a4GZsNME3Yok9yr6mbdqKcyabyA
iqIEvpo321DEOipq/pZGMOltPrgzUUDnB2VmtTAxddTbSgiHDgCT3pX1zpLtVgmSfRf4GMvJKkDx
/eZFHf1jy+Jqr3dJ5OZESj1DRzHClOjH9X1eUMyLT+MU05CGIR5rRPmgJXb6YdcwavemIIRd3gAd
8wHmrB+B/bvcACnAvNuhleIDkZHKz7VNHDz1EqApgZ37zxWYCYadZGCOZwAICkV+YR/3BLPEJ8GZ
L62WItUPoKAio7me8xAjQ+6IkSPLYFTSqpE8CygQNX/6+y09F8K9mGMWmFrcQciI1Fakjh7Q1XZj
EMHLPCsNF7BoqF6gqwO06wbci8s9ZeEQmQZNYeZj8ANkwKiD1xSqrILX7fqCliRhNhwKJRq6zzD2
7lKSn+p1RSVIwnd4pRS6YVusZGOvo73+uqT5m/k1YQQd4iHVxFQB3rKgZUFtpAbxNDLikas02g6s
uphcJNWvSIblThcVgXdd5JJKnIvkDA0meKaNLiMbMeYYKemP90yL3SCW3etiFveQKkBogwmPqLwb
lVRykE3yiNPqld7uurDdlOg7bG91nWl/H5sgrEO5BWUKBUmJ+VvOzI0/9mYZxLDP2vjUbJj+KKpp
LRhnnchwQNEqqCFO4wTIWcdavQnYgYUUvDuAqzmDVYni44WTuZDCKThhRUlkNJfAZ1oN7YxHa51m
ELX+LkrBqahoL0G7BV8s0MuqlOUpZgdfRlpxui+ro9mUAk92fhE5vcYQny8h3FIUFmI0UZDircmN
3pv65IH0le6GcQNWYC1nXiO1JtpKY0EEubw45LoxOUuRMQjmUhNQXm6nzkKWnchD5JISbcdN37tG
+/cBENb3JYezEEyygoh22ESMENpY2XMIaiIrHxyjExi9BQMBQSayJRSwTIVytxU4Xm2KqoodqCpv
fNCNu4p2ozBl00mybI9JuL1+bRc3EEAOjcwddMiWXG6garVVaFQZOzSpskJg7ErtR80MgXos5fd0
QNRgrymZWTk5j4oV4aSA7Ykd+iGAEUdHRsOYZyTkGMoYD9b6N735q4+Nl6DxnWbahbRbJTGzk0dL
9qS6eDIz0coXDNbFJ3Er161Q95E/YYeh8jqEREm2md+xro0E4crikX6tXZ+LRWfWSs4xtmDsanbo
/KfB1zZy3SPdlTtg0cVoaoH+LKUKdKIDVqIgVEdowZmuUKkbbG3BDvkoNc9tyuJt2ctoBJE1xZHS
NDuZhdneZ2rQeVOcxK4pY0Jfr8Wnssusl3+hXRQ8rJpqaagXcdeGpjLL4wnapejKo0RKPEAGcbNE
BJPjYemzA4pg0ADnK/6EN4E7THNSmgnjV2HkJga+t8FpYXgwHcbWilOl+CsS12tfa9edpjo+WWvJ
R4oicPKQsNMQCpR96UqdfQuPx1WnLmGDAsWKa0R1gCWEQw6ojcDlXNKqcymcp6ejAp2PGc6ZJD8k
DLzT7E5bq/qrqGq+hLU439rP3tAz9c2HNERuvkQh024xwKxavxe1Myq2yjAz2ijs1nc/fIFZX7qb
54vjzLqm1il44WAuSIHRaagCpHHtlOkTCpwCh2zxvgDuMIMCYHYxke3ydjYxtQKJ4LS68mTUQOnM
BmnSd3K8VWo3lB4kw0swW7d7uH41lvJOCBi+BHNedKH2eE+jHvs6+Cup2/WtN6FBcVjR5rMgSJDm
60omcNMWlfNMKrezRVuxIDRbmIeY2lJX2+iLEcdDi1J0pHWRqZPBc8dtalCnY91N0Bk25W5Qm7bV
P0n96foOLt4AFLqBcSIIO/kWtK6upIomuPOt/Baq1Rqt34hHpkKyByaaucG32HwaGB0JWLgYFPVo
/haARyrFYJ8sPZha6zWKvAVKZhNMq4Y+WGTr950XlJ5evsXNvzgwSuDeaAoYSIHCuNTPCP57YER1
evCLmz5A6a03bSYSsrSVswQDoIEZUMIJ0Ss5pbVhpYfKoH/anjzWRbcaUuWxmMcyRCKXdH7tL7xF
GGqgt8B8MdN0o4Xwck3jgEyzFAdAjjMHJUuJyKsQ/m8t7wNVWwf1INjDJXlYGh4ZoqD4xcd3IFVg
aPwa+r3SWvnvDAQIDkxeAFhuGK+6DH0jcJ03eVxPznUV/a42WKlhYo3gj0XenE+LkpL6Q0X6ft+0
NL5L9TC5HxL6I9Ima5MlyS1Ryz9tQ5QDprJ1h5DqdGupmSIwct+OF18B24bWqfm6IKa+3O8+q8e2
kcJhn4IExpTfsgzdC1a5too9QaH/+pq/2W7EzwA+6QilTTz5FvfmV52eFEFi4HCHG7WLvUTTjwDE
bKKMCgpv3199XMsZGg+YGoLOb3k6lgVhgrk0w7550UDgImECQ/QUPCVH7S6+kXYVBlvUv8b7v14f
hCJjixwLMsTfnndpGtIKPN37EXi/sUfXsZl4ipTYaShCqCxsJYIADXO2UXrH8fH3ZKrNNk+bcT8k
4IhBm28T2oV8zJLn60uaj4S7jzqmUKnUAmnvDPu71A8jzak8xu24V+IfQfkSi7AXS9dAB24RKQ/k
VMk362mhtJaqiTnu8ypaScZzLGNKSZE4cZ4dTJa5YQYvvzCcSXnpqbn++9VZ+AUHFBkeBPWXq1NJ
O7E8soY9gn3FacDp7KSsHAR3bOGs0FCHBCCSnchJ8K5uM8hRlTQAJ9RE92hDTlVEjnldgYIVqavr
K1qwZxhshbwYVAPEFHy7oKJM2VTWAbaTFp3bdLR0u6Kv3CxX0l+REZFDjuPYwIki3nXJ3x52g8xJ
cQQWgM+BI2L+sjNnMJzQqDim+rAvWGeHaMGGOpZUEGwvCjFQRSJAhWIECPcaETRkyUwJxz1JMPmi
1B0IUZS/dTHnlViARuNJgAPBR6Sj3BA1aaNx37L3JAErKYITq3dE/QQLphdJMVTdtE8UAp9JypVA
q0DwNu4Z/W1IKx1VMcZ2moVRSZ0IRjIrMneNcbXmMEszKGAk876eHY6uSo0fNdG0R2FhnRbBYzel
u1H9iIniKIojV08tHQRO2NJZAd8OdBBMMBxWTiGGPpNKfApMMOjPfO2UmcxFrkSg8Eu7CHMLQg0U
yXSNv8IWMEdhHhnjvgBAJgEBcK2+s7G4aQtj37PMu67kC+ZwLisSUzdNZIN5brmcaFWVVNO0z6K2
ejdT1oI7gk3m3z8k1ACodgY+gDyCHxpQD4zmsaaP+yisNbegFmwGOv1uuwTWPpcb5e36spasBkhm
LPxGhQAlgkv1UButt3xDnfZylm5IsVdD6XeHodRGsqrLaVXrkcD7WdBH+AJzVo4ARqgS7vmq49Yy
Ei0k+0lvvFBG104CCJX6TOt1qngDeujSRCBywQpDpAFMOUgpYKI4kU0b11IaQ2RYhqvGSj0J0zPK
d7UU7OWCQqKlZR4JS2Q4ApS7auNkIIlFW7L3a7mw/THW3vLcCFcFDc21xDR2C6Lxcv3XBziXQQBb
BnUdUtPcMz1SPaozQ5n20XAya/T5sH0iY8qKryNsDNHLsrkub2kzz+VxClMgBtf0DAqjRxj8Mfle
sxYOM1zayHMZyqVSjiMzKz/Xpn2nbw126hvQRCtryo5FwwTbt2CqgIKY6ztAZhtIjV2KynTdyPIx
HffAUa2lGqjitPOq3hfMYV3YNYRQsIYz7A3SuF1rhrLJRq0Y9+Mgx3bkV6eBeHHb7ZtCVNtcEmXK
GkG+D8YKuKDLFaVJUkVZmuENK5ykSZ4kDSPe9VpxTT0QePVLm3cuirtYuTEqaitDFNPv5US28bL4
k8AgLugC8Hoow81sJAAocjLQ3ExIEw/jnrbo8NVutd9tBzyEYReifOGChYdpR8EAhgLt+RqndSlW
EOoJTK8PDiEJCFNler9+d76ndxAywjmjyHnPtSr+skpNqMiDJmMxQXHKozs/2JjNY0G2VY8BHyWm
RGGYHXm8LnXplNAUBdsHvYPB5Vxd6OSUpqGCJ0WXwGwcTRtVTSI7CNq/f/YxGx1lCpwXqGn4uxSr
MWiHDawO6hD4pRtXiOSt2Lu+nOVN1CFiDl4hh7uyJgX7D5VwTkUeu6P0kfg/+1V0iymV2066GUUo
mYUXEiUX+LfQjPlV5sQ1ARJyhsSmPRAObkAAVk1t8GSsY2VXjeMuVCXBAhcuMAQiajAJeq6AA7q8
wD7Jp5DVxbTXBh1g3Dx/ikIAJnxgLFbFpPwWbOcc53MOogWEG2gUME0Ep8eJs5QgNNqhnvZlqfU7
1egTe0DV0DGS/yLtS3sjRYJtfxESJJDAV6CqqMIuG7vtXr4gd7ebfYdk+fX34HvfTFUaVarnjVoj
tUZTQWZGRsZ2ToyjVwMyZc9a2thJG5t+lkyqp4Je8YEaoL+zk9nqfQw1FVE4blxFlN7hBKHtWUO6
kLuKRFmkmfQ9nK0hluGjWqnDmrq1by9942JACjRopZNH4Zh7OpE+LqOoGRZ/PMnB/DsU/PyGp2PB
hQOfq442eUD1r8+xl81Ik6sRrlVoHNoQuKInM/+VG9kR8FwZOI8+O6pTJbjtG/YSs4nggYBnDtEM
X7tbmdcSaszYOjrZIaamsvmpKPEUdIs7LD9v7+BWDH8pjS9jje1AtKJk0NWT8a15nRLMozExqtIc
nOpIRNI2dxQ5HfyBkYElvd7RcGqgwx12tDV6vyayBwSh14T0yzz8yvMHPXwBqule7VxjcZvab+Qd
GdO7poDTFzmF/lTIsewlqmjyz9aFRerSQC8l3g1Yv+vPihe6AFELPVLVJ43cpyMYepdzWoiWvy7v
+qaCNACAC7xPMrpgeVqPCOOd0QALS0THF816NlCzb/L7qv2jK/1rmmiOaT2E9CRhAOjtY/687xCM
cp2G9VEkDTlNjoplyAy9wSl3PzEkxI7g3prMofp7+yPW7bgTNY5uCUTRboVIKwQ57vXmXgSts0yn
PGtaOJlyeYaNRAF2wAnWdwMoC5vxmNbK6Ob6LAgUPhsE9I6srWpQLgpwI2cQRmsZS6OHKaT5V0k9
9NbzkgjM7efXZG1Pga2VDcSsn6CT7ZADXxZDRFXu5hlTXUfV1qxXzI5C+2W1D/+6zxcTwtZSK8CN
SHJhXtj1Tg5G3km6BnMg54R4lYbKLyKY+AfYLwUJms/l/A9RFuhlATJEcpLz1Pp50SY8JYtf/yqb
8lBIgzto3V3bT3bfxO7IEFJGJQBWsT9157FvgmK5o1ruVEOEYbgDppfkiuBEtxQJCmvivqAJD/9c
Lz9DMkmJQYXjK8V3YE7seT+gJkq8LrrrkWj8a38YcS2uKLrQ17YXPmW6RI1JUyovflidR+kPAIqD
qKnw88t4LYJbEMovbZhpCjZ5/MqWn+rfx0MAAwGVgxIkkH6YcHe9YX1BadmssTI60PdgacXVi4dX
yUj+FngEZUGlE0YTKUtA5AknZwAkO4sSxOTobgYPPfpMjnV7ng4RDW4br88P4rWk1f+5sCWLCRIK
tYEkEhNQtg17y8KgYFP15yh2Q0ugcFv3+3Jd3FugIXuozAzSUun0TnonUh193tXS4faitiwVGsyA
Vl5pxFACvF5UO+uF3purGpSpG+a1W6P8N2FmyW0xnwvh6zEBioO8yVpR0TiLONV6Cx8G2QUJJgPj
x0cV80LiubSnuHHH+Hdptc/KVD+MWXRQJbtLLMHTwxP8IdN2/QWcwuPuliHcGTwFfbqX4u5utZpW
ZJ1AWIIoJpf71zyp90noknyX9c4ki1pON/daVTBzWkPrlcJHoOHQaSPrsQdyfTbRa1Dpd1L/t4j6
dZUaGj3XXC3e2NWOXSipLrG87hkyHnR8K5cnYJ6ECfQty4FzRDcD9AVVF+4ejHLZ93gn4KW4zGtf
bivKZxcI33/x45zaFxrposXEj/fSKaue6vh+ocBr7m5L2bzKaElDig0+EBIC17tEIpQr6ySEb9t6
YeXokj+ChbF1hnF/W9DWs4H4FWe+4nXRknstSJ6NUOlrCEJd516Kl4c8zN6B7X9ViReCJp8gureN
SpA/3FI0pDlwrWFB1nrRtdRUylkG5jbwpGedk7b3Enko0R//H5Z2IYTbQ11O0UcDHkJ/YtZrHQ27
amJ7UBM4tUkcMyO71jD2RZUJDNaWXUQct1Yu0XOK1V2vLZk7JOvHBva+/UKNR9oMtqo9YGfTFPFC
+/X2Ird2ErAtlFdQ2kPZmTMaBOS4UFZIs/rpWydFvjR1d4WUHm+L2dL6SzHcokor7psmrmU/KXc6
c4rUT0vks19vS9lSRjQKfKAo8FbyNjiyMhUV5xajULxcOZMGVIR7tgsltzxEIoK7zY1bw1VURtH3
zne0zI1Gm5Hg+dIJcsdxtFPSrxael9sr2tw3i8LD/yAi4jtLrKFsOkAjZN9MvBkoLaY+GKi0sUyQ
dd1aDehqQMKDdJEFmOS10rWhGqVtx+DMwEhgKJ+tYMOU9Offr+ZSCqdsbakWzRCPsj8GQ/euGN+k
+UD+GreDBwKeNeJ6ZELBr8ldW7DE5SyvZNkH+ek8H3oMyhkOySDYsC0DCwVDXQaYPRRB1w29eIYk
nH49z6oM5Oi5xBq0AeMcIgdzIXfiyuT6yVw4C8YdtBetFNYo0HCuZjkRJLgmifnLApe5nzJwX5Xt
9Hz7dD5zbKAmQ4B3wrMBTQDt8vWa8O1ym84h85vCb4xvY7kPK7+s70zyXVJe28YNQb78rj2OGHdS
+gmoPvL5znxOpFPsVQAmZXboaD/Vwe1ywSuzkcm8/jRuu+W566wJKFK/emPH3H1aDvP+u3ynf7+9
BVs+1NUWrPfx4ljTzMLEO4yQQcPRIVruxygFJb5rWLtSPcYYpvh9zAJN9eIXoT3h2XtX9+1KNPeS
Zjh6dWQQ3VbHRD6q4UHHOJTIJspJ77wi/aphrtE3TOy253AfFk7ypZIe6z2oaloptzEvkCLbGt1l
3qLtiPXek0NL79rlPsL/XNlkH7+kT3Vkl33jddKpNAHeXuywFBisj4TDZ139V4k4XTWNkbUqBtf4
HXDvyalNX8xQscn40ivUzlBpMQw7Rb5piPfL6MTze3XfFdU+kp6S9JChgzytjub0Ta/jo+br0Tel
eSxLV9cwHabWgIhz8yVz9MEuzZdU+tONGFgEVgkRa+pHBfLWMtan5kIRaDwZVjNFo6+VjygOTrW7
qNSmkbeSzyw2c6qX+Fdht0cD/I2wl6DPzx70yqE4hcbP0SMTe4lxxtSm6Otsusw69ix2s/S1wgA0
6vcPSTAdoxPZaWB4s4YdNs3GsbQnpXgGGfijNDlkftAC0wqK9CWTzpN8wFym5+m1Uewke2BnmtkV
sSfA/sidHD5YhQu2GysWOEEbeUuoJTqb1iHaSPbwYW49m1I3IeXggzELLX9z0e1o2yzHoqkix5xK
4qdVDkJflT7kM2aSFN0A/rZpFgHNP2hfrk8E0yt0oEpRFVzhHdz9UHLWDGxMRn+BuqAH01EwQZwh
343MqrO0vW++N4Zmt2ikqBpll1t0p8pHa/6R6Zadjupu0u0ZOZbelnIQYY/ZDhxj3prszWMQt8p2
M2CU9WGgrWeumX3gZM3C7zvqyVTgvgrXwl0SMlSkqa0YfY3SaY4d45vuSbgW1QMG8WGYS2SiB3c3
TZ41uEkBqq0Y2WKUJqtjpjykD6pha5KX7BJ2qDInJC6rflf7+IQEo6EG1WDjubD1v/bgsP3oPoOz
g2ILHqPrCxHXFRtVWoz+D+34qD7+td29/nVuQxI1RlCZ49fDfsFZtPuCHHoTfeuVs1YzJOVssWXX
z8X3Qb3r6ghBUyzK3X4A3z9pGNA1BtCFUDX+/TPTFlN1hnRER8n8IMnSI/jA7GqMH6tMP5XJYtek
RfMyzFiFgsFMXLlxwjA/YBzQ02AuzzGbfyF/dx+3ZmnnrLtnTeihavMURgUO1UkU1Y2AXZT21qR4
5TLuenWvmr4xPI0l2qENjF+TBPf3swOJjUUnmLYWWNCUwz1otayyIjfL0W/TAj2QqVsVDMWOXYia
x+0z5Od84AG7FsVpSN0qWtNG7QjfgT61GOtBJ/SsVDQAK8iLqmOGVymh79twZXW+Z2P+jWUY2PTU
x+9519tgm/GYKduD+ja2J7XQHKJPB1J4gq/87EvhK9cOAzg5KIzqnJMTRszEOPJl9KM8MfazxPZl
qXRuEVHqllKf3lVSeEbPOGx+pu0GSW/cXmMYc9/Nlt3kpeIsnaTh4g3DvkFDyV4DDcVdHJUgn5jK
cpc0pg0rWSDPslCEjD3dd0Trn24v46Mx7JOuwpdGNz3MMzgjrq8jgA9g5LC60a9A+mgQkD4O4AmV
Kv2oLezQ6UfTPEzzmyY5VnzfWOnexJxGZdybynys4cmM2RtpFsHjvwrlPgrdNSjioQgCTKHBaQAQ
csq6taM/muFTaR36KlAibT90hYe21Ib58dILPMON44RI4EDX0iRcVi6wnBrgja1MhsisdZb0BPrI
/7IoTPqyKBraEFuo1ztd98Yo9Tm630s4AHF86MnZILnTsUOOmvNwqkTzSNZd+rSLFwI5DQVEstSr
CgLHaacmNhjyJ/0w6zsmurEbbztB96b1QdOAqhzfi91a0gTifmyeYnhplXrwse71cySfu1/tK8vD
faQIjMRqxz+v7V+JXAQY5mZYLBEkJqnXOdUv9JsfB1G746YQuCxosDXQ225yOjFEWmZSTMLwzTq0
i/mHFUr7pHhSY3Ycih9MVAjY1PoLcZyClFqx1FWMNeVHDDCgjvnQHTHkpDx1gob9DVsOasp/18Up
xky0uclA+u6z9IVUBbzR34Z0B5IuwZ3aiLagFxeCuGhr6HJaGCZspPqtOAzv4ffCUf9owHfanaC4
sa2CF6K49yknSw8MOUSlj+2jKtvSbtgXLt23JzwghuAqizaQs08L8q61MUHY7BRPgPGPD2CREBjm
9bQ/afjFgjhPJlVRWzDade8e4keGEQA/2dfBjU/yfjiioW34KpC33phb8riHIMNcya6CL+H3e4AD
mpfioB7kO4zZOWKmD1opbov7nCe60gy+blc2k1VpxjyixuCx4dxN0EVRk8DW23apfnzzQsKG3kpk
3N8ht5vEKbwytsvFXXxSOtCL2I596WDuZds12C7+Ibhlm0uEzqGWg0ZwgICx4ReRnzQlZSlhmqQP
NAImw8HSTwrmSApUcSPTgJ28EMPpopUWRSJJuMyRv6hu9d5X7oRMA9uzcW/FmOXcwPLHO/BbOQIX
SLRATkMNiShpuj6ZWrYz00OsH8xlFujJBrZoXR6gDivOBw4BZ4PrYojSnhGEC+VRwyhFjJXNbeqk
D21v08GujvlOZrYUaK3A4d22KCtmTF5B3CAkuT6/HuwqGfhDoKLIhjCyeMM3S8cQktI3sxGsr0Ad
1d/BmeaMWig41I+ec/4yrgQ2QDiu6BI+Rs2Xvqv7UMfz1sSBlh86+tXIMZKjvFvkB10F6Wz0s9Vs
LQUbFrlXksTVIn/oDmP7ZV4/zvouW/tI8/6eJNZY+23Q1Yiew7U3lLMSYVIxUMTmAJ4kT/X4R1p+
zOPrbdPwmcTnSsanJrGUJHGPvpvJT+906oFbb5/78Znakwe6qYA+2+NRPdyWuaXK6JAHeg0YL6RH
uRdRlkojqhUsa57eOnKeqoNmBLdFbDkTlyLWT7gwB4bKSDMAgeWHL5qzeL1tnadTLHLFtnyISymc
0uoglULwkU0wec+Gldk0lQ4LRndp9NDKx673hGRg/NSaNVzD9UBfKHQdGRUeP0HqsSjBKjH5IMvY
VV60Q3nBODf3+slyWo+dppPxmPxc9vQQPYimCa7L4e/JpWzOOhhFaerLUgJTdmCongCdd6Ivt8/t
M/B+XR+q/msHEQGxDiejQAJI0TrIaF30W3vmMTlgTOLBwLwI7UnaF3tTUBJYle3Toi4Ecn5gIWfa
1NcQOGJorIj5aHPHLn6c0/ROLUYj7QvsWDEC4t48KNPPWGJnnKDgTn10H91aB6fxUxvO4cSwDul5
3zzVX7pd9AaOpSOzzePiJafGzU702BynQ+6Rb+nZ+B6eZ797FLiGm3cbbTWgVQG9KdB61xePpKHW
kwwr1sHufc4l3VbqUvRMbXlrwNeg4QtzRmAbuVfYRD9ira5nZu2Tl/5ZO5k7EE57yV177o4D2wt0
cv25T1t7IY57etWUZlVV1kA5/uk867nHzVP3yU7xa298HL/F5/ztGflfwYO/qTsXUjnjn5VLnlBr
VUzQ9Y87tEs6RfMlE02YFIj5iCouLGUhT+VQUYhhpie1z2x5WLTzLMrMb6WZ0Jbxz5F9vP8XYkD0
DnyPUUFM4xWFax7qI21su3QxbcNVTt0zBhyBQPFR3zWOGrCTcjL///aT923mqAK12tBgP+k3eTrE
MaZbthNobAXuxOYN+KBwBQACDSfrhl+sFGhR2aq6fvKb5YAmUtSxZxEgddNmXYjg9B8TKuUuRILf
nzBbL+7OCrZSoPOrnf2s8ysR7f+ugtP5KqlZOptYRRGMGML7XcfIsPK+ZE/omnunMlCj6JgXCP2Y
/XRLKKfy1IiokvdYF7LnGF/9c7mb38xD64EFb2/cy7/g8NJfqXdSvyOckGpbRNGw0Q6G1+efjUWX
+fXZaf0wZVbX4gPmh86mp86hv7Xa7kYkc2wg398GEUH5bW1BRuxa4ty1TE5q7DMoIUzpkCS7rhe8
cNvmC6qoYCIVOIm4oywiiWqtDvNlAtFBX4vouXkE17AtrOFvOvG4xf9I4s5PDjHcK+xwxbLX8QQ2
3D051l7o1Q54Sv6TUYbzZQAfu5IYcw9N2C2xTIcBBoW4Dyqzl8pWv43n5asV2fTOOI2/6eCEvyoX
kW4ZicKVzRfoQjp3yaMwLjXJgKamhYMhLtUfCym/Y/SeERtZRvO5+d2VwmLOZqACsp5/1szd+6St
ScPQ8oM+dVQ2rehOVl0Vk1wfJlV2zLy1zTkorWOUf43pTyuObSvbh+Mx6X9lUfk1Kl/SiZ37WcWc
eMHV3fSEL76M07EG5FuVVq+n0X7ViASepN1i2ORXmQRR7mT/LVK93ApO1aoEnNyLwqBq4U5tXAWv
cuMcUYbHc4lKj116d3XhJl+s438xjP+ulM+lKKGWLkuIlabNMX9s5whQuq+03UfsS6v8bvIfTIHL
ZQa9sNdg2ze+EM3ZikGyAJRKcfxyEN7ToHPA5u7Uu9E17cadTq1NBJZj8525ELg+EhdPWW/pchKO
8uRHZqW4jTQBlRhKqiB1s+mBXEjhPPCEKPlM0hHLSr2W2ApiCys7acJIdyvndqEyfKFQn6ssi4bV
1II54kjY90J+GBTNTkNbrelalq+kB3Vmgquxqv6nR+1ieZyhgs+jyXOO5YE3KXOsc7g3vbm3m6+3
FXPrIQEmG+NRUFShAJZcn1URtnGa98vkV3Pi0OnAaniNIhqYTSGAqwC8B4YrSLoWMklKVaadisid
nKxacZo+ILoIHCMSwlm5uAKdih4ShLjqazRg5Cw99uXT7d3a0mz9YiGcvUprjUUdgQwzfA7TnxIG
vd0WsGUQLwVwxzG2I3ASCgSgv8qcnQGzd+odbY4AikwVwGqCB2lzPchdAeCIIjhAi9cHk9adMigV
xNVHyRFRQ2weyMWPcwcyxXqaVQN+PPNQEvwmidoIRL/PHcaajZymBr9P7gs7mB4mjCeymyB9U4Lo
S+/8wV/2t09n05Su+KT/t1/88ZimOfYYqO5byQt4gNCYF556o3GGQnfNDgxR3Tvozsr5uW5atAjK
YFdtB3uOvgu+Y906zjgAhrJ+BZJ8FrDe1+fWhpHWp4aGC5UnheEwXa3fTDOJTymZ82in5Tqd7WSU
0VSm5HLxHMY1JtW3qaJMx6w1LI8Bp5y7ktbIGWjZCvOk6+V01+vWEKFNrBb18W9974opxdbB1nzC
QJmpmUv9uKp1B5hwORTSr6pp8gOJrNkpQz32jUUVgUE2ha7WBlOlAHLiC54TmeQEjO+IqNgLGd+s
7tjUGuKe37X2fPs8NjRxxZEjAliz/Bgod30cDLNZ8jGHpGxSNVdrYuqlpK0cBAaWQOs3FgXuLrCm
g/AWsS9/8pFaS4Mmo6sWs1/kJgOec7nDUK5Qup9p8eX2sjaeIDS7opkEqZIVxsBp+2y1WthpIRrv
mfwVmVe0WlnnFZKnVmc5XVwQaQjyrxtvOiBWGAW4sk6oFk+MzVApArxdkYFksKJ9sWQYWozhdscB
FHAd5pscbi9wU9y6kUgoAzbLx/ZxaZbVWKJ72AJlpooiidRrh0w23yOjFT1PGwcHXNKKZVEBYf/E
upqYBWaqjbnia1UI8uDWiafFyYBkp9rype1FJaets1NApIeGEfSaAqd/rZJNHRu0R0M7uJSWfTJ7
fddabpJKOzMyTp1Rfmuo8v73u7kSvGAn0VcOgtBrkcyIZBkT2GU/+6MW6p+ibzBu4pdC9D//QQ6O
DE0nCrDwfK63T1oDE20HxS+zl1LLHADVe8XuukbwOG7capgORL4gBlbWbsjr9Sik0cusZyBarOJv
hlXvx0V3QX8qUMKtAjzQw4DXgrNBRVTKHVXVZR1FQ5LiE6leAl0verdAFLZXJmXamRYzdvPUd++m
lUqgyWXRkemmiPVxQzvXEcErGRbmS30iVxhINkUJaoW+ifbUPmP73Kz3ZhTd9xbZxdnv2ye4FfFf
ieMsC4Z3VxrGVyi+kcpOjaJkbTSuNv2ECbXy7EDxAFEtcqaS7mMMIv17JwvSwfOPFkf0NmpcQDTN
StiU4GP1K6WyjRBP3hIeRstEu/R9XR9yWfudS7UABLtxIfFeg+tmxd1gIA8n1NTUrsPuK35Rxl8w
Ubf8WjL1KMlfKj3fq7QWdJ1uHaiOvkYQWECgzt9/Uynj0GJo2AWxk1umaC4P67ukyfZFF2Ggqh4K
Evhby4PjCpTvOmRI5llsSbYQuaIF8aPYWWRUQtEOGDX3LAJzdHuXooHltgptrg9jVAALAxE7qrDX
l7Of54FWqDn71TLYK/GxdafniVegK7sgInKujXcCiJx/hPHJbrqMk9kYHfEHBuwPUxoAmhDUFkkS
P/ZMNE+RszsmCH2Av0ZCEejSFTXOacqi9jmoV0s1aLXeidMHA9mhcXq9vX/ceX0IAasJXiLgBdcD
u94/VG5VI9RaNTDHN8MKlrGzo+QuC48glWKV7N6Wxp3W/0mDEwEDA2KiD4z8RUZA7tqGGWRSg2xJ
JHtMkx0Z8m6nJYZbo4C+9EyQguBO7H8FAj+NPxiliHb26+VZ09RiVLKiBmirS4egRaN+mZ8iUAne
XhgXQP2fHFhOJC/X8Hnd5ouFqZhwl1cw60GbqoOzlrZsNVKGw20p26v5Vwqn7HUy6mnCiBrEqJ7q
3WElk5yixsbs59uCtlQPGE3EFphPpH/atrwrmjS1VDXQJNkp0FyeVLoN7ozbUraX868Ucr1pEfo4
8chhOZqu78fsDAiJTZXWFmJ7RcvhlFyKAbqsNAiC9gG08RQ3r6YhMLRbGgCGz/Wmgt8Ai7pezDIv
id6ruEgdWoiR103YQ6blIq6+reuKpxkJaxTsgHnk9LmyhnHtntOCwXo2owddrtiTBXL+mrDnSFLB
Q0Sm6Xj7mLYuLVD08LOQ/scLwq1MbeohZUDfBWXb7sz2PZSeFhQzgBxzMYJof1vYlk5cCls/5uIi
meHU5WktQSfIfZ181+pj3DqhLiDj2FqSidF+BtrBYVz5kUISA3kSrRItAAHOqz7tFiBKyB2IP7ye
iPiqtmSt2DqE6IYOL5I7MjVvEgy5GrUg/pKwHxQvYKT+Lnq2S2vB3m2oIFRvJexGURvB7noNLvaO
aNGsmVNKgyhc2iOafIEuyTEJ/PYJbaxntXKIvtBaBFPH3dq2NZV2AFl1EJUDAc+NHjCldVADBnka
cmF6En27LXBDJQCJxjBcEFQCjcSDkfRFy2iWFkZQ4/a5Esb/OUaj+8CcAxM2i+gMNqWh0oyqEFjo
CP9E9dnYVVUHaXOvx4WDPB/GPk16Pg3ORBbzJwgsY1XwemzcauA8QVWBR3FtQeTs+jAk6qwteKWk
5l4FJcYCUF95TEvzXIVonotagaJs2EPMZwJdOyJRoGV5gHFTAB1VdLoahOAJotVbEU/OMomSips7
eSGFexNLtV+apoLdQDueytBOCQd7rFBq+w+v1dVyuO1L5SnTU1BHBIq2oJFYqd7oiBSgETZCYNyW
8hs4KmSRYONRSru+Yo06xtWQRuDs7aeDtgTSnDw2EQNMIMeEgbOlAsBX2Q3m4rQm82f9QR1dKXLi
2FsKsP01jSrwf9e1XWQAV8eDGBgaAV4mtPiB+/n6g0pStHJYh2qwWIjRwj9zTpzkDMqYJQzqrsBc
lzHy/v4+IqBAVIEUHlAo3LlOTUUyWtR6kIP+xsAgSZY9F/N7jJLlbUEbagro/kpBDlcD/Vzc2rpy
NuQe8yqCWTqb6BoFByQVRGMbOnolgjOZ6TLXKEj0NIiXJTmYJT1mcsaAec51G9amEqxow0Jj2o4J
ijZDR4aQ52aM2BinxATlM6mSyLfmurDVMqwEFnpr3z6YpdcOp3VgxLVOmDPmevUs04OoT+HNgzmg
TcAhLAqfN+6CihoIlA73AeaSE9NROPEzJkEEsbZLDYAv0bG9YKzOoL3IGAt9Wxc29BzC4F8jaobn
wysdSPQGMAS3eoBo9lBFvTOCxL39Wc4vXR7vZYzWyV7/g0RQI6BBAOSE6H243kVMfo+YVkHiHJEX
NY6z01CoL13bG2gOxwRpI0/iI5slyV3A9OreFr7xIqgYrgw6A7yzVJM5vSznLAqTtNIDqu318E11
JUcevHE4pSIs1dYNAGgMOXkcJUa+c8ts4CaFstTjNkuqXZAf0xDbedg5mRXcXtKmuqClCTgxBIAg
fLzeT2qNE1KcoR4AWLXr5fdefTPapx7kNKOoVrslCjYDVRhVNTDAgDMcVgdiLZgoGqBH636J7Mmh
luCA+GzdanjX4a3/yOBOqDeNNFeykgYmm/fp2LxEFFQB7XtVFk7dxxgwPh26KHxME5HJ3zoxVFCR
Al9TugijrzdyKKcxqqyFBgXFTJJFNVwyho7eWw+mkvy5fWh8petjmZfCOPXoo6RdynSmASVhlRxQ
SZHlHQYw13cGU6xfyjJSUEYm9NHK2IkBFHUvdUP2Y2aSuY8VE0mZEDoeOV1GrK+3v21zHzQdPJ4W
/g33+nof0nhUkI/JaRA21a+5/0EiEARExY8iFM7qXX+Ke2WRgAHNLVjyVjJsTnfTsGn+95nAgDgb
7JmS4oal4fW95CyKHZeNPVTdez8Ve6K83V7l1pOBMabIcKOqBKpCbpVaUs4UpE40AHb9kI+Cp2Jr
Dy9/nXPm9VCXFJrj18E5Ad6UzMmXQ/5yewXrTeA3D/lOWcFNBI0s5aLv3ly62QSLbmBW5wgA7omc
/kv0ja3BZUd4Cmv5CYOh531eypURhIVfYS2Y1357EVsbBbYkkI+tTKZ4VK+VLZmnyFCaxgjaeOUy
miMPAzaEBDNbW4WXxoQ+64D8Get/v4jgZhpWWTdPFImqQwxg17N46vJqHfjTuBTBqfKMQQbmxCBC
lqKDYaILyUp2oQnOinRHmshpJ/mYtKMDDtG/T/eApmkNgzF4DJeI8xfGPETiYrVbVbhrU8tVOsPG
MF8yMIFt3no8LwTxaVorZ1LGBgKbBcxzycAZcScpSMhJrS0Xim2pgiTj5qmB/xqpYZgHjG+6PrVB
bWdTqS0a1LVuo3t3H5khmoNFrM8CMXwdW+kXdUwXiIlbw3woOmX0MKDrF+Z0C3ytLZMD1kc04SOs
AqUWZ3IkzC5skHw2gt6I7KJPnbEVcftsXScT41MRgVogr5c5uzMvQEy2SwSbINUOGTtMMQoKktq9
cO7PhiSoG64syN1xOHz76lxPMWp1Eg0M+XWEv720PqhpMF9T4Npv+BxXcjglCPtpGYoUK8pBD2M+
AcZnD0bhGiSYjUGQL9jQhH9loc2Y8wCscQjHclU4uVdtAqiVmTqm5v21xVtJPxCtIE+ASiC3oGWO
mSWneBpgKDS3Ussa1JZL6yjt3NktMUQ94xtaB1410MKCkReuDZ9Ct3rFDE2CxEvT/0IPl1Mqz7cX
tLlrFwK4BaURiLRCDQIS5XuWnzsVANPoeFvGpraB5B/c4kiPoc53bQqyoo+6ei6NQO+Piv4HTRlJ
HXRoX7gtZv1Uzohjr/4VwxlxjamK1A5YSk6TcKe34CME3wazy0pJnK6b34Zq0I8NraznOK8F5o6v
2q4+oYaoGRNc0BECrBWnfph/HIfAcZmBjnYJwmavZGD0fkHEaYOIz4vjZ1K8DfoT0wbBJeM77D+J
5kwTaaRmSQyIViFTUftT2y4HJc5cA1bqVwm25CicdpGqeaWVP3RhLnADttdO0EihEBDGoFvy+oDH
DIOhGpahQReERMMUnTA36oQkCGhq7oAt9QmN/bSuwdVmVk9V9u32uW/dETwyK1cz0DAgw7yW3uRa
xiq8NgFhHchdc5I5iSyL3N2N9xOlQAutMFBhZCpWU3fhhSxLlVdF05oBPEN7ar+D62k/ak8peHnG
ZD8Of24vaivGQGEBHHTwEVcABXcxdQCkpCmUTfCGuNP0nJluVYHA0avl0MOgWbenrbuYXyQ2vdSN
3VoxmLVEhZUt841wDhMvMe5m3dvrNdfdAG3tCyu4j/p9KHusdUzJzUXtOFtiQGeFgjxSCuiP4Xzh
DM1jRjQjRS+NdDdazEOvzG6IdjWlx4gIrMSWMQL+BkE9JFL09V6vyRgajHodNRrkUw0SmBL1yLxT
9WNBaronmNEluJ1bBhY5BAOlKXT4oWx4LW+epUjKEhWBqQVwj6zXqo2cPljTUtFYrs2VreylyF+j
LY2fq2CC61G3GFY2sx4tTQYoAsZKsZvoLk6o4B3kYUUfNke/EMZdeb3H0N4OHm2AcYWgVxjnnHq1
XoG1TsIYJhfsjMxmjda5apRUO2UqdjpJASfpyZcqrGSwGFTzflRj4oyhoTyiP7TZTXmjnhAVlZ40
pwDKJyKOjS1LsW4NKpsg9aD8iJAYBVu5BVt50FTzC0aAH7FbgndgWwQcK0z0hKPAF4KyuClnE7Fy
kOT0vVaaH7M8izBdW/dl7YJYGX/XsTncfSFR1k19r2Pv9dHJQ+VgDoM/maETKS1IeeK/wxJ8HDVy
2muQggIawj1Og/OsSEDsRYOlGJV7XV057mZrPGiYrPgznyYW3DZ9W3qMsBXdp9BhNK9wy7OGuaPM
gnMag2ZIn9Gh11V2B3JEq9zflrR1WLgvIPrHwuDScUpcSGhcHavVDWZGsp8tXEtKGxFTyOZ64NSr
YJVF6MC/HHUHlAStVxerHA8ZqcB/CJq+GlFYLkLSbC7oQtT6iF08UqaeJMpEUYZEQzFzEwxxtM2C
itAXWyYNzigIwXVCUfLgXB2ytltEGKcVWGFNbIn2nR0bCwOxVigKiUSiuBMax5yhqro69RU9jAU1
7SEBKi2fFoEfvJW6xKwwtPmjhoVGbH7mZQi8YEa1FMFX+ZiyP5LRuzQ/5NM+MTLwDWa7/yHtS5sk
xZFtfxFm7MtXIPbcgqrKzKovWFZlFYhFCLEI+PX3kHPndoaCF1j1m57pbrMeaw8Jl8vlfvwcjzwl
azQZi66B+j367chbDfn1OmrgofMyGLVYdSw784m71ZOZgu7TbqJ/4evIJmYqgBkpLLlGWsdi7AvU
alSzeDBStATVv5yu/ggUeB3PRAOzsKvcsW2LxOZeOTjnvm4PwuPbLE6eWareQTri5+3VLIXAT6bk
bLsQbl5PLkzlZnO07N/EeNG7ejvjr1c1dJY+0iwGgv/OtGcylzbyhB5FGtc5i2qTgOa4BLfxplgD
5K9ZkTx90lTMpCPxPGu6z6aIDSHq16za3t63JSsAdtpAs4Il5IoSBmvUmFYi4uldeUfIUU8Mfxzq
QAE2668toSmFiIdH8vzqm3/Jp1CUuJOraPN7iEGNIcCj6xXyMRu3LUvf9eq1x/+CPyCDRH0QVTx4
oFxtir3EGA2eeuehITs6echA8DWDUamCIe9+l0ZcrGRAC6HWwiA6vN1ACRxig5fro0Dz1d1QeWfL
Ln7XpAQ706CsKYMsPGkBT0U+iBWB1c+VnKIpuVUK0Xpn3gV6AY5deAYoK6faZz8qtrn9xRZirYX/
zKyFYClC7nK5olJDVuGSzjtr2cR8NdMTv7HJV2Zau9uGlj4WCmkm3hVzu1y+P2IvrafU4N450343
9OhxZWvDWFHpgWO83La1uCjQfc7GwDElyyYjJWcY1Ri9c9JFALlR7T5fI0BfOFPzO+3/TMzL/eTp
eZYSaEL02DfPDNAo2SZgQVYTGhKRrhyqpZ3DY2h+v6CuihT70pQ+kLIWNVbTOz/7zDhW3zgmlKd5
vmmtobbkesCpoL+soY10NeFe8Mr2enSzzj2BwmSQ1puH7Oi2IF5GR+n2N1qqH4DV/x9b0ptszF2e
jFzFDhZBeZx+AsHpReRAen+jgJlrjWJo6YP9Yw78+Je7KJKxqhRQ558dsJs0J72+G15s9f32opb3
b2bPBQgF/Wr90gjGGZTGHU3vLMSPhjxr5rfSC0XT+V7yqJt5OKwJFyz6BvjF/mtQCki9JSw30ScP
iLDEd22wimmv+fRUqXd93awEv6VTZUOxaw5/uEg+KN0+uXzVq9qINpmHTvy5EV/76knUbXB7A5e+
ElLz+dCCmRMdhMsNnOxhbEpQb57BnRZo9GxVQxibf1b125fW4mCUBdkseDKv2ksUk1Ot1sDR47TN
Q4BJWeRxtbynOt39ixVh6ABPDbTL0C+7XBG0GzmdzBh+ZzxjkMuvSITaSvovOi9zgEAPAe9vNBil
S4OZbSU8lcdnHoe5FXSeXzpfb69EpsyaUz3YgCDdjKmcR40ul1KWrYnZSTXGqLKVbbG7zcHV2ibg
Js0CMD/TO63IXnTd5RvU0qZAgDr2SCuH7rpSUx6zUetDc0qnXZka6sboc2CzDHW811PQx7SYyd7c
/sFzdivVhj+AHChmQbUcKMbL31uDqXFoHS8+t5N6H/PkiSp3NP5S9P3OQmtq9L7ftrd0GGfgyH/t
SREtztKk6sGffAbE3gPHNNrUTfKWrImiLL1aPq9Lzk1VBfulWXF8Ti393Ys1KAxlZchROQG0Bez4
Gp4u8TZrcp+ba3WBpYMDANrc3EP19erguFORjzlmt85EvIFfzVfany5bq3UsRQGQO8MM3hSoqkiO
5oDd2SBtFp/L0QEttiLynZYb39vaBKGoYq+Riy18N4w9zdMsEDSB/Mf8cz4FNk3oXtymCDqWFenk
T9318ym1IVxG1zSJFy4IvMZmjAbcEfPl0i3ksQmoYFYo5xyih2YF+slyDLT+buznYeTAzONgqtZu
9YVvhpon2A+9+R2Iq/1yfTF1i7FgznwORqDD/FRJ/DWnXLKBaflZmwxlayzv0kbNlSFTRlM5Z0Lf
9Rguiam+9fLN7RN2bWWGCqJoPKuWQx5K2r5EqzHgzuAYOs5Xkpq+AZFR3fzrAYZLK1exNNY8IHni
s01FEJtVmK7pk107+GwBbV8Lo+oQm5E8LlZnWKKg8bkAtaHxGos0VNr7sn/6N9v1j5nZ8T85difU
MjZIhXNEFX4injkdtZjuK+qtUQtfH6HLBUmhlgyNSToI8J0dsPU0YRpaO283/OVMJi4gdJrQhkW9
xnAA1pa2rSQNEpBe9+YRrTJ2A1XdOkBUZaBuzI2VbGchP53nrWFLm6FOKA5dbh43hrbUGIMXtNuy
e1THPrDMu1GUgVJs7fyp0L8mQtkWXrWCDlm4Z2fL9swgb80IT+mz4eXCGmZhM6vmp5Z944ZPHagv
lFtm73QjmtJtUwNhR9zH+InyrapsoJ7hDY9qmr+asfuVl2vTatdhC78Im6EawEdiEE+KIFAEsgyC
Gj+Gun5QELETO+irIy6f4ZvepUES3vbb+V93eXEDGIMCAqbHMC+Ck3659Sgu8hYZdgzKIwRF3itp
mFXMXMk1F4LJnKbPah54zEO68tKKUNQEZP0NtnlEuMo3SAn9em2qcGHnMIaCuwW5nYW8TNq5yiG5
UBQE/Kketl4TFP0zBpnnRJCN4Tj+Kp3323u3kB1A3QH1bYB1wdYP2O7lsqCiZLa05crZqZqBb2pF
A0+BglEZ8KdM7fDT7nmm+5j3KL8qaEx1QQ34botp8db7eyDD7MCegysc8uZAYF/+FKvpa8WllnLW
SgvN+bp+G8x+beBQppKeowIYSHAh4GmMvunVy27sB2+sDCzYLXxdLw+mA8UkZELG6AZeuy0oqODu
XSN/xMjCtlMwr/X34EH8hBnJC1gXWPflp5FFHTtBY1c5C/2Y8RcorrlNAP2O2592yWE/W5G2k/Ex
t2LPUc4Ke23cJwPqqmxasXGdM2MlcyUICQo6VvKh6JSWazzJkwilE1Lsdo74llXh+KX6+5FHFGdm
ypaZ/AFFeMlNJ9AViEkrkyhLdgAPhzm796Ys6PLvf79pn+1Id4bT2F3T2kUSpRmAb2N9rOfZPbZy
WyzcfxerkUI2meomsWxsW5ZNaI4cq34fW7ZPU1DRrH2iRYd3dA+H2wTo2VYlP6iHmnWa2yTRVH0v
jA2INzPN3RuK9mSZh5QVYcafrKL2h3Oj14duqNfwdzK9+ceR+/wLpI9nQ/CRJU2bRM/E9oFEMHxb
hOW5OxHHT/OAEZSOAh4Hd0FZr9yOSzuNW3muD4BY/Yo1oNaLWaCuT6JZb2/cZM3/ShwO48pJWDpt
4L/HUwdlUTx9pYf7BO4HEDIYSVTwR8Y2brdLxYpvLqSBIO3+x4R0zwnF0qt4MpNoLiIqBvdt48Ep
0t3q2O/SLQQGGaCOnRmuJOcyHginnZTwNGqfRnJsyO+Bn1pWByR56/hjrJI1cNCciEs3OKLI/xmU
3zl0ghw0V9s0orbt99PvWsmgIYgFxjMZwl2lpb4OKvYia/zbx30pfs3zuTZK8Sigf2R1n1Leue8K
ZXkYzjnb5q6FNOlFoI08mujp3bvdGj3Z0if8bE/ykqotcW86TRp5HRhXxvOUx/7MVLs2yPExbSnv
KFIiVJFwq+NvpEdJDaqJoaEijfR8b40vrDml9i/hVj537gA5QypcJfc6RClppE0/BvqlUbZ12e9I
/S/OxecfIq3YIamKARY9jXh/KpIfjf6cDivus3T0Zql3G7UmXKiyumjhZcOU6kYaMfhJG+uBCiLK
tl/rVi35CnpiLugyMD+CceHL9GTodCPz7IRAgyvUqh8Dq5+1cp9FrdO+5e7X24655CifjUln3U1N
novWTZG+g2VyME+59pRyX2/azf+fIfl2KDUgjxonjQjJQzb+1goamI2Gwom+YkneP0yg4f6epwxQ
8IH2lHy1tjjNRpyJc003XqZuGy1kNdibjDCdNl68csVePchkc9Id22kgDCVjLqAsYSK/C3QaaunP
yfmV2JFua6E7vo9ka5EVJIx84QAzZKjgjMFwDqqWEAu49BKdWcSyYkM9T7zeFgoEK01XRHxQygBE
RYeWqH9uf8Alg3htoUY0d2sxWnVpsNQ47+281ICcheQatfeF+uy0uO0sEvRkTfZvyRoeWyiyoV+F
kQ7pI+qicmphMO085IQGVuP8jKm6jbn72vXjmSTm2qNAvotmOc15kFXHewBQGxkw4JasahhGIM6T
mgdOb91RY3pWleqIunaQFN2TUcebtnZXaiHzZ/ocPyWzMnhgJODEHnOYRWLxx0OS4qnN8+0Pt2ZC
CtEZOC/wzExR/831Y1m0WzQ8V46cHBln+AOA6Ciw4xiBC0D6WpwlKesckkReUm4nx9vhutgT/nJ7
Idef6NLK7DOfLlHT9kgfF8jN1aGA8mYVUMMLSu1LUeSQAUanzrtHI/LLbaNrS5ujzSejoG2M9b6F
UaPDTGsCJGi18Wpt5TTPG3TpBlgaMKAgQQRmEq2MSytjbk5ssGDFpI1v8DpwGhFgmrTI1mBZa5Yk
b4i9kSr5SJMIIqeoLgzqBvos+VpbfXHXIDFkz9xIKF5L6xEW7YaGwYoFGSXqgdelDlfv46uaAtwO
hcoZ3YNji8q/ZKVWmOqaA3JhMTiA1SeK3zgYPi6emi3N04+Z5xzTcyE4I863veL6TMEynBhpK6ph
oOe7/F60oBAx6Tx8r1QvkdxkoH3NTGd728rCLqJKgawRuQbYJ+TqtU3NpIlxm0WeTg/gUPBbLTnk
9uNtKwsecWFl/uefPDxRUj0HB1kaaa67Sek3Zh/Tlm2VemWU/+qBOH8uvN/xQETpCWWnebmfDA0G
ywyzRGJjxG95B6mX1A0tembDn5o/lM2PTtX80TqIAWMZUMss/5YY5cM+CsJAsWBTMeZ2aR9gegBh
E0pwS2phCulTOnwbvwChv5Z9L323eQJgvpnBaWVJZ0xPSrfxUrwksnja0R7SBr2yd8ynv/9uGESc
1VKB/cHb83I5A7CDbpEOJNIsAmYXJ9Djx0YF/nlNw2DJQdAVwOMFbAKYa5ZCYGtT7nTuSCLL3UGE
8ICYkaqQDB/ildLn0qkCnyiq6KA7Qw9cXlFSJzmFXkIUG+kPyPPmvqYmeXh7264SNpToVYDn4IrY
PXih9HVAUgC1cMryqOy+leO5c8C1r7WHwty6ebUF/COY6szHE2ZtKOijo3UZ5WccNv6wIYA5n+jL
L6Z3o+omhpFFijP6FqQUJ3en2hhKfxyUaV87ZOewoCMn02m2aluHvHjl2Zp+yfUmA0A460QAtAMg
l8wWxUkcM4XEeVSdabRGXHNVgsHmYvAd1Qn04j/c8nKJ1BRMyZykiJISswwHD+LYcTR03R3p872n
bnLg78iDk7Odm+6gfvPopfuK6WdEnBVnuj6EmPhENxivbnxk80PP8FO04SYBuU4/ltFY/DLYO3CS
tViJaEsm4EmA+QFlaqF/erlYokOhwAMGPeKvdfeo3f81Og27Cf6ffwxIETNNC6sCP3EZxZblK/WJ
+dqIhPs+Q6H+9qlYXAqYdTERh4sUqrOXSxmzuC07UZeR6IaDiPd2RR8KUznctnIdSdx5q5DOA3cC
cLN0bfKp5U1namWUjvbRRH9DL35CVeSpHN9vG1pIDWAJZ2yuTOARLRdcHMLUZIx1fJqiCQiYSbvX
loJoJT9WXRNoEECyTSSR8RoqbukAXBiWXu9TYrujksGwzaJU1H5ffSPmkQ3mrihZkPdKyPCXPIDC
vYGLpxv/IHW1US70ottbID+DZ98BdRqa36AmmNmML78oSKkA4p7sMqr7zk+yxE/E10ocbIQe05lJ
qFc8aNHeR/4PcDIgvdLCwaztOiiK4Lxp4zeTteAxLxjlKLUO9kEYWhZMGi22WWX2+9srncOmFFbx
/kBAR3sJKYYMJy+qXhnApAPaQLM72gVeAk7oqiFxzZdBGVaMLQVxcIF5uAjnkhfInS73tS4sDkH1
ieKklEhWADt5NDNGwo7FYaYIFpQtabdWabYhJuGUXeU6xR2Uc/hBq8p0n7RjHroDLVaGfZa2H81Z
nCtEDFAxSaFCYPCRjjVDSPfonRlb30q7OBhFfBhZ/FDTR54Bvnh73xd9Hby1gBbNDS50pC+3woKu
+NARm0aO9jC8pmLXGwjvQ71D47dOdn2d+lX/ZDtHXWv8GSSTPxdHtsZIuHChoY2H4aOZwQ+YKsnR
qxq4nCSmFdTtMdA2GbW70SButXKdLIUu6LpDfwNNYNwpUtbQamap4+1URe4O7aDnwgnVlS+4FII/
W5AOkGGNXJ9UWEiRghD9PZ3O5oqJD+eUjgoKR5j7waAH0OLW7EWfLsVGtLpAeYdGk+r56M6Yymu8
0cUvc+dCs4Sy0Iz3eqr6gm64fSyKN3CkiVMMetvyz1i90gfQM0zDRrQ7gReXpW87FV2W2261sA/Y
Yg0HDCUuAK2kfWiVDqS9GqZz7Wzcje0sAwDO0ZSv1VmvZpURIdGNxjwr2NncWfjycjOm0uo0avYU
T3uz9B3mgnddDYAI33TWUf3JyDNDd5xZQR6Hyip4YcGhLqzP//zTp/DoNAmaoi6ugq/KfZjEg6Id
c/L2LzZzfu14qImiQSZV7aAwmI8AOCIsxAoeOrnfQosgS9dePLI8pfuxl/M7HC+EeTBZOh4qhZy7
kiIUJNO+YVBvSx571P4bz58AtxLZPWe7bBJ4wVaB50aUbIFBBA1aADFJn7jH7Bshj8mwbYdAY50P
jYYdde+0mB8VsdKqW4gXeBmhOgy6G2SIMrcoaQW4p3SHRkUFGijLxUxkx/I1UNDS5wUWDIRE3qzX
I4MMmDdMQ2+bNKrFWzKoOwLG5mryU/fP7Q98XRRDT3ym+cSUE7jQ5LloVStyN2+LKqqdLx4Ar6T5
48Z5MAKI5v0UxVnE9sr5XLhuLyxKUT8b2iJL0fqIXPDJ1TSsoZvM8j96XYa9QlaMLR5S0DoB3Q3g
NYCQkgNrKSQKJlNU0TgGWQU1ZvZcOU9e04Sct0FC7Oe8O/DeRM3CPNdkpTay9FhERjGTIuF+AXhe
jhEFEHcowyCXq5hPxeCrJL2P3X5bO8qTYOMPWiW+2fVfy6GBsHszrVw7S86KU4UqOOjMkOJIATsd
SdyngElGVI2VbdPW9GVsFHWllLBgZWakBUgb7yVcptLp9ey0yIo6Z9FQN85GuNNwKDOuraROC66K
qgiSJ7zs5yE2aS8bxa49pzdZ1JmvRfIAbeVdrGp7jWhbjzmBI4CE6P8SNIm4BJgcUI0AmOLKk5nm
eF3ZHMpJdVTmrRvYWmUEfW+u0Y4uHAkYgHeAKQfFug8R7k+xvJhSmihKU0cgSPmqFhuS9HsnEQGx
f68iDRauxwtb0r3BzMytK1QHImtE+3EyT2kzHi1PrHj+9ceC00ONekYQoVAggxotWqqkqSmPVHPb
dYOxN/Xa3PIhO2YZe9AJ/9G2qr513HRtdPM6k4VlkN7OqRZw/TIEp8BBGCFPxqOxPFYZnkjeAypB
SpaHhhep8drEz/V+zuaAQJgHblF7n8/Gp2/Hex3IM8fmUWmHTX9SqgeAZlai2MJm4hcDvIaCBLpZ
8tg1h23NK2gbaaI+AQD36DY/cnICgeQWLb4fFdkYq+nN9Zn2Zo9HvQ6ofCR7UuQQXOiQQshabBmz
tqPI9EDpANC8ff0s7B6m8I15+BBVFpQqLnevtzkttMLuIu78UqwztSq/zF5v21jaPYzeQABk5l/G
nX1pwxN5TRxmdVFmaKFKFCSqeXrsmyI4QiHlT84SgI3WJIcWqtXApXvmzOaCAgL+d2kVekN2k+dt
G1ml8Vi1HtCKxsHrEx/Nnzq17iZC/DzPXrs8De2YhH32kBXNSmBeqGPMv2IWQZ1bvXjdXP6KEiLR
WdxVbQRlhNAeNrgo/a7YNON303jQFNWvqj6oMRNwe8s/ItblQ+HS7vxNPp0KJXdrIYa6jbo/wg1d
08+ViIG0Zwqth/QZSjfpZkB3yvA9Gjhrz5SFW/fCuqxQVCaThUsX1lWivvH+XYhdkpj+oDUbRPGx
2YNMCxw4oYlL9/bCryP53EfSwIYIkOEsqHu57gHlTSfrOSzTd8s66OKQM3Q0O39qms1tUx8VSHmP
P9vSL22BDDTP8QKAh82cTDsWP7bmMxWgMYAIBpihx1rx2c/vhnikTYKKxl3p/UITkovNsOJma6uW
ntDmiL5+k/RtpKf9wfLABgEZeeut1N270SQrxhbeCvMeoxSOsIT9lB+hEGFwQHJYthGzC/3dNYR6
RL3IG6Hxq/I/3dQJHpAxbqdNDnKHznfjTNUgh8dptTV70W2mOCvZU92iRZWUlvmzoRkrfDIUzpeq
pDoDMUMurM1k6+RsZlxvQlDU58pOUwtW7tLK6tTD0NiZcXIVmj4SQ9A1xnhZyxcPIiwSmi2QnEAO
gofA5cdtOi8fdGvEx/XVTbUb9tmjsXf28VHdQMMRMhC+6Hb26Uv1006gJBw6K7Xpxfj1+QdInky4
MXCLTm3UvrJsa/rJWd+U+WkYfk3qPqs73znwOsy1lYT1+t2DdRs6YCmYTcCwgOzUTGR5l2LdHemK
gNlx7Hc6LfeDE/cvThkn0copmjfy6hR9Mij7bk4r7oFmKMqGGko/9V4HDsfRD7lThS2qjuXwXJpT
ADnx24YX7le0ODB0gD+jwiqTN+GcQnpL09uIlLoR5EkufKufku1tKwv3KwoUCESo7SFllu9XxWp5
qzpFF9XlqSXfY/23bqxkegtlPDwwPtmQ7hgnThw1gZZRZFuvah/VxbHnG7Gp6jsByoLmBCBM8832
u5Pe3PP6LQEA+/YiF+P9518g3TZUF1PSibxDln5Mk+6eN0aY899pjpnoTXtyjfbERfe1zde4GpY+
Iuo/cNd5Zh48SZenlKWN7im87iJlctUvVYb0BZMB8bfb61u0gpICKvFoEqFeemkFHDVJzXTeRZZV
qYdC5/XBwiTxCjxx4amMqh4SWBBAAJGJ9sqlmZj3Wcxyo4swu7c139ydHVQBJNqfjaB9oOaK/+vz
wZIP3mdz0t6lRt92jOhdJAhGbi0y5GCNHbofprDTcGJZd8e4Mj1ilBAj+4ZGT4Ydow6kuV0Awh6y
maakDVHTUB8wvp2hg126h2Kg/VZNJ7FtFMzhmnpcP9e5VzxU6gR69YSsjRBdJ1gA+s94dXQPgAy4
4uIf8fQxG+L2Uamw9N2oizSggmtPlUi0u6lhMeawjQLMBtBqAAEPm9qjBjbZX7c95OqY41fgmfUx
Kg2mPfm11RlO34xZIQAfNw4EvCQ8TQ5tu8aWdOWIsxm4IWp0ENXDXy49RElHALX0TuCkW8Vr4rb2
AF4XgVmH28u5ugQ+7KC8DL7nuTglxWRDoXkiRi6iGl3osDDKP7QHI6BZjFCpIlV429ri5oHU7r/W
5lV/ylX1zLVogoQpsj0aB55dKJupAMs7R6Hkb8Pxx8LQZpqnjDEyK20gzWs+xHUjIrQc/FqPj0XZ
hw6ZVi7v5e/0jxnpEq0B+skM8GZFqWt9xWh7fNR7L12J+4vbBgIAEAnrc7YiRSWidoKRtMe2ZXxH
IWFp1/woXG1z++ss+sI/ZmSQVueZudtjrDRq9d9tfxQQEu6zL7U+rNhZWY4sbOjkE7MUC5/GxaSy
g25G1nS+3eorYW+OahdRD3UknCGUI4HuwfChFGSZl+skjwcRqVmdfq+cGIymKY97X6h2vzGBEQ9j
oo8hpMXWqggLKwRdFrp7oKIAfEl+0RcMKgZOWQxRpzSBW+AhaPONhqnp2x9saYUgUEWkgLoFmNXm
n/HpOKUawa5p1YBi1oaZkd5AoboYtICnWFrnAiZerk3uLPjITJ2PSU7ANZA0S5uqswYcgvo0ADVi
lH7NO8h9qtlvklaYzRjacX97hWvmpJvL5YbRZ7YYIiHE1nOmxm/BH+CzuBxCK3ZX7uWFw4wBdzgM
qiOY2b2CT7U6p0aqDhEtyr2p9js0t/4WPgqn/GxCOspmpwvwxelDZBcvZiPCRrnPzbc4XpPHWfTA
f5bycZl+cg3KO6CydWOI8uIFoiQbLa+hQzKuBCZpw1Bq0TEng4wMJSXA+OUGYIpXYe6YtX6izMm3
qhWDFSNtp/C2EyxbQcMELNBzv3x2kk9rUfMm7pyc6yc0RYedTuw/NiXlykUo11H+sxZUxmYLYKeR
PXvIs6lr8X1OFfSmmM/bbHqiKh+fzIY1m7TS8m1cWpuEuRz+1+R3SlUIPxuyaZMOYG9OwfR+ZOpk
+5BsHoLbWyBn/v/762aVlFmkA/jOyz1wyYDpAV3opzSdMLGj+3rq7XLbOwiNhmVxii3wRJPu1PCz
6u5o7fjJ9MzLnauj7uSsnJP5kH+KrB8/BlitmfsGEuYo9l3+GEVRs1JB5x36EEHXvHll5vNqF4+j
b+crppa+vQ3MACpqmAS+qqqlqC81la5op0axun0OXwuKfGArfvyh7SWvCHPywBnCx9D6kCJpQTkr
+y6Bi5WFvq8m3dyLOO331oDtJS5Vo8lss7Byk5cqxne2UqHuhNEdzDj/Chq77tC5SDr5CPEmra3r
LQTuIAAheiMw8W/2Mx5j4J5yJXTbQkeNF2y3TawVG9etlNAzJnvfW5A8oLTWwlYoz5aRl4e012Js
q/radIO5BRA33dx2K+kC+fiQwHhpmIwALPWKpLV2qrwXk6mfanDP7DtXjU8mY/kvM22+i7J399AQ
dcOh4Maff2EYL3GIOQLjcCXTl+aeUbWJp58mxd7ymD3QlG5Zwx8dddwbyXisijXO+iVPAn0c6FQB
9IWIgZTpKqTjQ2oWxilFGRdaXsehGde6S/Lz+GNDMXOGwRTAuNBDkNNBEMeh0G9A1pjuxmZb79Ln
5rs3+ST2xbv9M18TBpRrR1cGpVWhs6N1egyDmTH4SbnRfiq5X7zZX3LiG2/JU2KEXeyvEUIum0Ut
RYNiPJYrZ9cmyx2NQ3/4JOKnPg2Lx/zevuvNrdr52gOoO567J96uXAMynus/awX+A1HHAdWvTPHb
UHMYVEzhnZquC5LpPiNhJTaW+uJmKHFnfuX5RvWcqYpfZH9WUXOLIRhcmtA5B1wciDKpTjhUMSS5
RayfFMUFBVVmYk4f1KhTYLpJeSgrEIP3qj1tJldrfvFEqbd14lTHKjEBnvfqL1TREt/WWoAsCOV3
DR++3D5U0p3/n/3BPBRITlDOQxy7DMvEU9CSUVAr1Zg7RVXZdBvdaK1dZYi1OtBS4JhHr/5jCgWv
S1NAqlDAaRPjNBkbm6SAaB48HfXDojogKbjT1x6OcsVEWhvoHy8Niny0uZ5jbZ3JjmPd34+luhVK
/QCypG3Gq4DpJ80otoo9BgBzBpy+3d7cxRWjSTW/xyFXKKt7ozjeo/1KjJPZAHDe1s0rU9VQd6Yf
zM7xhJmSHSX5SoK/5HNo12Gj0eFFI14GNdhqPChJ5qonYhzzwd3FVhKYo/7gTe/tSwJ9DyM0hvvE
YSegZ8IJP6R2xG5E72v9+C24F847LmHkIJCyllll4sSLaToV2skpyy2xvsaNcqpB5EI2Rf8wAl6m
M/WossfE3nOAamn8lLg/1DhZuToWkg9knejR4huALO3q0eMkTWGYQjvF1QO+NMJPvBmnGDim37lH
1mKO9ACZ/Q7WXMxFob3tgbDz0u8gEFcLFuvayU24b2nDtqTjzmX5i7AtHz0nI2YhgQpfoXf+YJ0c
JwlpmZwH3jwR2m6Uca0wtHTFzDUAiCsgGUa7QnqB9aOdlpXiaCeu1s+T/i01MTBelF+8Hmz5I+he
BxQ8vGQ4tMaLTtfQ50u7P1e/EAZRL4InXO5Hl9t25w3Ix3pF2ZbjUWvyDRWFj3l1bQ0XPaeRUlKG
WtF/baEge2nL4FXqgodGO2nNcXxuqS9M33ux7+z2SFabyAvpwUxRhCkx/GnG8V8ay/Dp3YLl+sk0
IIfSj4EHctn0/ZzxrxW6fMJO7u12DEYA0TgGFOLzCIWU2yFm6SeApHAeL1QBTZHhsZ7dZbnZeThg
qPeFCrVRInOKtT6FXA3+cGl0u1BWRHEMaYoUu3VzIBhuIXi09fFOS4DBtr4avAlsXm0cIz1W4Hbo
47Bv84NaUz8eTnU3bRljf9JR23mIQIUgYH54ryAINkzlQWMpEMTqAWK+K8fvOujOSZQDVkrAIvAM
kKJ+YTKoRuaNfmp5J/Dq2tTJN9JuGuOgxiFJnN+3P8CCOeSiIHJCXRdTVPI8v2FnisYHPLJY0nuB
GMFnxK09t6qA9JApbfmIC1ysNSAXkilEU5Aao8xr4avLmanmpRShTtPBhuBtqP2zjAFN90LPyu47
wOSd52z6VdTvZrLR5qJL3q4hIP8fv2DWf8RsDJRupX0GIYqnCGXUTwMRGQYeqkPG4rtOhQiy+7PU
/qRK9iUR1sFRmt+omeGep0E/9Lvb23993ud9cPEgAYgO1CxSbBnSgiYzY83J/lZaziY1oQBdbjvA
YTrP2tf5GVCG2xYXgumlSSnEUF4lZV/iAWQpXReS3Ki3zjQZkd5mYuOOUB0zM5O+NyaGIHlhFEFb
EtdXOramlT4buox1lz9EumeqzLUJgrp+8pRM2Q5FWj+N3lRsTd6r59uLXggAsAVWDCAVcfzxxS9D
na1kTV8BzX3iqbnNTCCqbZM8Q0aQ9lagNI8E9OSGXw3DhsUVSNgfCsWfnls7sOPHcti6wy+gLEYN
IE+UbXMf8i1rn+X61r38hdJuJEmao5uq66ekit/NlPhQEgJT42Yc/Dgejqz4grm2LVFfYvdQlndI
/xLtgeCd1a3VxOWuE6Ll5U+RrtuJg4JxwmaeOuAev0CgVlOD3jiIfl/UQclCnq1UCGX2vv9YBKAe
Q29IccCYd/l5wL/kgXTW1U+q0QhfiEdb+JO448z1M0s76O57nbG9BqQCeqC03XLt6wiSljaFBmS9
HZNTlwdusvKrPlQ5ZQfFz0Hxd67CgErj8lfVOqsrheH5DHmn4qs+kmZDk34I1XG657GhPE5WRmYS
XifK+gbT/h5VN0mrnbXYAauaaX93ulaEXmy7QV2lRUg8t9+nXvOG/9PJw7P5CRIUr1rr5MfWKei5
+h/SrqxHUh7Z/iIk9uUVklwKau/q7QX1VhjMDmb79fe4Zu79Mp0orf7uPIxG6lFF2oTD4YgT51C9
fGBodu9mYNoCcy2X08h67V8EHS5WxVNJ4LLFQim/8u1xVD5KINPooz64PNeaB80qs1aC2rWfDC8F
KWWtap4Ptgn376845JV88p5LlV61gk23HHQDXFGRPZq7tkP/1fbdJoMSrq8stg9pDFnXQEQzcQcD
nAcwaXxL9NM/4sNZPdV2FCcB2bIRlTaDzu+odq/z6NY7lhXkF6joltgwxyX3s55WR/TBwce1GnFK
tQ6IjWwBnDv1fkzNoAHU3RZ/vBpKk1XRklhpExlfxUYkwNWPqg3XyMPUmHAz0Tkt8lYbjQhci4fW
1EeftEzfMegzBHqWyDrz1ykYWsvwbuhBgzIAWfall1fzqOVsGM1IGb7qZubXMvKjjTsOAQP0jEBx
Y/bOE8IJ6Fc6My0mM0pAH5HX7a5Fm8awnyE+yLlLjgX1+y+34z3/k8LJBXUvWNcdTHtg0ldYU13W
o9MMuRmtaOEfS0PN7wvWgd2QuFqgsjwPG2Y3+9tGt+ImrnK0OpBKAWIk0sLYCGKDWWRW1K31V5Ab
nlqDfEoy77gy9tiOUZpC1HvN7sxkkISqjSwO71TAaPFGRMFDLBPNXuW11uiakdfp3mkAYXgI+Xcw
akOqd59RYNt9TD/86aq0k8QSHgOFnebXKtdDQV6Kp/Kl9ySOzVzwK1pRMXo+rUv46udukVzfGy7K
R3jAOIWEGNPpQpYEJBMKUehjRLQDJ1oKXhrfU1rZaNfWJgLxiJYL19wAzc7lUuZSAaB7saxIHcZo
Mo3AIT/m5ERSEjZLglKtVEqJb464eXhToq6GtyUQxMK6Rqhns6FxrWhOd+kLb7Ig7qg+NOeHBY3M
oPv+XsrKpxtHAxkQxjBdA0NGCDSXq8St0LOmLu3Iy96qcq/SQwY+iyUtg4rOkh7Dli2ULkGijckN
zxBlr/W5TRmaSHbkMP2Q2WjJtRoGrJSDUZW+R77+/fn7yO+gEYViNLQkLpfGtL5VBlNzokG5B22z
NYRVdqhrKLXq9HlkbuyZu7KWaT9euw14VLGjmIDh01QfJdyzq6Vr3YxYS+JEZTKFaaWNwWjhveDZ
EDGcp51tlHngdbNMZvP6THzweeNUwHUwxCUcPFB4rDXeq26kd3TZN1p+7GguE6Td6BBeWhFq7YsC
tpTarNyIteSrkVJ/1cBQouS7xK33Rp/sIKn6NH0xAHL3SNQnij+S32OehY2MyPXal/BLENOROaga
piH4ZzjbZkdpc0VlqRs1rRqW2T1K3s3CfN0jaENKqhLXN/ClLaHZl3h9O9q4K6KK5E9Qz8Iz3A6N
4rEpVlnQ2bg0uC2UV5EQYdTTFtZVzJPZWl3nRhrfUmXMfmRQLQR7X0N3LO1oAASpfpeWNvANAHzc
2y2dvtw+OFuu9EF4APvotIrVkZnWSzJOvRspBHyB6jBMvtGY5uG2lc2VAkMBQBvcFYBDwZf6KTXV
tWJulOavc9P4pLT8wngsQbU6q+UhT1pEPneXZ79uG976mij6oJiGegOkvLhnnXmO7owza1LscN2W
7Wmd5vnZStV7h8zqvWFP6unvzYG6xcVtCK4xXCiX5qgC+cWRru7Hjagoj1P3PSN4vGiyIsrWZzs3
JEQAbzbqpW0XNxrB3YAnM0av/NtLkVkQvhhEEhc2lbCgmpHufV6IxCW2QidXI0P9ETfRFUX6DCy9
qQyqG4Fhxk9+j8/s0VgPoHeyZFW16xyUz8WD7wijVLjaxV5KVVKrnJniRl79Lal8ZNIs3RVLGFSz
P1l/N8OLxwaSMIxjIv80VTSahfCRuR02rbDdqKQYTjfrpAsgcGpJgtR15gWxJDTvQSyB7i5GnC79
bBxsNndd70SV8lbParC4dVAskqXIjAjO3FAoVarZ4ES5Tvx+VP1Gu/9/GxEd2WCVm4CiL6qKNNCb
B4yo7UA8e9uXN1aCVAsvQE6sjnlLIbvzNDzd9YWo0ZKlR1ApRllLg9bsdrfNbLg0XlEINSjgquBI
5UfqLNh0+jRZGebxIzvLdl5aPzZpTE2QJZlf1gKUz/0sQWNuRDcDOSvYJXAn8krupcGlWssVEVuN
GudgW5+coDY635NVaLZ2DzoomG5E1gg8Pv8VZ8uq1HRmS7mqEXLn8ehmxY4qlbMns6zXs2UIsBeX
P2ZAmXF1zaeKqg469g9o9++d3QYV8Z7GbpJEnk0zaKkC/YLAe1V3RcPTBo00zBgYUyXOPclfmfX2
966Ae+ejngVfELN70lC1Mb1ejcp28JduX41jODZ/xuoL1OFk3Wl+iV0+JSC6zqV5QUrBlc34gs8/
EB5FLvqgapQ+DMn90Na71rZRrLtjkqfmxp2A6Rl0B3nYQT1F8ASIHa5q7gxqpNg/zeQdPNG3d032
94Xbutd0apIJf39dHtz6x7/7+8izeEEIaftHlnK2Ucas5YXdjpAnddseQROsE9TrjrcXseVeqG9B
Gg9c5ehvCLG5tUrSNbmmRrT+UxhtAI4xKLNJ8prNT35mRIjNiaUpgPPoWMmYgTp4fIQfpxb5Yajf
MR8gSQW2wsz5ioQYrfdpSsdBVaNh7A+G/qOamU9turNk8q5bARQhGppIfA4fJMKXjmwswIqO+HQR
uOprP+k/z+sL5mcNe1/KahebroYog1sBxV1QOFyaSoYUD9feQ6zmrEwrmORlYIatXbOAiIaWCZ/U
FWHfpjVpK574aoSJwh/6YL6oEFMwcr9I6f62x21aQoTG3QNwEmLA5VqIYq0OQeMzso19afpWi+co
+I1kE6hbX4dHZ7TjwcGPxtSlGZeOEymR+UQW83z2MGihghqxNjrQFSJoVkty6a1zhG44sJ94W4O6
V4hqTUZJbaCEEDkJtPDQqcb/J6xlchcbSJsPQC9uG6SGwBcIl3aZA0ZkORnv8Lf3VTpHGbUWP6/c
/WDd2R7zhyz1NYxIDXUaz2qxS2TS51v7Ci5akNOAHBw5oxAwEj31sk6jWrQMg2+yz7X75FGYWg6d
vauL59vOIrMmOMtqNzZGh0ogTEvid2YT9qk6QbzUd9P9qixhOxi1JFvdClYoyUBKgVdmAGW7dBy1
okWnQaAoapKDCWo5dxoPuvcn74pgNOeff78+oNnxoIY/AEMkHGy1zemIwQ41AgcK4MpexFCDcdNl
l7c+MJi+lRWS8Li5PMg8gqQQow94Z14uz85TQ5trOKoOYLAORoixgsJHeUTVGUmmDDWxdSwA2UWE
xEWMbFb4fq6dr2gV9lrUQA/CvtOTeyuXkHFttImRTpzZEE56uWa1Z1H0qSBb4APvheNnBoP7adK0
3WJCDKk6oh82Zr8GGefF1l7y3A/5jIWxUvGGxo3K9B5TbryMt4I8oE5/TbYSQKwE6aYkbG7tJJgo
oGmKlJ0/DC+/m0ZGgy0pbNkgUE+o9blqm2DoS4n3b5uxUBwEWTKnPrw0gysIfCgaQ9OvfjYYpvWo
PxUyTtGtKwDOgE4lUM0oCPJ9PctsUIdsFfRhtGhK2wDyj6my+J37tM6SN+HGtWniu0A1FcV4Ay/d
SzuV3fSKyd8Cc0FXf0a77qjXvUwoYWM1PEzwYhEqRqZYtVlNbZnralYjl5VzmBpmHxqr5o/pvEvd
RpFExI0PhLcNiosgw+KiloK311NtGWRCLmXmr7lzv/YvUpWobROcKgNBEG0G4dAmeDCxhOGGBiGJ
B9lr+75a+hGiP73k+8gMCWuZ3Z42LRYb2c07+Hob8rxYkiR90wQ6MZwllQ/0Chcm5qE0PeNrWdbK
d5c73F9+JdNs2vQzsFtxllQcENHPSiVTMjIRLTK0BEKPi2ee0DX9cvuq2HQzPNPRMUAYAM3UpTNP
mG+xqNZoUWFOw65JLBooppUch5X0vzMP0Nrb9rbiKs82QVkNEqHr+YO19yarZpUWqWvLTtC5W3em
1eYBSj0qakUKCZ2stKDd2sLRxxxjFZregLtskiGgtlbO680qKmOQjBFdfvAy5DxKjpSjzv1Uv++9
5PNY7WyFvUiWzJMX4W2Kp4MLWAceXS4Yzi/3WMfw4QL6Ty1a9x2mlu8G40gK/0A/IWUcJJ65cXmA
i54jyni1DzH90ham17zRmWALyC/fao7JggQD6r5O0+xN8+32yjbyKI4oAHoRVPsYvBQW1mCMeFZ7
fMu6jMoqUlxAcu3vK2t2rvGZuZIYtW0NzS1Edx3YQP7vZ/FdQ8u6JR2W1uEGLkOQP/aB+bvtdpqM
RG/LNXBJ/Z8lIcIPQ47gX8LSCLFi52dTfp+sKbArybfaiiJnZsSkt5i8DJy0SJp69wu4mgKV/IDM
9+1PxH+q6HvnNoSom87gnoWkIvzBdw91c2BO+DCsAfs9FZLVbHkeUk6Q8YGsE4dK+Dyr57YjrWek
Ekaj79x+rULTyboTUlQWVGWTPkJiS3ZLXi0PGElkm8DOAkuDNrLg7j04QZ0cGIhIX1dfT9LTlI5f
B7afPe80mo2frb8nSj7f3tOr74YyEw/LyDEAmQNI/9IR1S4zx27UlUgp60elPeVq+eJZvSwDvQob
3AywsBw5wh+c4pMBdDiKZyZKVJTtTvM+2b+hq9NiTgqjd+meZe1priTF1I2V4SpAIxcDSxirEd/r
FV0x1GCqJKaAIHGZvHH1vUnikjIjwpWzIPiPLdVJnKknkoXQEDDcr3/9hS7WIWxdAsFfo7Rggtg9
9OPeJ5xgmfDC1fXMH8pneyW4ntJ6eNRNC4ntu2rf/fWdgb8OUAlOE0rOfFrv0sfGrMCfd/AlpuoB
NX3f+uI534p5n853Q/2eQgHcHf/erXndnms6odGMAtSlydY2G0jTrQR6xUA/ex0Yh51gHiVh4iq2
8oWhrsTnSvDDVSG2TilBK2iwSYwcO1BUCsxH72vl3TK+3/aBq3h0aUh8RqmVays9BOFiEK/g8ful
zOLEPmDwMFBlCK9rj0YliJMAofCENV1duoligMnSKuMMx6ZFB69I/eyvbwv84XMjwucZexMFkhVG
FAKeKg8WlH5fln99OGEF07A8rXWvmXGTxcrHMTfLeHV/gMAtqIq7iki+zDWqgi/lzIiwlGEkFOVC
o4ydFICpcgrH0tl1Df26uOO9l4PGeko6X2dmSBagEI0OI4ZNGwOnGMxdg2EkWfli6wPa/P1rcnIe
jPtduj4hQz2PVZbFHokby0Gb6tDKRtolNkRVInNdzJxoJItn73unegE/wy2T1allVoT73qTEq/sO
K+nsN6tvfChwMb3zbx8tmREhgk9VvzQZNwKNpQxiM9oy7KwslbzjPljYLnIXLgEDqAQwPjhcqA1e
fpVez7IauuRl3I+FT11yXJLUpyZojQOX0XuVNWENMgowA8Ra/QV0rkbR7ce+BF6bBrT4A+c5qr15
0rPGX7tpd3sTrgMZ3udoO+MXon5uiN/TU8nUAMdVx43ZAzrsKHTPNLsMMsh7hovBssNte9f3zaU9
4ctClSXVqEPqGLqoO3PtQffx/7QgfFZaMLIOE63jmaaBbf/JZO+F62ztcgnCtTyqyUIsC0tAP3Nk
nd/lsKP80eznrrZ3KIuG9iy5SGW7JtzSIAnFk7Ip6tiorZ1m3Y+OKtm1jcNw4Qf838+eJd5UdzVL
8jpm2mFevWi17iwqo7reNOLg+QjGX9SeHOHTLFZG0mJuajA+4iWCxu3XsUEMSaruz997Gb//8UTH
gUNX/XI1NFNrDLi2dVwS0HxiZj4zHzAdJgNDbRwetIOQ3KASBNExcW5Z64HjVjA6HJfQG3MC9+vU
Y9ZSRia/ZQVJBmgOuHqfKz7x+6HwWIasJqZKWDbqM6iZ38GGBsy6DIyy4Wb4MhibA/sPehjioGw1
YRB5tKs69taqjhKb6Hsv6z/f/jYbTsDbnRpqCEiOAHy5/DYQWXEbszTrOFfT/jRDc/2nMk+5P6B8
JwvxW1t3bktwuMmlOkrDsJWtb2rbnSzr24w72axklJTXsDg8GlGx5WUYZIVXXJzDuKByMto4oY6y
L5ARBCtlh6brAsModqMKydQ2fSyIfeqHp9sbuhGPLkwLG4qiUsmZIXCq0BX34fv6rkAqSupwKH57
eec7ShGzbJF1uzY3F7zMGFRHsgj5h8sPqdGk12hX13Hvz+5zofqEHJ3xdHtxm97yjxHxlQqCCHCJ
jDjJKjiCk+aN5RARrpxR1tnacn2USlDWx2gw6vvCJgInCi0TtsArB2LeGXU975ainf3bq7nO5nkJ
DeQhfDQEMrD838+irO52FjWTtEH2hL6gUkazwx5QCfuVYazV90xd8vre3D0Mg8AfoQkHhqBLe0bN
zAqU/3XsZnUV0mWtQ6Xo3H2tEhlp2dYGgt+QN2E4r5cYC3vKLLszaBN7bXLo9R5jr4nFgJG5vYNb
KwKsCMEDEFTMSIhOx7QSv6Bu4t59WmwofuIl1JdjeNvKxmJQPODQL+CkEN+F7zRkhQuRn6GJTfUA
HmdY+Bd5FwojSAnBCA9KF/EqJEOuFKQb25hmzZNbF1FN1j+mTv5YlfHXVzvoLjBEg5cBSE/Qvb10
AlaUtNK8rIzz/IdSf8GrwHSeb+/X9Ve5NCHkuFzXjY11XsZo9s1j5mPIQqvebtu4DnOwgXkHFGoB
NIULXC5jJZCp6GzYKMb2lNggSH9rp3s3fTGKgwp+GlXiaXxbLvP2S3vCtoFVGG0zHfY81CvU+yWg
1dvknlSZZOPW3iEbgioeauooxfB/P48JFP9BBb+MGyjZVKkdFdm9CXKG27t3bQXpEIjvUA8DEwwM
XVpx8zq1lWou43k2w3l5Gc1qJy0mXX8iGHENNLMNZEXIIi6NtC2CZ2vjcT+1a1DPjm9OmDUY3zMy
Bxi2rA99XUjWdX0JXZoU4vaw6IPDRrz0c0sJtOmzA5QeHGKSle039w9MoyiVotwDOMLl0gAsyuxZ
1WFnMsMSE1IemAakGNqN1QB5wBlNP2gqRNrypcElRG2njPWmCJxEw6usRNFAfZV+qusIhyh9ZkmI
o8taqs1gwZLHvmTzvTfJtPquDQCRBTUBJAfoxwGKeblhuqtoKCgtSdSWx4r2+yWTwfOuN4uPI3Hw
J3IvgD+Fyw289obW9LUXKawLqfI5LVcMd1d3nJ399uG5ZrPhWCyAl8DdgoEkPP8uF7OsWgNCxzYB
jOJ3New89TMaHuDsT3x98ZVVP47KHYadFXf52aCS0Axx2p2MIQst2QDNtR+ingV6Z8C2ODRdnNRr
co+txriC7mxxp7hxxiJcJ7QJOk8tj5JV8w28jIAgluM8WWgQA2rpCTGDdDmwr3RI0AsZDo37ZyB5
aAz1cVb0u7ksnuxKRSW/98fiJ0iL32o9l0yebSwWm857FB5AqlfMhhOo1nq8cpSoMcadbsRZ+lal
slrTdZzHAxED4kiPcOejC3j5beca/MHTgAprayZ7z559RMd08fYL+c6MH7e3dGNBcFQ0Qjh+wMaT
8dKWa3Wt0YxpFoOz8WfhfK+0Z1pZn28b2Th5CCC4KnFHYpRTJDls+3KgrUXTOJtbtltBdgbOE1OG
U9nYNvD54j5GFxOuIcZ6vWDtuqA4DbTdPVhZHoz+ITeftXKE6OrP2wvi2cOlH+LViw43JNU0TD0a
Qnahl+D6J4mCQp077krSn1CcTox+D4XgoGjeW1tS3L/+SrCHoXr+lXDCREEURpAyr8TLoHG5HE2y
xlajRB6ING4vS9xBXp1GeQJT25ycC//z0hkyc16djDIUObNyjNpeadFCKqu9WivIncEbGuTYjb88
Uhi9Q+EFEwbA/eC/RcnWMk8LE6/QPO6rO0V74y2l4f32ukT/gwnMwnL1Us7QeNVY7JPMqXSa0Zg4
GM+p5/Q1tUrZmPb15ll4bIBrCI6uo4HJv+FZ1pRNbg7ZwYHGCSBsLrAViaOHyzj9qsFYmEMi9faa
RJfgawKgCPRhAEs5WJZgDqqjqgUet9jpUaIFk3yO2ZZvt22I2dOHDYgGeqgpcfVAwR8c5mZ55800
hnJ4sDSA5NQ/7PkJXAb+zD6VnT923//eIiZ7cZcg7cTjTahkrqWelY1LC7Doa786lq1PkM6dHl0E
9l3bd/mJJPZymNupP9C2lzFyicearxe3ChidUL4AY4iwXnUGSW2n5kVseuCvyAf32DDr6+BOOzbN
B2O9kyY9WzsMjKDN9xiDvo5woc3dYGYQTClid4VgCyZ+jSCZhr2pto5fKDQPrMKow7JTEyhMjb3k
vF9lEVgw3uHAJiOMoZYnomcVpjB3tooqXpmLZDVru4OlFWNgQi5m5/RTc1CHpg2p3rCj1oDm20/n
3DtV88wMv7KrJYQa9fhSD0kRZWVXvxQQUJMUkzYOL+bzIYqGFJdjwoRYO6YWhG8MrYihdEPDQjG7
74WldJK6xBVv08dWcEFJEJgASylOIoFGrHK11oVq8VvdvOePwDvWB/sTiBiTe6oHDTQD/hjK8ba7
b8QMDqsH6BHpDI6YcIg9A9J5q4bP32jv3fiHPOjKXfmav922suHWF1aEtNRkTl2i31PEtIpSJEcU
iurOJ/BhtVbhqzKaH1u4G/+zkf+sSTjCljE4aZMbRTyU1hxMepeCu8ZSw6Qw1jDth3R3e3UbgRBY
EdB/4OiC9EVMLsaUUs7/U8RLDbZG3Pd3pSm5frc+E5YFpifOm4K/dhlrrYKyHieoiGvWQDxVzb17
PIrIXaUVzlOtF6vfdLJMc+ujAaSCYIi0mnPfX9pEBSkbaAl/ZMnTEkJR1tfWX6R9z//c3r6NCAR+
fdR98GIxUb8S7CwuaVWnwzO8HxUMlUJx7AVifv19k1RtuEyKdUK5lTwstfITqFlZa2zTOmeC5W9m
MIwIzqJQTKeDFqeM25nuSTGBj7795rTAZ3fhqHSva0++V1TiMVseiuQa9UcPpTKMgFxu7WROLXCs
NioPCfV573Mmz0n36oa3d3bLMXFDoxeDZB40m/zfzxKCKrMGZ4KCXVwMdz3IaIz0vpG1/Lc8E6OT
H41cTByKPG+TYbFpUbmNzHeOAC9AssDp/EkmT/kxqnKe8fJTDdloQMH4uwTo6cvFQMzHnLyyqeKl
ecogAlilagAK7rx/NlRfrcC3V+9LBkzB9y4ZfKV5rL1donhhZ6f+BD1LkhgAWQ8OBqOzx376qpEj
NF7vmlX2Mt7a9fMfynfsbNdZg58/5n0VGyDRRcMa2uj7lZaSb3vtQnjMgPeJy1ui/icO46usXaaF
Aiemj2/0xcCbe9WKI6jJZdfS9XJQnOcklsC4gu1EDANDy4BmbNQqnsva18DZpGg/W5b76loHnBPE
moAnGsibRl9dVcE7nwKduvojs/ZE+X3boTfSBeimAOCKSxIV4qvHYjVhGGyxE+Bxuj2rwuSh8A7D
+jsr75Ag7MkwHctVB2c2JObm342VPbdGFyz2+5Ttb/+SKwgDju3FLxGi1mq3jaJDPCm2nZ25hEA8
PbJw3I/74kSe3LvxZLzUo09Hvy/2Tf2wUh/zF7d/w1WDTfwNwrXaGMCDgJsaJebd1ykkAQ199nV4
kB29D5DM5dG7XKsQI7NuUJRy8BAjQxZq+zEeTmaoffL29R3uujv6nN2t0RgNRyd8AnvsXjmANfiA
s3VIH9+P5WvnYyzqOB7qXRWCbXjvSMLp9U2F34f3Ds4Cf7/ZQpxr5y5vQYRaxS2l3Z4aK86/63SB
VjB2UK3cCHtiJ2FVDbJPsHEKYZnXSHS8GRzxyWWsRW7reV7FdFX8oTm0LOgKvx9Ot7/0lhmwNwFU
z+e+UPC8DCmlgrRAndsqVq2iwMsHqhFmfd9BNCuTlWO29tLG6wOyWHiwQkzw0pSHWO56DaLX3IGs
zwJYlI2xkURgUgMep/1mUVmA4T9e9C6ePXGuXMwqiNMQq1ssgFCRKi6gz6a2e2X642Bh+fcEQ+yJ
hoHyAiyxaWxpx0ky8n01s8BP0JltsWKDYchkACq2irv1l0cOvYYCdvqtaAeoCflt/czmX/W4T5nk
RSG1K0SPBDptNK9h13PtvTN5u7J/qslJu/PgRxDLXhn4H5fvNbRBbnvSVjSHIA5akryThzLx5efN
9XqtxqXDUVG6PCC0ytGIR81I62tZj23Lk9Ce5TQoSK2g5n5pipjLhIFJs4ozCzS/HiHKgYElx3eS
ad3X3pCHue0w0BFWreS4fKSMokudmfaEmuJUtmsBHHsVp7YVGNR88+zvw7TXvHw/msNJGyCraIYr
eDZfvWWH9+U032X6l7kr7hO7OyzDEwr1R/3JbvHKvP0BrkZyucud/zbh0ztmZjjgHcGn9+50Z9dr
x5RgTIVzee3T5ckLZ7xZcH15ktvio2l2vSl8sg00FBB0EQxP9tB6bYVNKV9QSDk9ggM9+WzXwZ/O
1wJUVvwhKELdb/wv36B2EtAdxkyCJsj26Z7/b7pDPhUmkjSGO8HVj0LtCNV0Doq2hMg2dIPtKXRC
AK0OLKuDenlcy31dVAfit7nnd6uMJu76BGBSkH8EIFVR8hO75dBymXUG9rY4L1bLd7o0Sjw19RXS
Hm9/6eugfW4IJftL/887o9dNOgDWN7pRQp0vKei8OtMNOlWyiebVJnJLHKbMCW4xAHdpCRJFE6oo
AGp4jPxEdYkFY1ESySW74biXVgT/6ZnNyGCPQHY5HpLAIdCbP17bBnjRBUu9+sSCLBqDuIESQlah
9xvLlNTmNj8dqt6c2x2TXR+/8CyztsxpVWa+o473hkJtp92r+tvtj3YdtLBIzB4jXhmoIIg3bda6
fZWoUx1Pz85w1waN5a8kSL5SIokD1++mS0P8m56txdXbKneAx48HD2PxO6U5jPbe+qR2kmO/aefj
vPMKN1Z0aWehhtnmTMWeDRZO0xctf/V6FmTdnQsi3Nubt+nxZ7b49ztbE0mG1m1S2BrADmSEi0aC
tA2lxZDrmIGtOzPDf8aZmZx1ipm4M8BdTpDaPkangX9Kw2mXDuGs72+vSbZ/wmvOTd2uLBetju3s
3SU5CpMvBep/ii0lupEtS7iaF0bLqil0wLpYjWmu6j535s7X9dnXgXYeq32yaI+LkUomg2QL5D/r
bDf7CXpZhY0Fdqt5XyTmEULsO2s6okbhO4YE+b29RgRdx+E1dpG+ttfmFPhpC8bm9yT7bemDb5U+
nFErs8B5mrVJ4pLbq/vHoPD5qhWwj6XFpmrWzzzxe7cN+lNiPtovt91kOzqCXvV/VyZ8PXtEakVA
XBfnWcw+W4r7aRnCKf++dONhnY4e8naPshPe6RiRkvjoxxjK5S3KT8Q/xoVvCH7eQsMbvIkBXa/8
rOmpr1gUlfwOsEs/tZevjragWQEMphPm1AOZpdFmXxLbznd2mVd37qCA4lMBk7dkW/jVc/XLbDAv
4pWEKoIpnNUy9UYlmYC2Kx+yqA0Ux1fe6BN71Ut/ffo3tvjMNpeUAiBBCHWWUfZetuB6IO4hM78a
tW8kc2C/9lMwqN90FzlOc/hXNj2U8VCd4uORl6fHK3CL9BZi0bBfVCtMvK9j+6pDA9p4Uaa3dP0z
t5Ibiq9C3FGwvAFcjdIhxseEa7jRtD4ZSwTZtameiOfdD9oS3l7V1ilF/wvYDl5zvuKOmNQCBIaV
C192jgPCwFRGhE3BpD6VSeGT4Xtr/l0LlhMHQNsXL1sOtEZtTzg9Hstdpx8ciJ+mQ2AMv7X+LVkl
R5TfPmcbd2VDOCQNI/NU1cr8Aq04kBPQALzZwZh8vr13QsD5jxVQRgMVw3EaolBtpTS0SDqyvCTD
qr4SVE52KC/nx7bRylDpMv3BTpZJkhgJWct/jaLpC3I3cAhawsXbegNjKJzOL6Qzbc7Lr5TQiyXt
suzXzOx+gQLI/AL8brOfiJL0p9tLFutQH+YBAINl0FfhxScc8lZZV6VUsLNT3jy461ExYgvY53o8
jRgznfT8hVlHb/q7zOa/VlEEBaUWEhuxiG5bXbXmU768mOzFVIqQkZ3Cvk/23UQ+3V4g//2i58AE
ZNjADQKtJmF7MwoEFPHI/OJ4KLm4SbdPamr7aGqpgZGYsifi1tfECx3DaoCQg3JTuLOcki5TBZzY
y5Ia/YvXT3PmW3lnj3uPLGuBnrcLfcAlXcDEk9h1uv6LjUWSzWtaGP+3LSHCmMVKtWrU15e16QBb
zHZu6R3nofxTKPM3wxhl8rZXRwY6MGjAgNoAlDiocgnbi/pDW47tyF4Icp3FgkwGGsDd+FMhvyqZ
8tvVp+S20OXG88FCoVAsb2nG2hW94rIXO5v2VaOD6BE4zDE96bpkF69PBUxxTmCEaAyUA/t5eTXU
dBqd3uhGdLNYaE/3cNeDmcx7lvwunMZPWeMzkn1itiLJeYTw7YJzWUc4xXXEtxRt9UvDTgmlZTq5
UEtv0mDOfrrkLiOABUE/+tuYWAeprsrGpoJRAQhQXBWYlbGNS4MFHuprXWXqSwd0JnSkEtI863OO
Z/woueO3LaGhBfQbcCfi0lySdR2tc/VFz740OpB2hzxFyUKRAeA2thCDONDxgIgIL10JW5hq2TyT
1VNfaOc8NPoQIkuKMdLaOp0/5HnczPnPupQ0ebcWd25Uv9xGLSVWxoBBeEn7LOjJSU1/4/wvxs+/
jGaghAG8Cvct1gcgoXDX5kgUWbtgbeS3ColPPf9s622wGJJb4SqKfYxOcqoSTjqAm+lyNc2Q9pNG
e+2lIeSbvpgYZtqVpvZgkjEGnIERO7y9LrGoCr9HjZzjFlFF5nmEsLB01FLVmE3zBadxv0LfDZOB
B7fwgkov/ByqLLML+nHWvLYqhTjWL4n568+HigRwV9hVDmHTuU+dPaTGLlFqy17dl6FnEPB5qGp6
qDr0zcuwVl+97L2Zv+Xrc3VojWOe0dC2vysYc5DsAo8qF3cVKmkoX3wQ3/A6vnAWvaUyqqSwk5dC
6QhHyCjRhFwSe6HJcHPXcRvoeeD+0FrGVYWhkMsFZ+5SaIWtk9dSNX0j9pTHtse11AQJfZPsLf/V
wqrQmkd+AaAFxuNEjMCEp0npLCx7NfrCukvT9us0ZdoDXSp9b1VK+cUrdHDHqBD16gt1PbWa/djT
qb+j1RAZtqJLEq6rXbawwRgPRoEI81EoqV0u3WqMzGk0/J7RfezHT1M1hdQx9pJVXx0hWIHeCu9r
cWiJuGqKuR6NfKw63ZXvzuO4+zkf8/csmL7VUMltAtcvQmfn5f78JCVuvL6/PqwjrAOfhdEFEd7f
6FoCzfkxe51d6rP1k1O+EvY8uBnQWO9104U6msGLTCNIeN5wdDXGLIGiwegt+l2i/6o6ZHYBpM1e
aZuG1gJmPqvaSfaVR+8LbxJs8N9wdlKxKvRACP96X5Fa6UG+88Ks9sf3xm/eHEl9ZXsfz1Yk+IqS
FZU+qkP2ysJpCnMlsHdslwYa2zn5Tgb5kG2fcCZNS8FYNIMxZc79xPidEU+SXYgcD//9QqBQBPAA
bfiPzvjZ7hmJV7J0gl+gxHuiUfr8P6Rd2XLktrL8IkZwX1659aqVWueFIY00JEGA+/71NymfY3VD
PM2wb0zYM44JqwigUCgUsjItr9sDENB5oltd9VvhAZwBa6CKH7FmXjIFSRuebSCI/KX5fmI0yRtD
T2WMi+AkdsAY5cYGxXncmPd1kv5i8lpZ7Ec05wxyq0ZpjPpVBB+JsshmVrQn8nulv+hFt+IfS6EE
edrMO4SNDhb/c2esk4qmsjYkQSKpeIzToTRCkTE6vSmuUbStmeL83oipDGIjmBppMAoQxLBCG7eN
NQdZ3F64OqAlAxW+H/mnzqJ0mOQQ20v8jHJpo8fNXc2Uq2TYU1rslLdeLncCFa5TY43FlwdR/uWc
J7a5HIqGSoXuJysJVMOZqJOYbuGDpaoK30vhqpRtI91FHcR9bVxrLkeVBYcBKzYIfXEXnVtmuXWM
Ki3RpQ7bQjTyXVqO95Y6WDZFO4PSNmRljhdWEtC8mdIXFzVgUjljNG/waJZgJSsIdzu4Ld4LANFu
OlNZGdXCvptf5SEmaoDWD6fRuXdmvUnxIVhL6UZrg1L1EgXlWo/9Qw6Ved3m6iDQ8chZ0GDA5W5U
A8dzBlrEABn5VrAeU3pNTGmlyvQjq5+NoL8eYQSiAoDJnw8Gr35V3FaUBGDgnsgxaSpXkO6JtIHq
pT0UjasIK0kwX5n9a1wnJrkwkiqxjHs6SPjzPwDgx7n9krnm66f8IRmObsuWrW/rtTYzvhb9H6Mo
HKDhAP1ZfEOUlE1IEWNGgklx2J/8mv1SvX4z7XSnSHesc8wVGMXyvH7b47yxJloJ/DTsde3eei7o
XSyCJclRS4CzN2sYsDVj3CJm1Sg0RCnAZhpb0DTF7S8yHWNwDSFg1q4fTFwt1mSTfl4tvjzne4Tc
MnZaRVpKMMIo7AEdeChFe0jdQukdqgxeGn5GvV+hVqP1K6fD6lpyBzrVqSIOI3xW+p23ZNdJ5lZ4
LKMxIM2xg7paBzlNs4sdi1y39RrTwDyXXKKEDfM97Dk6nJy6KtqKRQa+/2BUhcyjRTchTyoz73Lk
XMqQcGFD8NRmLXq8Up6bqVgx5h3JSJAdESNs2djQfJfIdh17lWD302HtVWjRh04MclGNAYoAdnws
p+5MWxLbEMa10VIyPn9cHhkPRPlrJ54Y4o6jMoSGoyzBUPI0/ikC42B+sjdQQ/UevZGY/Zvayv71
KOf2NDjZveRIj5c/YNl9Tj6A35qiOpCxgfvkox3dQ3JXuep90e/d8qHZGDt3xdy8D344zIk5fnMC
nzl1A8wNLhSff8mft+pN4SmxM2yO1q1LPrUVi2sryW3MIm40Bv5hElThVacCGh/0KDVIM4Ymvs8f
CFkDfi4d89CinAlYobSBd61zXxWkLkcHCFa0L64HQIqyP/RXlfuX53F5Gr+NcJu+VCIyRnlNgrCU
IZo96e+xXElOMg5rQlhLCdMMHTHmqiHA/nyVMktJVkOmjQSNRtCUsR/9cKcc2/pR0/cR+V1W2/EB
+nsgmxedy4P8H5vj2zQ3SqOWQewAMdPAHG5C+lnrB6Vxaggxl5E9iodadqvyt/7QvpHWUeunSI3t
8DcF8X1d3mnWs2r6BECmyx+1vLzf38RFPMb6EvzBmI6ICKGrlWnrM4huueDrDISp9y5bW50CLu1B
jZgluZHjMKtjv/qiBqCdTa33SOtumwZv4sNep05R7Ic/MZF2vbkdJJ+kEF4Fqjhx5AkH7Z2i7Fq6
hvdZ3lnfMzH//UnsBykhmFnm1RHZQd7rzsB2nW09RrfiGqvEHBR+Bo2/LfF8axre/TQ9nydBqyR7
HKvErdVsjan+f4TCbzNc0M9VKzaLHgOyrEfZ8NJjV9mpYjPXfCb7+PPyyvK6zH9FfnDYznV4YAx4
JiAhboUmajocMcwTrWuwNW/y7mGWsBplv7Qe6Y5Uj33tHIoPsz6MrU+FHV7opdfL37HsYd/fwZ+t
upUOragilGT6Np8cDbD5jTpdUX3Ebr9h+jUgAE1R27LmDlDoGPJ6fg4Bwe8xre+EcNsKbzqz1fuV
z1oobaFZ5O/p4e8VpJsKhQI0EXRd/CqYflZvxxgq7De4rNU0v1Pb0oGax74qtqn1WyavrLMT6R4F
/1EhXtaq6OfYFqOflS7Vkh2VryKWu1NlHJTepuYIIc21Z5XlUHnyzdxh3qNLOM3wrhGoj/kvGqR3
5RXbDF7/oD7Hd2kgrL0DLp4CJ/a4s5vOikGQOidBGUaTP9aQ61RLSO6hqWdVDnVptyP6Q9HHwjkA
7YPz3U4ZZDckA5sjUwD5zkF2yKKd2N0rlluI2yaeUDh/UCZfb5zJ7OyQPYwQjhltlTk1kn2jsVm0
4rqLaeHpN3GxuEBfqlA0JeYbwrr19KoK+CySuLkw+UrzO6WmXXS/8IbhX3bOxYU+NcxF5V6RJ7Vs
sGfi6JBngQJeZiW5MUooAdzkiY/XyRCNuG5hHCH0fdn20n371DQXdYu+VAwywXQhChCfRVN1dGSF
ZMcvprzWhbYUd09sfc3/SYTXi8oiDX4FVS7ZqpjYw9qWWTpNTy1wIVdViVTjsYkETB63dJR3rKy3
Uy47ohGvIMsWr2gAm4PiGgQFEMDjbEWJPhayiNHUmYdT0RPeDKfYFM5w1V2NK1nCsmueGONCwTQZ
TVV2PYyJkM91+tbtjOJQeCEYWdN2K0wvo76mi7xYSzgdIRcPBB2P17WCmCl3zB4LR2u2lexUD9YN
hCryKLFRyTBbB20LhvAEstTLnrkUjU6t86n9UFNDrhH9wtLMNxFqQq41qDi3eqT3l00tHtWntuZv
OfHMuMiqLAfXShDlB31ymHgliRX4hK/M1haGY9cnTlTd5L65looshsGTdeXCoDQYw5SOMBwb20H5
U6KEYTmDDcKXTWJ8GA+Xx7l0CJ4OkwtwqWBpVYGbb5Bk15WYeQQgK/Qvhh0qRdGEbNi9bG95dDNL
HF7q50fg82ntQFIjRM2IIL/TZr1gNEM4Rb9hjWsGSrVai513HJ/XAQz0tznOXyMlBUecieFZaC8v
vOhKujccyI8hn4BeOarQa3ezxYCGCiKeCMFvilr6+fiqKmtZFZowGAuWrfTJZE8aigiXZ3HpAUSa
GfD+a4Y7HuQkAxowwblM6E2soCvaN8obNLNjg9rqrLr7CdYcoOD1zM7H2FZkx9DXykKLkfXkG7hz
YigsdC8QfEMPzfCNcpAkW/zMM6eon6sP5bZw9fSaSg9msa+FDE/vazVGvh33K7/9ngT0ip3PdRR3
iUBbCYeziEfWffTYZbZmPrYp0EKbEpIk6bZJ79P+aN7lz2mxsYR9QtEGOBKnk8mGGWDEk2+T8rU3
7wkbN/+vNYKw+vnnZej8Q/EFn8fEDUXXT3sdN5u2eZ9SP4PKgulP4Z2QHhux24kQqiFTZ5vlGgPq
4v7+e5F+UE1O4aB2vayjfLaxYpdBr+UuWBPnWDz3INIC3XF45Ky0fj5SKsttKUZyEliHlODFQx49
NflgxjFrfpGqtdtCcivT07rXlSmeowW/vU8Nc9tg6lOQvvZjEoTpUxv/YQ/XAMXvxcaOxg+B2O37
3WWDSy4Pehtw9OA5YqZROx9o0YwxFNVrxA2NoEXrRmSPdYQOJbKWdy+FkVND3MASOjWiYpZ4axx6
u0h6RzOfLg9lyTFOLXC7N+xKzWhqDCXVCkeGZvfUH1N605P3MvO1bk16eNEcUNEgbEPFCloD5zPH
pEQVtHmlGql0yiJzw5TarB5BEKQRB4SokquQyr88Rr5X+ytCzH3wMAxWG7xWnVslkmAU0NCEVbf5
LQRgj9VC95Yldrct3fRD8Ry5c7b/FAXOm+WbodKhmMSphNkWtXm7uol+KfeiP/0Sn4V/k96ejJBn
QJISlvV6j8cxQkNH7w6K4TbRnW6tpAmL2SY0C1EpnsEmuPSdzySQL2o3KnO5Om1F3ECEwU3kJH9E
9/dR1rPqrhrT0WZlaR1BU9PcqqlGdpdXc3YRfrOffsK8OU8yMqs2FYG1hASG5KpVY8ftrstGOzMP
grqSXC9tPyAYv2Av6GjjK5Kt2IAFqUQ5KDJLc8+KSrNR+hLcywNaLNAYuC3ANdHtjN6o8xEZdZfj
IMfdxBiDLtr35RP2nTL9KT8zQDZB29amdvIxaT55D0W3t7Zh4YEH6v3yZywN9vQruE2Sj1Ir1DXu
e1Ek6hs9L4BKFSEyctnKYkINHCqgWjNtILrkzwc7tXoX1gTJO409sHFD/EX2wCEo5LdopMK57ZTm
lXjsmo9htbr3tc951zm1zblOMw29UVlIA/XhBkoc+7AR9m3Odmx4lMV9J86vksQZ6le5+J101Bkl
P+2Oo4B35l1Xv4+a25GtJu3q3If/u1H4JhRkl0pkqyYMYhvCjgypl3SbfzVnuAwAvQvMNz9nuo7G
qGZEttwz8Ae95+LVNGlbwVZBcTk9xekuQT20Knxj5XCY1+LnfKFJW0WLqgRk3flaNZMFaXXkSEEd
q4DYUAtkFkpcbkYBUtGXx7jofaBd/K+p+Yg/2dU67Sfa9ROea9BB4MVNMW3RX/Jw2cjswpfGw10D
OjMEZrMRcW0tpG26j6vR0aPUjqMwCKO3sDc9I1qDQS1mRaAV/3tk88hPRtaVIYBLDItnStEugiqA
lhHHUHBdbRM3UnI3BjpSn45DbYtkdC+PeGkFQWU045SAhwap0LlxdNNlXQ82vkAFTZkn51rmC2ks
uCnRs38Rl2eqVxEZEUg5eQ5jAXJfaKW35lIVsxu8vyedC64qT+x0L8pWMrDFcYEBcubZgDwKHzJR
YS31kcRpoIQx1LdiQGyTvk7cNpvWLo9rpri4qGYjAC2MpUHZUH2T4jrspWmU+CIz14o5iwFqph/9
z7B07iojtqkQykSngVhUVPEas2qoHVm10fpV0k3lVThJPRv3goZaliP2CuTn+qQPwSI0SZqX4qkw
8QpdTpStQsJU2rHJiNpDY8mD7MoJwZ8jJVNKp+0Ngd0ZUZ5UfyQxLlFH1OVhM4YayW0tq/TxYPYy
KK8jfajLbSUW0J/pOrFubBBk5KaDbYSmrbXDYSEKzEIdM3QJVQEQiZ+7qzUympSykiJjKr33yS7d
z9pJ7N/oVrcJeAAub46lgxdZIa5kAJ8Drs2LXZRTiqZEs6FBZX5IerU3cCaFahgDUSEGQv5ZFyBr
ElB6ptOxHbOrPvHU9CHrQ79XPgchCLUPKHB8XP6qhRRZQSkGbXVAuoLxjAu6mdXTZigiFqhxZcuC
aGdi5usUvGeFD0IFu+hfLxtcilCw+NUvMb+78gLNSByLehQSFjR+I9kZhFAd+1N5mx7bANrl/8IY
eG9n5T8wWwLQdb7EpGVGDhonUPHsuoBt2tLunujeYTdkX66AgRZ2LjAc36ZmbzuJvHkMW3I3j4vi
eI5N4zMu4jdNYmuhb9GRTi3NX3JiSevDEGJksDTu+3SLpmm8RITjI4QqQPy1zYWrzIPku4quTLQY
P5niM7qa0dtMiseV2V1yHkRDC0y8M8srf2IzE3p6BStZMFRXg+ylg0PFwbNAOvUov1T3Zelld1E2
a7QzcbRpcp/JdjxstPz+8ocsJOkzfObv7+DOncooJ1IKOQsYa2wQm0gl1DNnaEm0Rgm1FDJOLXH+
pBeZ3qOrlwWZn9zla4/wX11YXMpwNhDOh4woGccsxIQmo2PkLqk2JH0goJY6ZJ/lex7b3ecESIIj
Po/b7NG87rHwaznz0svp3HGAzkLQ583Khufu1VA1hnpNA/cKb6udbl4XrTO4Ym1brV29Vp0j9b+b
J8g2ZpVdKxAsuy07W9oYFS6b2SpmfXFbAdAHyciZUcfi1pZlU0flEl/T7gcIrE/hayccmImHqLHY
NsIBmIBYe1X1m6FtfNbVIG9N9lr8D8ma5tu1Ag8DYTdAlCAu5OJkM6WDICkdC54k9Q2KSLZpQkyn
86gGelhX7rahFKjCa6q+9craQbW4IlB/R1YFQZW5GfN8RYYyLCvTHODf92j59HbqbnovN8mG7Yy7
znsEFZwjvluuCAa0+tCuxLUll/82/qPgKcZdlRXqxAKwAwOpUB+YuAqtnxeR9/v5Lgo2XmCYIQp2
PkCNjjXor0W43LTXC4eqfo3HDmidOtpT9WhBVNrwqjWFq6+KyCWrXHlIQ5MiSIfnkbmd23uZm4BB
z29uVCcc7cFu3fRW2Cve66650Y7Dwya7766H63ir/cldvADfJ++Xw9hXPePSB3FX8xjN/bWZ44M0
W97Xb4X/Hju1Qz6uSnQcdG7raYG1hVjaZ7m9yw8WvrE6CPe/a9fwoo31aLrACuyabXRF7VfkcxsJ
/99kG5v2gdjUufyxPBHg1444XTPOKZu8bCK5w8eCABN9Zuwu0R0aNI7gys+edK957Ta8Fp/bXeNs
L5v+eewAyYzkf0Zm49GTr3HLdWkQVR2rgAoQ+ADRpBX7eDJuEZ5QZQtR9L1sbx7J+bKg5QneCUTx
DBbjn1cKJc26siqawHzEQLvdb0A0qyfmrtVfF+pdM53orGsDolcIuXNBRutVk6FDDoaSXQyAQXtv
yce+V21jKFwh3ZUt2oRXsOHz1uIHZ4CYa65Wgopa5E602uqiMs/zJlCJdpAIOnat+KPqFL+Tiz+X
5/FnJIGemwgBKgnW0NXFuXc4MDUxAa0Kolo8glYCN6k1ScmfmcC5Cc4pTdJnhT6WTWD0g0/rAm98
27J0E1MCRmblTFgZDt8PlI2p3moJbA2Neh/R1FfCNRT0mgnOIcRCJ7nUzsMZISYYaTaJni+vyc+9
hMXHVR1sufj3D2mWuA7zstMo1qQYoWCC5qw6Nt0pyV2N5h4p+z+WWK30+67Z5I504G1UMQxZE7CQ
OIpe7kYzsjN2i3hitx2wNur28iCXphFkCSAymAWuQcBzfrwQhRiZmmEatWnUvdEgYITSxZfLRhZq
jfNUflvhjpM+qlRaSnDv0q4fQQvmpsfnsLWnvaMl7rDSEL48h9/G5r8/uQMkTZZPmpU1weiMo528
Wb+aEbR1T5fH9DP5Oh8St52YVYE9P4SVwY8f4qe1E3hpt37PGDg0zgch9ViFqEHs0WrVE6ZAszok
eAE6NVp15bhaCnOnprid1KcFAGfTHMPr3wVIeMBO+yj8U1pUnInzfBnAPUIOBWGOC6aSWsZ1ksDK
NAguKzaJpPiVQt6b1rQvr8zyeL4tzS5/sv6WFZMhl5smyDMrs0MZssVSdgDu6Eko85UMcNEL0GSO
5BfQb3T/ntvSmmZIiTbC18rIzWKg8aT3CUnZ5REt7x9k1uBEByL7hw5ADwx9IU0wE1dXUQ1Qtlx5
gpXtChMM27EnG9E1uKydPFJeQLTsDdHwevkLFsc5p9dotgaFDa/ImEQMJB2Z2AQ0fc0tDJMeo3gN
XrxmhNu4egtddRZLGKUl+HEfH6jQ3zIhWYmxC1dJaDUhnwYPwcwuK3HRKIwsoTXUEA7CPkNUlkQT
jKDUAeMjqyCwmjKbTp9yD65mBbJig0c65rU53iNycqOluSPjClomD8UUby/P8kLieP5l3AwArVIm
bWXgyMEl0hUqN7yvAHT/E04euza2vQRUsGs8Gtda5+sfZmCGta2pwdq95mfwwWfgTR13XBk8+HxD
Q9uomRkOHZr7UsuJ5dtBlg6U7Udma/rqo9t8pJ1nWXOlGrdpgKLnB01uzIIgaGOtFu2MRp4Se2S7
Kn3LLU/7FZVvuOPaQHoK7BNsQit79+fRBxgSOHVA+YK8y+JJhs1iAEmIgRbG2Pil6Ycqfb+8mgs5
KwzM/AQqnvPQpjyP/CQQVa065VQlXdDUfafbVpGK0lWX4qX/yFrTSjb4s/UuCWaruCozJ0jRp6Wx
lQXgtNzL3/Jza6GBHm99850A3aH8C7iYTlFqhvEQoEgtJS5YOMQtGXWxcKHjt8Y38TMAw5gMvZL5
UjCzzpyPuxWYFIHLcggESncqG2unkBAzBjLg7pitpc6LQ1OgBgQOEwVvmfxuHqa8NetiCABzEfdg
gtevBxDe7mRDJCuZxaIpoNdMRA2IHPEA/jDRxTRTOwxsBHUVelPpVtZyBZTUaDa8vGCLczjLvuCy
M18+5k859R0z6co4lIeA5EltR/I2TsE7Oo6D12rj5F02tgAjnXmlUKUEFGTuhuDmEC/vPbLpYgzE
QbBurUivOzvXIjBbgVDImpzIGIv0FvuYOmkUVb7BGqPaJ6VB34u2w53PyEM6QHBY6h6anlH2dPkD
f25VfN/MwIo24FmtjUtRqrYFRzVaAoMQ4OEDM9Rs7uySV6bh55x/aTyJcF5zpsPhDnNjigyhVIQx
KNHQdUAX/rjXBSHeNXmdPIhqX64g9hZGhdUFJw4wOGij5m5Jl2fop2vO3JnfP4ubIRSI5FCP1DHQ
75T3dKc/X/7xC08T5z+fi2WgdIkgLYefL0NT4Fd6iIOdVdtoAiseGZ1/X7H38wg6t8ethcaI0oKn
dgRuE1IlB1pvpGei/xqqzQCsqKneD4InNba4K0js4JHO7oe7Kv4o1bUe/gXk//mXcNFsKnQtKgYF
3bWRp7QH/U0vrmSU48o34peZI2YaaF+t9uZtZQbmDP/8XDy3y0UAS1aFCW83Y9BaL0XpVum2nnwW
+nirfo5+081lc0u+j87FGb8qzQUI7jqjdJClYXU2BUkq4/U9T0Zgq8MbKylDu5PzNQriRX9ScOgi
+5o5vnmKi6RuZor/fApaRXb15DMFt/5DuHudpG3bmWAdT0z/8giXdpsOHhlQnQNCgUvIeUQdLalO
lF6ccC3Qa5+IpPBHo1krVM0/hV+1UyvcPJbUisOh76bArHKnksJNXmzaK/T82+HBtMhKKru0S6Dh
A0pOXN1xvnO7kjY0I5BAmwLLjNi1iHuCTRuj3ElCrWxqNQ86QvLdv5jHE5vczuykqu8RpGFT7AhA
QsWwYWVubv+NFTzBoyAGJOuPHjXk2o3RJHj9ldXmCjrjLz2wSitGlpx+Jhe0ZslCHQnvuUsMKaTn
WxFPzHIzRFeRZPhyqNxTw8zcMdHUlYlbCtGI0MBb4Qanob/23BrKl0IeFkwMJhxxdm+2zW9Mc3at
ZW25cpItpJ4gNEMlcaYzBIOiyTlG1KmTWofmFAD2qOyGIYNESFrnDvQfRidLxeipa/DuaPTQoSkr
CDQbvaWvZEuLs4u3cwXZC37js6W5MUUyetQuJtRN9ySFyH2itKObonLixJP58S88xgQKd84SYI1b
zCmV2WCEoFUzuqH2JyaJtlkVgvPPraCPwABKYeY15UVWNSbIpdbHYpAb/V2WpqXdWu39/88GH0Os
VjASCt9PmSDZSddETmetvWUuPJUDw4YsR0NERIWb59c1UiMzFTbACir4e3Tb1gfDHK1dOIzNfSui
MJeaNbSyIlD7U7UCvjQadVsKo9ErAfT2tESw/L7uIRVRjpPbCnryEBUqdWI6JiudXEtbBxwweNNA
OyJ0iLmzEE/pZWYxWQT+MwzdFMdT0DUgfGoJTYPLk79sCtKHADSB6JTnzRWInEV1aolBLbSjI9O4
e8xrU7W1EUiQy6aWTiS8WoKccBZVhvzGeUAYNC1JaK3Al8Q2up4ImTxVbsR/400nVrhQ0FQM4iKI
2KCgblU/bot8p9NWXckfFqcN8tDg/MWVGpWi87GYMh26VI+kAMwWYODsgB0sJplcoySlr2zBhWYb
eO63LZ5gu1ABwiGCKQYMFQW8AJlV1h0liF3020iZxPbYjYkCwfF66ipXsUo2bpXEEmsb8vQ1nuyp
1qJERlXdFhOtjuym0tD6nKsEjQqXV3h5VgxQr4oGqnb83RQaC63QSKGIBrm02EuNob2MYl/fhW1u
rTy5zBPMJx7QIgWQD/cXIKS5LQJInFE0VioB3Sg/DpP2XpXyfawFkYQGEGTPM7akWUmploYHsqn5
jIEMHISozhe9itWpHGrY7KsiBr08pK4KIY59gCeiFVNLmQ7IwKGvhrUHnaVybmpEOtBJeSEFMQGb
/aHR3SH0oD1b9Ss5wdKmPDU0//3JxTsMw1QmZj47cnbL4sShEVspPC0cjDieANxAvQt0sjy5ca/O
V+3ZK6I62mdNvSFg97C1ngHY8njZAZfybLzQztLt2AsGvON8OGNXxdbQYTgiuM4dOepcvYlVPxmq
4dpUK8Fpkrw/NpWKl33NvNJbc3xmglKszOpC5wfKJXgDQK4KX5H4AnJB0TsNmV4JMAndjnJ6Najo
zZefKhMiCLLklHu1AcFPJLt9gRv+qF/XtPVa2t2wPN8JWTSsbM2F/XL2Qeb5xBRVbgm9PO+X2NHV
xJdpfggxC+3Y2ykkP8vxqK6BgBd8CzZBCGcgHOCOxe0XcyggLJbUsBkxVyW3YrbWK748qm8L3DYZ
cOWymgoW1CoOfYoXPWsI2j55rLoKxYzkrhjCY2n1K/eQpQLS2cg4N5tQ1i1o1UjBmH3o6bNwDZEH
O5/GByKqm5wkdt64xZg4llJ66Ki9TnM7sVYIWBdeSTC50K2WgXkGRosnSc+mDDm1gBgBVJYCnEoh
9E5qaE7WSwBrZgzFx3BP9MYPpUG3M6IclWFNaHh2Gy4Mn30D51ZGjRPFGnEOVn3avomCiJtf1nXt
89AhU5pA9n3s0052J5atCWcvhpWT4XNHsN6bmZTMwzfQjSCYv5G9OqrxPtG1YvJyUPm2xB/AZVWS
CJBlxMiAQkYeOu/XKF6Tp/Khv1Hf13hTFk4ZTClYsfD8pCBZ4nZNFSZJ3JFKCvTmqCqBUPvquFKJ
Wzhdzkxw26brZErHvkR00n9jRGAZlNlb1Js4znaXA/LyIn0PhtsoDeu1XtexUdjkACG01Uxm53p+
Q4eVhGwpvz8bE5cQIOccIbyEUNCiPlumu4r5eq06ivop451SiHtXkhyBKLcQovUHc1N0WLzErdTR
Hzv9WWXKp5aIH5eHvxifTtZynp6T01XC3UxiGibalF7jxBXDwlahYJ/8qoWbTLpR4uCyvaWLMN6d
UWLVwcuMnkPOYNaShKBGgbyhsyv4qgKWhDf9g8m2CaRScV+vwWCXo9CJxdnXTobI8kkch3ne6zj0
ihKKSZO1KSCIOkYbVXjL02PfypsiF3O77p60ZiUUL54xJ+a5ANSycoSwaTtDLi0IrpoSseuoJN7K
vC5uSkhfoJoB+kwwSp6P0sgHEOZlMKObjvy4U7H7J1B0HWUb1RqQazhr15jFLXpikHNniBEleCnD
xlGhHzLSym5N2ROkV1bEbjO9XB7e2ug4r4napkgmC2tY5MWvuqWZYxJJshmlqXPZ0uKGOBkW5y29
MRr9OMDSpDUe0+5S06uUba0frdEpislBMWrF4mIEOrHIOYjFekZ6AxaNLtuY4XbsXmqGprnOvzwy
fiMAMIfewhPJIG5oylSqMmEhdJDaFzRwOlIFyI8hFQcZ5aBZJ0VOale1cjtL7s36Ph7Dyr38CfNQ
Tg7jH1/ADzUqkwZ9zvkRF19I96WpFtupjmcLgx2gHe5OwuayQc5v/mMQIEWUKUBbyaORVbEBkizE
kFWKMnboxGwbmmsqItwCfhkBGxPwluC8BuCaO6yGKcvMoSP5cdA+lOEQ5hFosexIWxkLf8r/ZWce
CLqLUYXlETtiF8UgPoF2lhVR15RfLIdKuSNptuRY8kZ+7/KgiZOVtJy/KHxZhT2gnYEqR/MEl8WI
o1pUePjIj9GTIOzJEVS45EHUfQb8vLIZpcEuP8LEL8tNOTqD6tarVE+zX/Jeo2rAYaIqM9fFuHxD
nNQiVAQDeo/7m9K27Pkfxbfsl9z2ZeBD9sVb8lI+X/acJVdVDYCIgPHGTZo/p5R2UHrJgFwbRcLY
0JsEdGa0yB2WbGTlqojWOtyW7CELgXQ0WtzgTJwTsb7WOiFSiqM5NI959ajmyVVGXzLc4w0B0j51
c3d5gEtbA8cSNOlQCkZVn5tVqdCK3Mrj8ihXZnfdy2O7o72xp9UobS9b+hKZ4BcQxfxZQhYVEeA3
z88mCdpMemUk5XFet2jb7KJttK12PXTKo9oON8BN7cx9dGh26RbX3m0VX0X0KLrgbTvGa63rfAby
5dCnX8PNtFRNaWZSUh6V/DUXiBOaLyS8IqGxqXXBL0ptD/kVKAA+Xp6FxY10apc7oWvVnELQYpTH
YRh8lbkdMx1Q4ITDI9ZYSh2zFFwreomoL9136L/NbyoIrbVr22lhN6EBCs/bX/pnEi+L0ekkzIoe
n5FavUuMK1INtjS0tqJFjpqv1Im/yu/c0kt4vQcMBArTCnQyzpfeioxGFfSiPB6Meec+gRDZBaLV
z7ca/vvXu2TP6NPIi/2/fqXOJ3CVDvqivNCOHM0RXckZvBHixqKtrDyILJ2ICkqkkIADDGc+gs+/
Lh07gGEGzIXaTjYkVyEEk7xO2nBbG9NOJAJaEq6ABtr16eiNGt02pbEyQQuroaB6NjOAo43px5tM
qtKMmT2rj20PER6IP9rVuIulG4Lb8WX/Wwgw2OeIL+hGAEiEb3hO1FicejQdHXvzugE7hUKvarFx
smlfDSAP/GfXqnmTwRqeQnFOaSipcZuMGL1cQFiuPtbUljcTrtc2W9Ob+LmT4cPguzchXGnAxQwu
K9TqPE5r5JtHGv2SaeemWxP9t7R1qWzYSel2RXEdrtE1cwkipBJgFJhPAEw11JE17jxMhDSztKaP
j3inTL2pk7OjgMZfz+iq9Cpjcu7U6NN1WqWGus2UrJQqf/gLGPhnaXJpRsnNRd5zj41pqE/5MMXH
kULtqsdLn5OqLPQsqF7tox5Su+nYspW0bY5MZ5sYLbez4vL8Koumqq9eoJMbFEGZzKSZEh9zWXTK
UHodavCy/kP3nG0ATj+jxuCk/HkbqnU7yAZsxLGXaR46ZQzr/0i7rh3JcWX5Q0eAvHmlpHJdPe3d
vAhjemQoR3np62+oF2enis1bxMxZ7O5LA5UimUySmZERm2hj5l9jWe5TMIdnpta/nwzHoK67uLWd
HOEqD6nBiD3fWsO9wsxbrby/PCyZLW69Kr0vesMyk2M5kLh+0F/jn9EAKVfJ7Im2wiq+AiTW2goJ
3bzzMQ29OrtWqcEvspemtyGB/MVh2/wqpkF+VXTLbqrfL4+Mx+GsG+HMJHeeoaFKMQpr9Yp6ugeg
6irHcZVOVmDPne/G0K9OOwjpTXfqFBMw4C/me0Hp9vJXCOf3ZNzc+TK0XeNYCsZdOUHVbuiuuHYU
tMJdtrL+yqcNsGa6wPSB9iM+aT+02VLPOjymTdAbjExR6twtdJEtoi4xww1mpl1ZokQMx2y3gPhs
06UinqFstfQuDa7R71JW981CpK3nnx4w60qeDI+Lo5VejIoXwW6ivyfuEi6T6Y8pwNedJHp9PnA/
LDmQAwWwCSVWboTegh6KcknTI3XNOExrE/hibUIaeqketExL/YKWbyjG/Kg6NKaDNqP256R8NIBE
l5z9ojEDBoHEv4nTCWXS8w1Dm2QqZ4YxU70+WGnougO6wReiSOyIYidUstBsgWoPrl3c3PYeS+22
cpOjRet221f6izOaTBKgP53tmNZTI1xEy4pKy4zZwmAa+m6PfvWjNqkfa+i+TkEzWPeZf3lDCGcP
xE9rPRcKlvyNvm+pkU46RuWpt3R+85wa/Il+pz9cNvP5yYuB6TpuZyAzwS1J5Q5b14ptN0OT/rEa
ICa11TrbzzLwEaG5EEga0HT7yi2IDCQbUTSdOhDFHoDFeNbzXhqbaVlazQQvVXfJtEkr3/neRD4S
hGMlI/cX+cepLc4/xj6JaFrAFoqp/ljgv1oSvGQWOOeIo0mfpxkWQLUIruKG5P2fpTg/TgKgyh3D
BM4c/dccbsLFZU/P2yU9oqM1kCXoRbH39MfXoHlyWufDnAEFAxdQWeNP9lcLdHxl+1XiaOt25yP8
qRXu/HQ1KyntYR0CikIvaTjsfribPLTJ7rIh2WjWxToZjao3lqIqWIwkfgJ/+papjLiGrOglXvLf
C8KF2Tzy8nI25/S4UIuk/V1h/o8rznltZNqVm1WYLnRz+WVy12q5ZA/KhsB5rdF0wFLOGEIPTu8Z
8oldKgFoiGKYjqs8jgCc6bhWny+FomkJoLVYCgadJwZKzjJzQ6/9yurw8poLw8maPVNXsilg1c4N
DdbQQj25xBZ3zb2Vpc+ecdMa9zib8LpfG1BmiZMJj1n9xOL6RSdetugms+oYFpNbBVkVMyf1Q341
B5ZDNB+Ut0MlOQ+Ebn1ikJvLUUWjqo2U1VFznmJahAwig7bMCM8t8RFnkEMASA4N2SsY7HxYtCnb
hrVqetTvbCDfrtScmE9xaG/7kF4VX607c5OT8TH75hyymOxZtrElPsNDnf75BN0EB/+az0C30vkn
tEwpJr2102M+b8a75UcR2OzKiw5LfWfl5nE2nltksW6UH3FSE+cPld4+WecmoE3yeJyBHjuq7TcD
qOy0U32VXbvjezH/zcGEtDnemugu9AAJPx+pl1SJVUbmusVtj6wqKAGYT2Sla9E2x+0LOVYVEtxA
CZxbsaKV7glKrUdAPnaelx1mtAhf3n6ifQ7MK1q/gMJas/TnJoDn6QGDcRHawZtoVpv41Z6fp0mS
Tl09nD9ALFBEraLwFqgeuANkdI1U7+IIVtCSXhJcLzed2fsdAOAgRVjmwTcSGa+F8NV3apQbGjWw
zU0bRov5K+o2Y6SSZmu92Nq7Hc8bu0/20fB8eTZF44TsKwhqUWdEVp47jjtwp9lR5qVH3LoUJHPj
cDm6t6zY/NXgQIeJ9DQufmue+nzdqBW5VdUm2dGZJjyFtij6OXNKbOTjleQumQySpVDpkuVH+Tr9
xyazcfdDpuxD/oQL11XbMhtSpunRwKmTmi2EdQvQg1ugf4t9Fn+ZXxTtBjQ3Bz26g/at/h2iO2zT
vGf2o2NYEuflO1D/+ZqP+hVoUG0o1Z/PguJ6eYsesPQ4h9OD+Vzeud+XTX8f34339h5VtB0mBt37
w10Dvv3vKFBcXm59XU/erwEZR9npH/vcUZK6qJYrBuznFYmurcD6Md0CekzGuw64v6/adrnyQiUs
RjJEX2If7E/7fGc/Xf4KodOdfAR3vOgteJhVBj/Xxydmo9HIcEmz+E2x051NghpCDrLKyyZFh/ZK
YoTQBKo5PALO572OMwr6eMjI54txsKGF7vTXQxmwxNvEt8X3y8bWRfw8yb+NcdcpLx29JKYwNh/S
XfbQ69hasjAofEvZgAMDF7ZOJX8NSbW+VyooJB6HFdxYgK/I7n7FEfShTeNQU3a7XksNj17H0VsK
FO7lIYq3FQqIwIuiCo3/nU9oVcdN1EKl7Dj7iI/0rsqC8iF7XToybsfbJt6kN6rvvVUPypvyNnqB
xPz6Bvk0xeDiAcgT5FRISp+bd/ReW2J0sR3tu2mf0iB6ppSw1+g2Iqx8/SmxJtw12LtrcQH0P3x/
ZNLWVJlADHBsummnjnfjtfsj7YleuUQZn7rGt4InWZO4cJPAUSEbgboliAG4ESLtXJfg8D3235xd
/0R9gJhSH00EkqkU7owTO9xrD51PZT1kY3a0rGdvQbXODUrvaJrflP3QTJL4Izzi1jf4f0e1zvTJ
VdbW4bRpCWtd8Atpqcco6I/LFxQspSnU1QM+eYizYlDhHauXnFsqls6LqIL5q6ACMCUbhh4DnyW7
1A3t/fA8Gduckuq5da51lEkjWQJcdE0Bkvpf81ygL6FcF9UUA91M3w2wpMWSGCN2j9+/zwVy6njR
YqX4ff3anIm3CnyU147ziBcPOioJk5j7fxbutz0uZmeTi6Z2wCKOZWu8Z5mzLeti37m3UWUD2Yyu
li+xATIu2WNLsop8SW/QJlW3C5g1NvR4sMPLG1t8HP5eJZ72qirTLGoZZnHYzGH0rduYaLfZt8/K
qxe42/iQ5CRXyfwjenO+mhpRr+cNaPd0tr38HbJRcrtCH4Z6GVp8Row+TVX5Ogw3DZPlRNbb46cN
gWszSk4aspf8VCpZgpC5br0liA9vzm72ravuJfWjq+YufWBhJhmUMLCc2OMCi2pWqgtWyexIq21h
3i0rW1p7b4zX1nxTodP98hSKz8MTc9wcWkozoL4Gc4C9k2wAK5y5XeqAHR3qW/VtI8Vkr0+AS/O5
/v0klNW9B/B1jPkc/SKc73CROLTHn2jmJ1PY7v8Qef7PxfFkeOvqnlirDHvAGfFhrT7qvgmJpOGX
5f+6PIvCqHViZXXUEytG78Sz20zZsdi5t3NgXknhmzIL699PLIAMpSwTAxb6b9MV7uLX01UR1mEG
8BHdQC8mADnzPYSBL4/rQxfi0mJx4RhwcDyLE3iHudUGdNiboP9tA0DVgEugBy9sa/RHz0ESvChb
dWe8JT7bVjv1CqmInRWgu9ifN38IJf20pFwIX0Zml7mLJY3MAnYsB6DLopcBBUTbHncWoCI+7kl8
gbutEyCfEgXa66CbSKIaGQbJRhdOLlBVno4SwqoUww0EKR7UJ1IPT7vNAPHorXkYD2w7/My3+XF6
iK/Ko4dMTus3u/ZYb7tf1Wu7LR5BExn2+z6ov8Q/6q00tbPud37FTz+KO7CMSE/jfMJHKTfNRg/r
oPXRIBuCF9mvfXNz2b+E1dMTazwBzKyndZvjJY2DxPRTUHkz8qMkhV+CvACtcpI7myGKPafmuNi6
6Chf2gUG14M7dNxNrz+1TQKHTm7Gb8aNGkJ16aUJi4O11XbRTY1jK7vGdUcnaOHbdk8umXbKtgBs
5/I0fFDPXJh0vpCErtreiFR8V6BeKzfKHnj4vdH7oLBoILj9mEKMYH42duU3PPoO9hXwMc5dEkI1
8N2uSYtn6GP8w/DVW/WYkehLInFUvo3mY8edThsXstulsJSKYpUMoJWe2fqv478tRPMP71LSdYkD
8jQ9blznzMxgTD14JCXGdvMKzUeShd9kb0HR9eF0WFzUtqwYMIx1/+Xme5/fGvWvQpaq/Ax3Q+Lu
1AYXt3tFzUxQHMHBETWTG4UMBJzxm3kTBxMI65G92T7/uuxNwjfmqU0uaEO5V7G8FjZjd97Ufe2n
JaBmUb7t4nlXR8tB6dtdOnZ3E+1vXC/5MoCxvs7B7LXMW0NjYay5T0t/o8iqGdLZ4CLeNPeZ1874
Mu+BAgA3h8auhyhcDll7xR9CJZhfy0Mt2fXCO/jpfHAhrR9HlowL1lndpvfLDpCMOzMoNizoJHdF
0ePixBBfTQfDR2SrPYY3htZxuTKJt83CkSR3lxdY6LcgRUI9faUs5MvBLW3VWSlieqRpEzQaFOoq
P5M16nycPp9i0m8rH7N6cuMwIcNjVUpCj1qzT7Nf2pTsHHfn4dU0zcPtlNYksT0IY9V+Vvb+YIy7
RPOLaPY7QNzypXgcFYeUfbc1omoDHkcU+cwdZUoYZ03YOcbNSlMasfzBo+ByaWVcE+vG4j4fyDv0
fCOfjooTnweotRGo3qJLjibaFequISbEP/X4qRwlqyFyL8iVIaeD7CCw9XyJoOgmiKdQB1C4ju0q
N79pm01KQ0/d6vQJHGrtEKNhX5Z/EDgBrg4O5DHBPwXAPefULXpN8MJr02MM8FszgE/Zxu25komU
Sczw+ao5NmnbFx0Sn90B7W7BrCV+p+aSLSqyAgjjSksHVhBAJs9vt1hI6DOaSLy18J+wV9+lpVqB
OwAh+dvC+gUn3swUr+rMFoXUfCmvxso6FO60aZr5eenVzeXtuQYxzvNc7EuIG6DUCXTi+iknpqJm
Ycusoyqs5yEd0sCdNSPMJ3BRZOFkt/l2SFwJomiN6J9NWoYOAhAgEx0u6ZWOQ4bHK+ZvnELofpOG
jpBotUnulTvgHfzLAxSuFiRI/muNu0VpTjs5WgUsgjkGnf2NRt8j2Y1INiDuVQosp9v2ip4eO2eZ
thHIPgKlANesVUzvvZWgq9M0ZUl+oU10cq69DmiBtzgn1JKmVZQcpT4N5PzJ9aZ3tmyBbLvkTSU4
JFAX+22G88S2Nms9rlA7ZY1+X46gJYgjX+mU3bRoIauVdMX2KJNML1i4AUwkMDz9o/GeW7Rch96s
1VoAQ2Tjj8latp6eBCPNK5+ijeWygwh3ADLcQCsh+kKA4XwHgLNFH1mHIabanvkG0LKGD1p7tonq
7f9miRuVYtqz0Zaoy6CFSoufmpjoxjEL5+6qlFgSesfJmDiPRFtCV/Ua6qdrs1YZtunBLf2IPo3R
38TCE0PcZRvEbY3p0tVQpm6z6gAhi7BgEjSUCBvhQj3o3yXinH1kg6fQBUuUmP0W8vWb6lsybG33
qBlf82JbOiin2QmJ29lvG8lUrr/9KVrZIOcAw+kHuSPnHmam2BZDEcJY3pf4bpL1mMh+n3MKx4ja
bkA74TFOf1nqV+lZIvp9cBmAitaB8IVur65yEuAHt3W8uStwWtWggk2M5TDpnqxPUbRfT41wV+XO
KvLKqrOPPQS8F0UHUGbeuv2vyxtIFMvREriCC5GA+FQOM+duTG2NpsfGu6b0vdFlyqOifYMEIsip
UC+3LZMbx2y5LSSOMVnIXdnNvFVjhSA6EK04KNDJuTwa0UsVt6Hf1rhbUUKdPnIpEDhZMo4UtFAg
eJiTGG00eedB714fwkKl3WOVtXeLA2Uc7OvxS9+XFshnizYYy/HJpUsuCYhCj/n9WTwzgbs0lZOM
K/YpjRV/NFVzQxtVpmMrXEskrEDdAkAXkkrnftm0bO4GmwGwaUw+QqF8MUVnF9rz/rXA7ayhL6eu
62EBmOWHCgIKyhSRVB+JDZFV0yS1bh66P1SIWLMP4IozUPU3PigMOaNal2hraR4nlw1emIFetW19
2/eqr3Vrr1AS7y47kWAaz+xxkd5xi4kxBnvwIwItHbQjXc/sL87jMytcmE+SHA8UDVZq79qcrvP+
V55e97bkRSocC6IsWipBMQm42LlLgLzCoCrYR49gzt7l0NpFA9kfMlj+sz7gJbMcHTR36E89s3F5
7kUJQQ9UXf/+GDf5PYBvNjVxLrVZn23KON23ShLftl0VzlkK2jlaVpvKqX7RgdJjZjPgzoz4ZW6M
Zd9OvaxV+wNYwp1V+B5n1dlwVqq388H9x46t1CxynMaxl1+VNjuo8beaRi9pSjdeYhO7RgLeQOvm
QjKofSHjQtx8U1F961B6lZvjm5rZ3y9PkiCk4l2+6lQD7w4qSm5RjdjritzAHClKkC6hdcWGR2Su
ElkqTmaHC6ZZxGqwMeJyldTVAZpeO3UZCEusvVZpV01WbS8PS3DinQ6Lf7GruV1YYw/EEXR+AbMb
oiCKDqyVPF5kVrgFbR3o380JFrQganT7Sp3nyJAEELEJE4qJaIxb8a5nG+I/WmZ10dRg3nQwDI3T
YQxy49UY7v5mun5bWVfv5BbCEiehQw4rqUMmqGAePRpKo5Tg4MKa4E258mPhLcsbaU0z6xegz5jr
9iSbLMef6SSDd60O+2mTnVjhHBo4Gbc0dWW9hBwcd/RN0MRGy22rZsSCIG4n420UO/bvUXGObTht
hnxAiqK81V1ldv1E8691fqvaLVDcMk7hi4MDBx53KhdaA8rTFUKVGTqo/iDVnedEfe2rGwrSamk6
ShjxLbTPrw2SaM3k5hLJIgepIYxtrH2ck+3bmD1ddjxz3SKflgs9drgBQ58HaI1zzxtMd6rAtYQs
bhenYVY4LIjdpPJnRhUyD2X22JeqRcye5iHLGN1AHv11MtqReODqJlrdQoPexuKaHfsFlpGYQLTD
8Jd0KHzsHc+HDvc3K2970mnlc5LMNHCKLAIPqOaSNjHiGO2dINLylnR+9vo68gctTm6WMdaCqkLX
ac1yl5RsaEIkRcAuO9nTUUtAGWGqpRNq8aiQ0mxsUDUYxuby5Iin//fccNOfuIwudRZnxxpMRnUy
BEoseboJowsaxwBuQifeJ+o8RB23R1oW2WzrTouPxrzL1YFYsluXKK2J8+W3nXWkJ/HF7nMnq1TY
sQ+FF4J+SrH8yMRd+ZD+UPZGJZk4YaQ5MccFzWrJUIlw4FTJLeklPFqyKeMcFjTVnR5p+O0KiFHz
pjksb5dXXWaAW3V76Bq7mjFXcRaBKOepGR0/hkBJ9vy/2eECV5kbRt0x2InyQ9dsXSCC22tVl2xw
yWg8LmL1Va9qhYHpip76L+5t+jhJ+maEIfH3WnM3xv84CoQMGJCeKMNqKWlV9Mnuku9jF3qyCRNG
+hNL3HUS2AVDXwpY0vIN2kh70BjFBO2WqqybWrzv/90tPM2zHhszSucwBN0jZ0rJkFxj85DLyy8c
DUoZ1ge7FdRhzrek2Y49Vn9d/ubeA8BKsXvsSpc477aMskI4nvW5jn+Q5+DvMK0Sl1U5lQB+qFtc
f4kxFYTJcGTC8ThgoF1z/pA1X2PCSYjJwWagpBbLju4YGGj8K1uHFE5C0PzHbMl1SehzSH4iaw1u
aTwwzm15DPp1VYWkUFuEWRpOwwYIvKpAY21YyzBOwlh2YmvdYCfjQjp+zJQetqA4C2RaIjkBZD/P
hTN9GYrIHAFh7ntkhVpqOkEfR5IgIHSAkzFwIQ2KI0XjqBhDOX3prHerOtRpIrmLC9cfhCPQUMHz
FPDy83mKUWLAqxWJIWTckwUth7lGmjwhlXocc8n6C88zHaJHtglgMDSAuEWJ617pF1xbjjqKJeE8
LF+ckanbuC21IJ771Edz2rXpzmYw91NNJlerJdFbNKVryRYNw4D7gP32fLhQ4l1JCypM6fIzix+n
v+gRhV7V79/nTgfbTeqSNoBbs7gLSmoTp/zODIlfiHq/oACC1TKQ2EdfMrdoBgNXS2KgIliPV7nK
mI9s9bHrbqcekrI6g9pOCsJgIFiwoLS4y3p3M1odmaxbJ5XpsYhmFDdFtF59yM+p3IxC/cyOpgTf
okE6J0BOiPlVnt8MrewpLDS0kqwAsg/CYp6Xqq28SHdBIH8cFv19iUovNFKlD1Lsu/ByjF8Xib9c
g6jc0EEdA0UGvq6bVt2U1E6PhrOKPg11f6znm1LdJ4vut+1rhVbGpZBsQ1FoxAyC+Bc6XIiQ3Cxa
U0+npp3wkqTxptg1kCdMMn+OdagqxySS0R+Irhen5jg3TYqu0htNQ34tdfaaVzzmdQGQgcZIo6b7
v5jN30PjERmQiAEjwIChudUz2vVJMjak9BYy3Rv6nZEsgSrrPxABakE+gscRql+gpuF9suxYmi0p
2jPLaWNp9KoCW1J+70Kwz/Ug4ZcFyZWd3rB0lFwORKeCg3ZXC0zD1soScB5dSk23B9tEYiNhafwL
+XgIO4+V9hcx7NQKdwVRM2/B6YbRWUO2qw08cbLN0tWby8smcpFTK9y1rci9We1zWHH0+aveElzi
DqAl81NTBnMRbWx044D4CvcPpPm4s7SFcySmiudyhHTBDoyT39GorPppMv1FDQD8Vni2ob8TFxte
129ibjFE6xvBXlxwai40CfKWyYR+hF7w2wqPBNBniIUZJhI2ivFu4k0OWhiJnwlTokCegLgEeBcX
HELnjtaVaH40OlSmLBZ6QPt3m+pJVb6wmEBzzuve+2k//0Q3vDW/ZnHp54tfVHu9vb3sIqK7g4ue
SPSaomUWKN3zrzAWpe8cVqMJmO7TMd4k1Z6lXwZ73hiJrD1X5I6rEAaEoQzgU/ilU5ym6eoGiI4h
KrZD678Veeyn0E68PCRRHD4xw69dorlF7agrruKpp8QeiftTfYuyGypr8hGdMaeGuE08DYbFhh6n
Gf3VvMEUncj9ooR2FMjaC0TbC2VmRCVbRWXgo5Hk5CbsglUeVyHE+pvmAQRyfw578U5/nauhNMAY
5JGFXy+AcVnUI3QsaIN6jfXWRLvLayMaCMj7LKTdcVlF0++5uxVKAZa1tUO7nJp7m1n3SdXtLOX9
L6yg0oCWOcsywbd5bmVO8KsdCICORZeBOpWY44MzDxI3E9ZYUPMF2go0yaAy5c77fqRqO+UA10xN
yFC0MFgfWN4jBWdyUUJVZ955xdZOtmA5IaVxUFRnc3mYov3kubaNfw0gEHjOCao2mT7MmEynyXo0
iXubGtisgBZlQ2IlTv44/YO0K7rRP3r40dXGzerSK1FRe3jKdBPzhw5Ej2zcrYkTq5ZcNz4PDJZw
cMEpXR1SWqsXnbj70ntOzBq0XeEBmIJhBjQzatqEULVA6mx7eRI/e+S5Lc4jl1br2zqDreLZzsmC
ZdQlFsSjwfV6bT8HRyoX6AtXqcvWwvOMjkB7ZpqR7cqqaMlgpx5xHer+j/a47byAKN1qhx64EAUd
Lt4vo/yFHSZlPBFPHJLjIKPCc9Dh3L9rWFwN5ozXuVJ/A3b1tmzzL0qcy/iTBBibD2FsfDbgmajT
rUfYiTdEpVu4ZYzxaHlJ9DjxnUIlNt4mLM5wje+I7WW7vEVrSfutr/dd7YSXXUS0gOha+/cDuJEq
hT7ay4IHYeY9adY1Va6NcJRB9QQXXgwTryLUf9FTDEmE82GqZWsqLR7VxzwNu6YmKIEmYxbErEBk
QQuQmfiDVRKThZYMeytayhPT/J0XKk6Qml57yUr04uVbgDc0WbJF8N5FWVvHrW0l7YU+CrcLoJhX
qPXUYRJ7JbSanftWow8elQ4QgwTJ/GOaA2YNPni7DaxoT0E2BjmPQn+5vJYCVP/5d3C7w87rkTUt
voM+v7e+fWgC6/g9eks29bN3YBvlYN8WD85jHEjsrtHx/EF6bpd77zM2a7NVwokg/l2GpemvOI96
lTjVD2oXoueslOU5Bbka2EQ+CKQXKymsytlUvaIaI4gkHOOyQxe+6bfQaZ5ouGLh7OjQD4wY/TFZ
JA9hQX/Cud3V3052rN10EL/QMMcVUSpyM9jbJDBv2RPQmLjtdffMJXZMEkrGl/m7ZJ5XP/o0z6CS
RD7MBkML3/dSpxRMHAqiralYRG1+eH0SJsm01b1p0yfVddaVtzkEgbQBA8+/WuUsuxau8ejTF0DT
Epf7FdvLU4009RCxLFGRP5rHL2qD9i+v/Y471gtrlet2MN8kIxZ6FpKxgCFCJBTap+ez3S8FWzy6
gB5ArQIg3Q+pMkKsoXbvrSc381v1pZn2FjhdCVUlsy2KjPAte+VBwDnAs+E0DkNRu9dRwryBL5c3
RhnmkiKHcDZPTHC+5OAeE0WOhuifBG5BSdmAf8omStr7TAYW/Pzqg9+e2OLuAoW9GPHsmEhu9+6P
zjMJRCnuL6/WuhifnAOSVwYQJ1gvPlc/l82AZBecAzKhxOiUEMWnagCvmvaeKteu0pNKdrKIoruB
FbIh4QZyJD5ja9jLrCaLjduUhe1vfwXHk6b3kvgmXKYTI+vfT7Z81lQ1mPUdPJgLrwozz47DwVPJ
0q4i0k6XkIYVicSm0PvQKfLBi4GkG3cuN5mL86OwsuOkP5dqQlz67ExfK4AQL6+ZaGwgaMYTC0Iz
K5vD+dhSEMfVeoMNNmEkAXCTw3GOrCEwlyH19ZH+BNuDJrEpjN1rYRo8aOvd49MdOEqGufBwJo/2
FXuZ5lsbuj5NGvtG6flTfnDZXeFI9ppoQk1gAEGqDzeBd54PlJbZMBgutnMCOibFjzKkoJVbCNpJ
DgjhhJ7Y4ZxlofZk5TbsDFPzXa0eWppsvReQV25mJfLI5dUzBTsOJLtAW67pYFxAzgfFlrqiSpfS
o/OigV5Bxhu+Ohm/oU9/nnMOo9b1qRwLemTL1zGOSA0G/Fp56JWD3iX+PL1fHo1oM5+a45aoxu0J
4NcS7WSjRarxzgVVm5TkUxSkTo1w69N6XcLyZgUGDh54qm6jMQ+06c6aAs8NaQzIlxRIv6ZVL00j
t5dLpZumBoq7x7jals0ui59BqksG5JiV5gUiipr1mi3m3eXJFPr7iWtwJ2cNasup6HKKxAf4uLR7
dOQQTbtZkMu5bEh4I0LixnFMSJviqc5llftWp1G3QB0qVbeNDd6xLifx6EF8pE9uZiXdppYdTiNE
xel+UKONVixh9WCBKmxRqys16iU7UORGoISEwNPaYIVa7vmmmLS8sxSrocdZvXbMJzwRpe0Dosn9
SCmilAZFT37IEKgy0ym36BE5CaINv1am67i1ia7JZlfkriilIQEGNRu8Lbgdruqlp7DFpscKFI7J
Ph60q66Mr/K177s8GAt9HBoJIFgUVFAfQG4CCVzQXXOviMExZrU1THpsjIlkeJNKAWgCDP5Kf7te
FQBCQzjmAkvTeNGYMhQF3fgG3fZ+plyvXaJjMBZflyutRneVgdIEXqRq2I6b3v7j8jjs497woQ6w
Nv2duwhLlKku1kch7d1yk9TKU+lFf57YPDfC7UAzgW4a+PHwKozKjdFQ0jiTL+d/Fbn7yVg+DtuT
20ncMq9zDTyE8lbfx9MdcpM7uR8KrQBkuRKSo6OFv9vVtTe6K+LnmC1o1Cg1AHBZqX1TvF5G7yQ6
dJBKQrMsSJLXRrvztam9HoVPFzefWsn9Mfe2kIGF1h5ohwmi0LZvYxUCAcnN5Sgm3NFgWgeNJ9zR
UjmrcWqhRKWu14NmPyvOFUPzR4/lYn81vFW8AXSUKhiD9PPhGViuplyHB9D9LjOcHTi0rAyPm9TY
FNUMPQLZdUu4dCcWuf2som02qSzckRmd9wbb9jMkWyzJ9Uq4ag4eGGg2h+gGz9JhNcyIugH+Qe1X
9M60Gyvaa+Mzq3H4NJK6jjBArZUlAxlqF2HxfAq7JIcyuOshpeOM3W1c6MpNVbA+vOwRwhG5gM7j
2Qln5FPCkJV3gNLC3apHlnGtf0Be90vfgkPnsh3h8pzY4RxCbR2azi6a6PXwTSWSs1Do1mgiWWlI
cUzxMLrBivuKJS7y2jq6LPXF7ybIjiu3VSG5bhiigwpcv5AKh/DDyohzvigqdu0CnXaE9HZ03zqF
WsEcTZ4P7ExyiNZm1WyJkTaIl2PGMt0HsUZCTLO3r+pBCZF7twM1L8wdm7SnRNEgglTq+ab2snyv
zQZ65aN6Cdoma1/SbrI24KlQiZsiQ1ot+f1QNCNxaI9UTKLXN0OG74inXoNgSZ3upnxM/coG5E6t
7DkE+oduh6pIrmL8MjEygKOgeCQTe18jBn/rW7Wj8OwGRR7uRecTApJn5lbWQo+TQh/mznxAKsO+
y6mRB6yOk7dEaSzJagvPVSCcAdPA4wrSRdyR08R2bafGhHvJTBqopBLT9160R+eFvqs/ip+aE2SN
DwTdZQ8Wj/Rfq3xRMi00qhoZrNZB5bWHyXmLm3fFiPej9XTZkmjng+TdQ0sliiggVDifU2qh37ut
MKcmA+CwUeljEzHZJIqu6ygbf1ABgBiCvz8ix9VovTJTNETpu6l7oV5zqwKe5E1b5u2KciRqzkif
Pl4em6DmhnPtxC63eCl+VRk83LuSSqnJqNKnRUvZTW1F6lUxxeVdXMYZ2l7GORhdS9lHuvZaxpoR
THNR7wEZSCTrKnynn3wRz2vnAgXHFLSHQUOJ1Efne6xt9B/DN5X0VeC2EmuiUIX6G3Q3UQPGG50b
vtK2WtcnMBZnaNlr9nmB5t8CQuqy7nqxISB+kARAKYKvWaWJOVMPUfcIqR0V1Qet64jzTab9LNwU
wCyC7gPyV5CDPHfVdm7B/tkgDjnkOwjl/EO+lfiLcDOcWOAOjrlv+qEEMAvVPQMaNHfdDiwmOyP8
mZA5UAIX/EH/o0UuxueWQ7NhHECi7PxoQiT5crN/U8pupyU7QKeRupzda2uoiAF9ACcnQylT/hEd
yisS9L+zus7JyWU3j3trntZZBXlFADrVPd2mj4nMQz7Syp9i94mZ9cw+MTMrrIiyFmYmRFFiQXkR
2lfblMRfkeInm/aIhq00eEEeMEQZIGD7+GYIn96XUAb1E40XSTcUpHGhQdsGN97BGEBYokc4Vdni
Z2DNacAmXrPn2QyL1sbLrJLsQtFtBFdgJMnABI9XJ3e3QpowNbUiy9GGDEUMT01/osHyS0FlaTKh
HQv3BGC70R7Pn45zAxgBACaw095N9cF096BXveyuAhMrrTBmzV7TAXyW0WmXPGfVCH3M0HrJrxIZ
465gh2u4wVtQtEVTPE6jcydByauv02rK17yHCdTAjg3QiPT16M+X5MwOtyStOTil7Q35sah/AWMN
OgQpGl0QEgEnQU88BoJOYF4wN04pdRV7zo917kBD/XptW23VdynCWrgktreCm1Httvkm9yT2FDXv
7fw4alurvR6zEECcv1j1ExNc3I3d3J2aDCaAXGnLA0yAA/+yCVHVfsV4ARajr/RRfJMFcrydkvfA
4ERb6yraZBsc16Tz593PJ1n+R3QrOLPFRXmk0QcjaWEry56c8WCMYAUHSNQzqv8j7Tt7G1eWbX8R
AebwtRkVLFkWHb8Q9ozNnDN//V30Oe9uqcUn4pwLbwz2zABT7FRdXbVqLcIGRiYboK6ucrNPnoTk
z1oKQ1jcGBcjpTx+6LcZU84jZQKi/VETMu78Q7dnnycLKVo92X1xTmMMu8YMrdZoz5GeOKWRP7c2
NI93oyU6lYlCQjgTt57BNLfqqReCtavpoRxkJleFkM7T88IZrDmQacPDmqLLpNI94zV/ZEHz8qKR
wLy/BxZ38sXEUIcfojtTVCA+2ye9Z1eS2bO8rU7WfSOLHubCCHXyhxb61XIBI1LhIrxOmSd2eOX0
UVvZ0L9oKuq+u5rF+UMu7rshVHNRmkfDGS0pD+2Ws9SNrAt4P+R6oEcbzokPhTUZyk42Sp07fNTb
ahOAkc8WDFCnG6whWqBw09sztL94Kzlx0KYNnJHImHmBxEZorXNizmtLf/VcapxTz7gf6SxioXlj
yc9AVuiIV844Gfdnfwm1AigfLl2kGSVQAFNHL/DYVkkYiCkUaOgXyJRaXozO4+alTky/JEVCFDk9
psrKvbV05i7NUmeOl5k6kUIMS4kUqxnQ7BIP/J6T20+5C9YUSxcCDIwRatpz9n4mdL9eeRnb2Bck
jDHm5U1U28iycZlvJY4mWbWyErIu7We8TZHUQ4QBsQjKN4uh50nF3JdaV5UesdkOuW2zzk8hO4DH
+j/PSM39Cv9rjFq9NIFyg9cBti0E40FS6ge/fZeVzgirkrBcbPXimpjY4sJp0K1C1y12pEr5BNVH
zq/I0HQV1YD2jUUJ0mUZ/UpZJXIkQm+Ic3+DLttDQlaCWAUA/dSp1SJQkWkd2pV8bvOxiSLEa0Ox
9hqedxt9yJDCQDEFdVokkigfxIaDz9dzR1LBvbBFYXVI2/DhmS/fAnHTtxufD0iC1l8l/i5FJ61e
749xyc9emqfGOGbhOCVeAQ0FTwZsN0f2ypvOflk93bczvy5vh4kK+Jx2RraHOnQFuI98IGvR+iW8
i6y0E6LGqdIzr36W3GMSpWbXrNFMLA/tH5PU0fOBFgYABKgp9EvUBijWvsUGGL9ULlfGtnTsUIr4
37FR+9IXUmbiUizhGFV2I2tGMXanRi0CXZBLwkBj4P5cLvnlS3vUlplCxkNT2LwvwWQUik+t+ve+
gbWZozYF27ca580GCldqA73Iz6K04oTX9sPsNy9uxDJCi0ZXYt9lLeTJEtDBtrjl2EcQ7wlxAl2l
HwEYr/vDWlwnDi0mOMos1EKpdRqR3WR4ASDk4nFAFOPrce/EAmmKz/t2FqcPCUKkg/EyumEx9Eo2
9qYZwhbVytfodbHucd7DMKxRdi7uAwHviZnEbe5Jvp5DqUwkNWtmuNrwLLcOI53/i3GAXoIVVWgu
QHb7+t8PgzZHSgx4ox5UU6kE5ApwpWy3RjuwVOBGZ9Q/dua9crEXPHaMGblHbYPhYMqz0hhMk2je
/0Eazu4VHrCZUtSTSn1Hd1VDsvpRioHq5od9isX00R17f9xLfp+HM0ZWmZ9R19S4BWYox7ifK2TI
FUobpPOnmKhrQkDLVhB9QsAMNHy0DhADTWFGmjBqIIPr4qvBk1DsH8V4JfZc3Iyglvt/Zihnkfpy
34BWCYUjMCZC4Dge0A+UrOEW5ym5cO94/GsYBfz6b1s8/v96CcWK57AZG+4sVikJzn1ks41IfBE0
IWFpcGm7cpSpUdH26MypN4hR3Eg1dx7kTa2AWdjLyMSu9LasGaHCKQA7Qm8MMSi+18xW1GMgSjz2
+f5mox+7N0Phr6eOZ6Dt0Fewwp7qT+h62U/e38r5Ex1K+I2Vm4rac7Mt9NAh+QRML+QB6Q78tNcE
kPOx3DmvKmmveR735OUS+xXgSW8AUyKtVBKX7QFXMbeXawKdpBUjQQUcCPY6xR6l3ZBzhOEzILUU
Z2UWqXfqv0f2jyVqFnuNzase1/DZz0052ZQawsLsITLE8r1Ojgjd+p5f2YPUFfYvkwjaZrAwfkMX
0kVU6oZcGLlzkU39hq0K1MmqLLM0gG3NpmWnJymqkpGkojg4/iAKm5Uxz/uPOnQoovDQS0AvIzqJ
5v174TfRzhA1cwn8nL5Ef8uaDK506N9SSBA0h2xYGe3CYbgyRvkRpksaOYe1cx0Wu5StzKSJ9XFs
zJVBrdmhYo9UU/JCyGGn72RDCvxjW6rgNpq2JbThGk6PW6hhQQyByEl2LHpto8bxlg1iO/Z5gxs7
+/73LC7yxRxTdwHa7MFr1EsYtj+5vrjl8ukhjEt95IRdmAAVn7EmE9Urs7B4bi6sUu4Uin8ZtNph
tU9aq5F9y/NCI854q+nGFVMr803DWwYmjzSlxyZqwAPTi9ObUh8mUVlLJNF5tn+dln+G9JsMuNis
HYTaAEfBkNj0J1XeuirZtpxKJi43w5wnZcI4Aa4MVp6snBEJOhN0OV7T5FpZzV9ffPERUp13ud9h
czFI9Ye9tEUu8yBG8k5qOkMq202SgBhfWJvjJR+PwzPTuIFIDRWFeREu7PplLDJKyMBVvA8NCmKk
I5O+7ezsVKCRgXTv9zctnVn592T/Y486rGUEDlJkVrGogeoUELItQsHM004fCrQ6iUgeoZyUgklu
ADN0rYXWiv3FTQUiDGXu9wNIkvLGmhZLTdmp3DlrgRsYo4d+jAA56w4Tiiqd1tvSiFzWKO/qCRA/
lO8jKNOGjsxMpBVWkEeLa37xLdTLsxq4ZgAfIHcWEqtn0dMA+jNDGU2UeifkTeP/5soD7xtmF6h5
JEiulxrcumWCPnnuPA7v4NzuJ4uDYtOa0P1vy9ON778wQ40KPb111is5f84SaB0AMwa2xqICVl5k
IygZtQVaP/WorzVS15GnpxIwXnVT9Kag5ppRq1O85evBs4OWGcyOH99DZSh3CjRLthByEs2JB/RD
ifPJQO9Pd/DTItrc3yTU6+V3j4LSEDkxFvJLHF2P7n0N0bzo8+fYK49NlZ/9Vl1rlF/ah6hDgyB6
LrxAKPh6MUI1ajv0f2CW5HF0QsFXNmrNoSXfg/7l/eEsOjg8YxDlQPYSFVTqpsj7UUSevODPSix8
xJFsyYnd8wdeAIMitFZC3kjYz6AM9SSuTWlATjXLNfP+R1AvXDzTgKMBNQqet/gPx+96vMpQTF6o
1LWLvlq81BIdKUHDE34K2Td8/um+sZuYHxIL6LRFBIS3ugRgwbUxJmRGkWO62u3i4syU/CkcoGld
NC0p2GnDTAX2PduzKxcy3Qw4jxFOZWYCmFOq6Im9NuuDLXpKhaF262m01Kazi2RfxSccNKaerGZ8
q1BmY12/MTuus/t6M0HWS2qM+4Ondax+PwPlT/CL4GnFAdF4/RlxDXrrUdVqdwqfp2Mm6IA/JZ2t
tMRD07g52j5jKhnAbfncT7ULZSvlzPZUFGYgbZsRWqyk3AecHQoEdXAvBxu30Q47LiEtc6zPa7kP
uuT+r+/lBfAJogsFMSPllwKlFOq49Gq32Chf6XdodnoJ9b/J8Yxmxz5WpoD7qHYqq7F6p91Dguvc
7xpjOrKH0YlW9il345RneY6Lr6HcF5OLMaOGmD3ebk3kqPXW9AmjI17HxeiRP9+jEZEf31h5Jiyc
Dx58vWAAAQEVlFznv7+4h9N2Kn0tYxuXC41BzvWWf53ltLkcHhO+8/4WufUIEJmAyjFSG6Chxaal
tkhZj73XNNipUVc4Sla5WfyuVYUdBw10oPx9HnPGxEHMQO5/Gua7VV/7ZA2ceht6zB8hzuAxZMzx
Q53SyGv4jink2o2h3ZHLFRCq0ck/SbkRibw+NkbO+KTUOtMr+7nLj3tbmYUFN4FcGEhKgBUA9apK
zbkXZiGrZmHjitGrB7HcPv+OfH4jpBlpFZYoxbGIg83wUlebvngoEt+pgkavBUPy30IOTKK8uBIR
0DC++SwIHLLeIvIi6GxTqGuB6XmpLVOhcYUabGfCPq90xrcHRKNDRHJNMob2JxxsOXos2YGAEsSM
BX4luTDP+9UFjm9AvxTy/iD4wy/UN8h9VmUe7ifXz0tULzQgJdWeX8NQ3EaCsxkJXVmzNpKg3Agl
VMEIZuGuddECXvt6Gpux+hIKB6W0kt71cgN9n237d2XNZ2dyPbhZhGnGsoO+EM6RWvNOA0CUjQLp
rE4OynrjYRx0cQBFqrTTRoKIAHXLYXCm1dfM7ZkD+AHkDyqe48ipARd2fcIZ8CPzSsmrZ4NxrM1X
aKJjmXC6Lu9WXMntBUBZog5WwkuNxFWwNNrFvtpkxkC+M6IaE4q6og7NA93iIDPXOB0KtZ0Z2qoh
Q3COM0Mj2KYWu/Ot6XGt3fC3Rflq5qmvmiOiCw+XS0IrSfAD51Yf9cGI/qrbbJNB2xFyD0TYcU5i
JUaufwNmBfyGgY4Q1JZli7F5S7F5MkL0MbYKO1lpCLnx99RnUQ+SKRHYeu6yO/c6CIJ1xcxIAWDX
miIX3aEPOa7r5ac2HgeWuDyPfu3kL1Bxx6Azw/XJn9fPinik3nuEJSu7/ZcV/WbOkelHshh4R2B8
rudcY5k+lTJJPU9WjzkXHMmZnFDnttFhNFIDpVh9Vh00tphX+/5Jm8dDmZ4FGRCDAPMDZkXKdMaX
DT+EnXYOclflH0roBUbVe1g8JKiQ3je1sIRI8aLBk8fdOae9rkfZC50cVBHaE8OR5KUOwLmPhqwC
cQvyMQa7Jhk4fzk1sktztJLGxAUTtnLJnBUUQMvoK63/46mbq9fQ0QDxmICHGjV1UjkIXAW4nys0
BRGkmqiFBWYAHQGEzvlrTXO3CzWjqkHjOqsxIVNOHQCR8esICRBYA4zYE0DU9c6/ivVuXBPNXTT0
K4SHU46dMf/9hQNIxLHLs0YIXV4tAakwU7dA/qx0ynDlFr3dD5gzoMRBTMNqcLfUBdYi9ykpTBi5
yjmRAUMREzP3GlIyepKTkOVNMP3c34G3j170PsgzsQ8HELN0s2TI9OVFFPuR20DzvH34Erej/sOQ
6JjqaIm0Y+hXvrNGYxf4Ccy1gg0N14ZzgXkwNKIvBnS8cDTXU6uKDdsMQhK58nOpTwYEO53a0tvX
lVHePFopM9QV1nNlVEVBGrkpcLES0LGjWZJA/5oIv6lM3xZJcGiNCgDZBAii9+dC9421e4Sf9+P1
8bseK3U6EgQsSh3iI4o332EIBIP0jrRw3RMEYUVjMB8naASDX50UtkrgXNFldWRJtrLkS7v5csqp
60yOUs6XWUy5QkbuKCi6COnWYhdX5/uTfhOkYs5n7RRkyxVEY7QzqMVRlrO4iVwJiUE1CyD5LLI8
UbhTv4H68H1jv29DenIvrVGjKts2BLlKHbn1Z2wmemdpBNtJV01e53XFAhiCtFZhcmQwJuPrCcBz
WwbEPbTzPYQmAQdrSP0uk3bDksqGxqXd6j8ViRzGiHRI1RuD0RjMRl1ZCxqs+Lv/lZnnj0UHH+46
6rODKOqqmBcjt7MEo9ttJuI7CmlPE0SqeQC1R53dNkaxKe3I8k9PrdVbMsk3rCUkuHs/UyPbDgM5
hwbzuKaPvLh+uJ3gHRQRQFvqaA59g9sinD+t1QAFcpp2MpqSc2TEGZFAUvbp/hIuHQ/0rsgsiG/R
iyVS9ng11lKmK2N04smbbEr03NvIjLJn1hJ9twE8dualJcobVG2JR90AS+xIBMsvrbK1PGWXlLZo
MMgtvLH55v82NuroB5VWCExWYGwtFHWCx3Y4dOFAmhX8GF32x3ZCL8p8+YKGGVVJWkM3TOOMA71C
5PKKUbW7NHF9BKPTBj0qRAAMvxURj067jnF6Oz5z4AL5rtd8+u064hugqTIz7iCOoiGO7NQHEseE
sSuPTqUcvXDnlQ8893V/RheHChGa30YVoDU0KnYa+AEvbzaO3cHSjsJ7aaY/xWNk8JvYVGwAoUzI
keSkXElFr5i9SUD0aGHzoYkQu82+tcVTfqqN1tLMadtarFVsFQOe58ivDPbWZSNAxCmc83TI79JY
9yTx+yTmh9gNGMt7EA917IweUgzcCkqDVkee9w8iD5w+WQZp7E3LNBvi3Vv4bOJO+/r0ppCSINCH
GIoFbmHyZD/u96/29+P3t/fWH+MjU5Bujft6YajILUMEAPlrEDb99mxexFopZOxBoFVmrveRWcwn
Z0JR21jZOrdhFuq7aMQFvEcAPQEddo8FV3pdNWTuuBVf2o/g6H8AX2FLDvM0/m3M/uy9wrE+xCzJ
CyNaO6Ozd7m+qWB95mdCwxgIjekEetULTVoGQuYWxrBHVWDn2wBIQ9kFN33ysAa4/M3d3jNHuVVu
hJxSLMkwt0md9DRAzVpnN9qh2skbqGE6glE+S4fagkyF3djhOXvWXM9knfZViYh6YN6T59UFWJsC
ygGzWhgxhTZ/EwDwhSXrpR1YAKQbvJFb3mFN5HRxvS9mnPK+RdGFVZgrmcswDZnUk5A8SONRbHWt
ehZ6HeTV9zfYbbR5vcLUpV4wnTKABzVzWe/Ad4khlLtQ/A8pkeejig5vdP1LKC4iG0qtayj7o6BU
bODW4OzhXou1NNfCIECagLANkqZ4BAvUILpMA50kzwWupPwdmkcms0NvDXK0cNgR9aOaCX4GxIk0
ZesgpdogynnkHgVDNJ94Uq88qG7TknhbXFqgbgmkJTPGK2CB85/Q90TU6JFLHtjRzqW/Km/lrujv
xL30qUGkCTXc+/tgIXVyaf3mskBFKuX5EdbFD7/U+5f4W7KmXfLVG/4DEZwxMsVNWGyKZ4HIa3LW
C9cwZpUHHRc2CSBkVKZczDKhFaoST56U9HjsONVJXoOozQfn0rcgxEAuHkZAkSlBfIQ6x/XUh7Wc
+7nrjwyJpYOKjOjKFNJnlzZBnd2s9ZTGT2Ei2/c/zB8M56V84T/TbXAO8VaStrFHpp/kkD72LruS
j7xJ9P/LOPr9MJMYI51h6Kq+ytUxgnFX2BWvgR6c5X1iMo84DAFZuxnoE0dbm0/LxdUX50NZDLM1
0AMYQ7NPAqQ1upf7E0pH9bMRxL4cNLCQb7qBSIJBaipbkc3helXZKp/jVB8mtEitkVjfvOxpQ/P+
vBhN2TdpWpRT7grEG3V/lz8nO25bHFRn7YpbNUVNnDyxhcqDmMlldt5DsUmOvu3vg6eIrJEfLq3Q
5eTNk3s5Ji2G25VhSJHwYvf+lug/ie37C7S46VDaEVEFRgAEUZdrI5zMCLHHcbnbb0VQZZLuq3jV
nkGp+6w8ShFJV4omN68hLBSSnRC8QyISiTuRWqgKN00xhySucOQT0j/VJ/WISHMn/ITHNae0sPuu
bFEr1YDe3g+YpHTjXbhtiOeUVvu6RrA4/yOUV7oyQq1SIKsDeP5hJNgkj4LDHvn92pZbHAfQgZDC
xFsSRa/rNQoBQOfjoizd6U//KRyCL6Ei/Kv3eX8r/DZlUiPBFY+iLvTw0BNMF8R5KU4AU89LN3kL
9GH3ZFvWsCOIFA8eedVPTkRa577JhbmDRZVj4e3mei5164PhMG59ti7d9MkvCX9sbGy7FeLyhVM0
q2DgJYPNNvfBXU+enzFxmTNM5bLcQ5RohAUw3fdXLo4lIyjPAT0N9AYLfchrI6AsSbmuCGo35DYR
0GGgNFQBJLg/W7f3H55Lc/YexUC8mGg0v5RoVVmUGbAhSoGCYwItj7xNEvP/ZoUaCtsy6JkHHzXq
jWeGz0k+jCvjuAGAYJowEA0+AKUPPIioi1zK1TCqPZhoue0kfrKMZsm8LstIRz0WIxmtRu9yXfO3
jAAOrU2WrWyJxYkUoUKAvYdnEV1z4WI5lgQ/rd2hg6A5pDdTva1Gbm2Yy2aAqQe0GLVUGuciBa03
jj7gNRU6byVQeuv5pGedDi0WQCT5Nzb+6KYPdM1A4ZJbY7qhA7J5joGymR07WrABJLzekROTAtrn
AZ9RjJUjsa+eHJkj/wJF6JVh3m79a0NUyMQBwgb4u1K7YN3TU/TxdQW6O+z7m/KmKkoPZ/6Ki7uQ
kbhcDnKAICQCuhCrfhi+/O8MFN6bzAFKCTXB0ChsR+nJYFXGiSfbgLREMubsu49E+7nFb+9/09Ly
QlsKVCwztf9NoTqYcilNwcTn1koYPHEaqxnTFNQrLvKmZPI7ciD6cYmAbVCjvbIyjVOgqkyDYoK6
5Xbpk2GxemZxOwWZJ2BQE0feoebLG7q2WbmsfwFg1zcC1vbCNuU727JjAYeFbXB4vD6gGK0XRrWR
t92xtpARtvLNZ26lxgsLLpXEPP+9P8G/zQz3zPPXi550hcC1vt+6gGBaql0cJaSIWLvYeAlBjt2S
7MFR9N5CEeOJ3w+HbLtW9b7BCNCzTx+jPh16VsAM+KqeN1/K61BvPeWtCSzlNRJ1LsAjr7biktSc
nTGTnTZQNTPY7O8ogJo134NMVFZyiIIxRl5H4CHQZcZINfzp9NT6dj58S9Am6UGGnzsaa92fwIVQ
FakBQLZxKYHBGHXP6wmU+kgOwhbYEb/Qw2Jf+6bM7Binfs0etP3aZb50HnDzgQ4K6a7Z91wbK1qO
rUqGbV22/ezEmHB9aNwfz5JPQ1iCwgVwN2jNo2LHMApFZYji1kVPaLIdmjzbgCmw0tlW0wgg8OWK
vYVgFdAv4G+A/kKvDUdD7uoxRnt7krZ4vkjkITpLD84ZkLaf+8P6rTXQ+/zSDL3JlETJmAhmRhvt
tVvpLP3hdpb1wBnyY+V4e1v6IDYhTx152mhm9Gkym9OJJcHHqQXe41zoI/lZGbown6173zSv9oXD
Zat6krQW3ySPJFZ3kQJo2RMbWBqqGKgmIpN4Sp9R1SrcSbLaN8gXgN4IiGzFKJ0RLHO12TwL0Y77
abhNzX9pBi+Rau+NRrCW/7qpdM5n9HL6qLuhSusma+qkdfl4V3cPQqGDVuHHtzJdM/Se9Dv8DnIa
JDIjs7J1/sk4JdzKUftFM9ybL2pv8kPHMryXt26f2mNsA5ies1/Aa/mVrjmMdqqlrZae0v5YFhMR
+l1SbEL2q5ATPVEI6iVpqgvM26Tq8YNSGZpsjNpTB7x7bIp4MIvbnrfSHoyvP8Wm6sFAQDjGruJj
HpuDqkO1nmsPQXEYvMeoBiV0DdVBEHz0JIHSzHec2u1eLcxJtoRN+Cfyw53qA9NM/GGViuc2g8Ir
oBXGfyiqzUX2631Ta3UHuvm2dt8+jl8AzTCk2UDP8pEhX1ApRul5Lj8ju8+AisQHRdX8k+v4f/wh
A1DR4bA1tyzZfibOs2CCExFX+xkiDgBdjUhZ/+undzIdZ+D+MVw67ZAmQceviLAUrISUt2yrKk0H
ZURYqGwSlv0Tyu2D+Bp9Kowja1ZWNa7avkRRtbZ1bk8aygL83NEMDg28h65nTMjDxEPWrnF7qZtI
PZUfYqS9sZH/oIUTu3Kul64EkJCCVR6lI6Rz6RKwEFVh1sozbldIduno1lJtFKxoKMhMy2+RcEw7
UpdrucmlSOLKLHU8SqFkK36GC2tHcM0Uj2JJknO89Z9lowduTTA5nSfMhjU4pNmYTQ1OmtIJ/tNi
CDwFyjlzgnnG19zIg/RKWIgMuC9dnt2GRFMtPvKN5nk8g+RuEABQMPFAPIrFSvQ6+0rKN6CaxkP8
BvghiL1SK5yOUSpWLOIYRnrIeZ/U/Bpm6AY1+TuyCxPU/DJBiZzU4DVuydkFlhIsJR0f2J1vxcy2
0PMC4W//1dl+/3L/1CxkDTCnF5ap5IRcRLyWBhgcHjFWtQEdNU7yd0f+/AG+AcvJ6RUuKd/Q8LOG
w7ipj9LDpmIOXvSzqQ0CgGMfxG2HPk74FH8bwKcAD8+/oTcLlJTWuMbneQMYpO1Sj+Re8SpfZTDd
tVkBqhHoss4BMhjvJaDghRQPEo/kVnaKDQ3AF36lcHpTZ6DM028CLfX8LgedMFKQxZ45KAftaXhV
DsrDYLdf2mPwsJa2+/+sMlK4gFujUYRGIVc+38n+gJPjDSR9iZ+Kc2BNjqbnfwIMPiApNCPeBfdc
m6xPUsM7qOb9fbaQqJz32T9fQC01KwBRkIpY6kIwlUT3bAiOpU4M5s+IeDzxjmxpsv3fFatL1xma
VFA7nbvtwMp27ZxVhvUyoUYYxP0ZNjL6WaF8/8GaomCF/gbt3ewjN+5VPC7PYuK2NRCxvN7EK+s9
+4db//HPR1CxWF9LCRvImHw1aXsz4OCr+1DI9U4uXu+Pd9FTzerMeCuo4KimLGn+oPF5IaG9Yvrm
8we2avT7BuZVuhnKhQHKFWpC0YK0iW3cYc+8SY6Eh9BuepZXJmzxlvtVmf73OCh3yE1Vpgg917jx
j/CHeYu/tWd1L57LY5avDGh5X16MiPJ/05gVUyjA1NQS/gMSgulDEugl4MI7dj88aOC9e78/h9z8
T9KTCKYhlMGgHo5MLeV9FBZkNeDfbNwCFL/vwC29p1tJAuPm8ALBnXqnuOmrn0ElbyXjsXjLXBim
peLEmmUQVmjoBMEjvNrLtvam7SAohCfBT2qFj2uK4UtuZ05h4dJEXIRNSa1jlKELNePx4mvKBzyq
A7mypei5Ep+rcnKawcxRWYKMRgLQ6kgG1hFFvcoEAs3eNt9WqadncebkmZWvURMtTcXVl1HL3vaV
wHkjHh1i5PDlTkL3SfcY8O9ZDGWgg8dY5XvzMG2T6Ov+4t84JA59cwAhzzQdiFXpRuRKDfqmRTh1
Qj+aBqC/rOMSfGrHx9KrTK730NG/hhu/zdcCUzkTDmMFVDB30VwdoV+LKJwX9Slgjv548jTGGMRj
1gCxU23H1wA8ePI+by0BxM+aEY02237fH/VtFgyfAFgAOt9m9jCAva79cF6oQRBqTX1qFbQdEwZc
kuxHwjdmkLMWJzG6rOCtdQjHTVJulMAo00ee+ZnGEa1b5VGDqsxfnwHrrt4yKwty49HmL0MH0kwB
g0uIrkpPUtNW6ButT0IdGJ24L5mfpnb78a2RNUfAdXl/Jm7ugtmcDNJtRPAIA35PzMW7vMlTBuwg
fX2S/RhSCDsNjDByvYY7m6+1Kw9DWeGp6ZbUNBnloT716Y/SdKRpwADflUbNIoPEPsWxFfFO5qV6
2TrZ9AwVgBW3urzgF+Ocv/BinGwbSJKP9udTW+pRkNkK05hRmUGSatzUU25woS7GBZlQoozf34dy
L8YfTfMMShnTCwwv34pKTbToEb1nnJ85/8UiIBmLDcmCOZeOv3I+Y0M5mqCAAQhC6zuDV+tJt/nP
jSDZhaYvgOUh/Ey9pFtVDatG8epTpzJfdR1WTqxMiY2a+hq1w22WE8sNQRE81+fDBQj19WTXQhuA
WI1rTh3bfMihZ/rDwxQCpSzavF/rYJOYO48EJ0uNWnjq2idh2EqtEz6Wu8hD91Ta7KfkHPAWKJCC
j1CPzB79sKl37MpN3tm5QnrwfpR6Wa4hNhb3yRyazQBQaCvQFCr5AMXlSVOaU8xwO3A+mUzfkTEY
n0I0t4i5qKfqI1P/zAKqQY3QVPnCO5zU4WMfAlkMkaA4sfi3Fu+TpjASkTWgc7yyl29DBEyvBm1B
BU0+qMT8JrAu9rI4jlGZSn1zKnsD4iUxbqQ9usg9s6tIeVb+AsI5Gvc3z8I1cWWS8pcNF/mSXMEk
dGPThxZ4I2Z4EsZTh4dK9tmv9gvOm5F2GDMaGPVplFpFutYVwkEi4+S3p/anadAcLxPtKfWexsd+
qAjiVCeUVhrSFhwh2BMgpoJ2krkNk3oPDAJQqpnUDydkcyYjLXr0i/h8DMVLZU2+do4yqMHN3h05
dLQeo8uAiorZXKsCbpyGEzBXRsFD0Erz9bx0Wn+FU29xTBeG5r+/2Chcx/tV0bDDqWtsJSlIE23b
cY316CbGRwBxORoqplLrGndsjdH08asffRXey/2td5tHowxQe2/0ODmMfBiQOMIpTtfqwWihLQJl
T3DjTofupVuJ928XCDwGswdjeVTGMbjreRP5NokVLxhOeR7mdiAV8a7p2dFQpzEHMp1f4/m/vfNR
3kADDRJ26P2Fuu61vcmTIkAyquHkh4rTHBPRJ55Xm+nYGlOMDe9Ha13gt4sGAAOwGTzMIn1H92B3
ImiqUIwbTomqIW0aouU7zpQ1K7cvCzAh/D4sILsOp0VfBGMCtkg1lDCRXalsqiRVLeAYeL1ni9ho
q7RwBoaJnaTC26Ies59ObUczHJSO+BDgMMHi5BO0mHQWIHq+qcZDYgt+tZZknqf3+jziKyE3KsyZ
PBXN+dfTH3ZSqJUgrT1pRU80LdRZoA65XjXU3oq0NRaApam/tEYtdq1ptcSPiHu7Mjf8WnLEOlsB
ji4NiOfReorG9llVgNq/UBgV216Mx5MAsJf3HErYRg+y8MJyT/fPJn8b2ME746CI6OZH7EKrpsaJ
F0pi2o6noMitIPlgKwsK7iRq9OFYPSo+2hvU10DtDagM4dh+hNFT6tuRtgPTQYHe4+6P9J6FClFn
To5hJZS+dX/g4fitpkvIhKOMcL2uPVTCtbHsx1MZ+/tQAhREK0dSBtkaa/vSkgINr+JhiZQsjvC1
ITlvFb5nmvE0qc3BFyuHT4Pn+zO9aAL9k5hm1BNg6NqEwoAOVewxloAL8GTJOHAPl+yq2PYciNNH
YcbC4lKaG2FpaNiYy1xZydJ4yj1IiXjwC7avcI1RSXmjB606vkph3TkZE1R6Oo61CfHVdNtUVa2n
TcQb9we9tIB4n0HDHi92HEzq2ZAkfV5UETeepFo5Stg4SZseQW9k3zez4O5nQV5OBhsXKts0pCtJ
FOwNmR1PYR88ZWDFiKfMrKrPcY1tbOlcylBTwuUyF9HpOH+SapkvhXg61V30XcWakeEXgjqRwU+a
Wzb1WnnmNmzDm/7CIHUCmob3BbX3YbBt7J6LdK74I2ZuwgK4TXj1j9CZ/0Paly3HjStRfhEjAO58
5VJVkqilZEuy9cJw2zJ3cCdIfv0cyHfurUJxiuGe7oh+qQ4lASQSQObJc65P5crdFBZRfQKnClD3
CPrnfrqA4LEsAVQ6ltktHTRfpbeRWYDRrHdjPKtj/dc86Lt5iR8tkt10LN54Sq3tEzQjglJRZI5w
Tz63zzPaaOCyXI7AUC5eq8X1HhS/W2IElwl7HGwW8GYIfI6FF5W0Hec2UcomtZC8sPIDrf1x9tvU
VXs/Kk03+6JZezQtg4VrXyvOvh4aX1vUOzD7dCjNpvk7Nw9Z2dy2vfZlY/4vL874MPTlgMoTfOjY
yefjL9Wub5mBD5uURxMwFlXzEiVQm0f6otW71HjnWznetU2KiQCgCNBsdD5J70pVR6k817UFuycO
lEjbAVNxw4qtF8jaJhUduSDR1MCfLxe9VOiyTgVZluM0jQWayzOwV9hN65oJCJR48uv6PK7cyHD5
BpcTMlRwZFlcr0/q3Jn6mBxp1ZN9leYvdqEYHom1PixZVu7LllrBqE9bjSsrOxaGwSAKyWRkY+W7
CODOtj53CQx/UW/br3yvcm9ht/1vOny/PsSVdTuzJN1DSlJqtM4wRKdkN40Byg9QSyaz9XTdzNqA
UOwQRGiin1IOCHpZLE7Pqvlo3xce9kjz+lwZnpZ4FXGvW1pbs1NL0mkxMxDfRBUstfnOMT8AI/Ra
cszRv03sr924u25tbVxADcHpATy/ZFaLk5rwzGnno0WKwEpiALGor9n+bEPRmjyzGgXS6Ot1m2sj
xKNEQDFBiXPRNQXZeFDylipGiI4E/TijpRvMcQwElbsx2wDrbdmSEmZFbNtR4eDsJR55qIDjB02F
eldtWFkLpGgVAJZaJaBSAEfQebzS+8oq7Uafj7MDAOJQPVac+caU7aLMvMmLMFOCFggU/mSkfM+W
/lVBxiH65ZgPxADVvdceZ/vXsPy8PtErwebsq8TvJw/nSaFcUVJcg6YYHc/2eKNmIMYBP1gO4uDr
plbn+WQCpG0Y2diE0PKcj7GqF27HUPVRYwhH4iUCz804lnhLEXflGoKSK8Tr0R6PICPfd2YW51mx
pIjYPTlG8b6OSOAkN2PxD3TDr49uLcgIokWIWeBkQG/s+URGdMnHVquWI8B1w4FH9rxTdDwFM21p
bq6bWikrAD6LMQnlVRE+JY+tZhNxc6mXY158adXXMv8orJ/9o5356fLQt6+F8sbqu770gakEk122
v25/bai4eACpiP5Y4DKkc5DYSseTYsas6lO+L1n3E2qpcbB0UC+4bmkt9Hxqh+GIsHEeSt6pgrrP
mSlOXD555bP2pZoftbtFTUFwsIuTLQddHZdQKvuPNclB22mpY6Uyl6PRoPY4AiRsp0EzxBtv1kvY
nchG4GBHSwVelOjgOHeVfsYFPdaV5aiPPtTdCdLt9dFxvrO2dssOQK86yIzDqLQez361nR8hO5I/
RZqb5bdNd9OomQvu/6L21OXBmL6mte3m3Lo32cajZG3DIvsKRBpaV9EBIq1zNDX6ZBvRcgRim7ha
qz0NoJ73xrylnpOko9+BDNur7P5fZInQY4CMDfKiUE2R077N3NWdBe68o/UNage62vl2DIj4TdlM
fvl23cVWFh23LJS8cZcEFl3uHczR6TTj8UeOCYgEA5qU1K37Kg3aoagP1019ZiOkNyfKXFDnxqMI
STdTTPhJsM0yh3PT4vRoW/FXsyClX0W4ORcTVb1lbiEmCK5xf2oVNPIvJhgqjYXuhpaUhxiB7LlN
JwYR7LR1l8HM72zcfnfWOPKdlqax2xbOcJ+pOvPtgrYQcKjsgLUDpKQWM6LftHEaAmSbtQBYiPKp
mEnyPCWxDcXZsfIL9HttRKmVkwXcFuJBi5QTCm+Sl9dD32TJwLRjNYRl396X85PdoWRg2xtuuhYO
Ty3J8ahM0qpZxkI7ltYO+AUASBfchNogYdWBpg9WAWYwKMXliVvp8S57n6O7gc2uNSnfry+wjvWT
1lew0OJNSKDsjXrQ+foOqP21joMPIZT5nY4E+xYg7hK3hW1xakK484kL9Uq5TA7LtWNu3JnVg9Wi
wQB3CT6oe2sKp+7BAhIQSdViDntz9lSwE2WBBtRP9vxvxornEE50HHpyTxXNu7zrzUY7GkQJNWX0
oDW+9cQTT+jL+fyfDcmFsnYgtO9r7Th7TPMLc196VeFZ+/Y2b4Mm8otv/19jkh1JHdFeVZQYU4rU
uwFkFiDY1y1c4muADUJLCrYE6HrQiiYNSZvaerGZoh+76WYyf3f6W+/q88cA6ZefjRoou+v2LqMb
zKFlDOUXEXWIdIB2vbq0CQj6jvDMXcoep/JAim7DyKXbQ9GVQN3KRIhE4VW6+kDerjNzsHgeeYLW
9Zn1YOVGVWljm4uZOXcGUA8geIpaEv5jSvkWpSutuFJM49jvzAY08kuoeEp6bI1vLzTbwkeuzBva
KtEDgg5sZDst6SpQ5GPc5WlsHM2mDBtAxxSfaeNfo2qhVmcheSSEsHHKyf7WThbhmtVhSFHd7iBS
3UI3owcLLGSBQjYlaWDqi71rck4PvLZA9TZYyYOl9dW+UePqwI0821hLMTB5ltF1h4QSDn0cidIR
1S4ZmInG2jh2gW19U4jb6D854GbK/rpjCsc7t4P+OniGiRwaqPQuWKT6xQQleUePS+IbRHOrn+a0
M+atFofLddSBEMebS+gPoLdGGk4i6I/m0qR4QTbFHnRqkJBsNSdAPq09XB/RygNP2BL7WkMdEFAb
DPkkNDs4QonRGfRIl7e0c960KQtUlNZz4vMuGK3UG6zORctiby+AXe1TUz3kultVN6kCgNbXVvdz
4G/GX9e/64LdAoUvtPHCkcVM4xotxYDGBO17itrVkYNEqwcT6MCf6uZb1yz/jD31GuQsixFktTHx
tOwxq1IU/h7b5q0i/GsDpIjJ1F/aYm88PC+3M/BQOiYK0RCZfjlo0JHzFkSH6pEqt1ZZuXyuIG/l
2W2yq5bXSXHreSO6r9wThElYE04njtHzBZp4zGiGX47l8zyWAOtHflYVmRuT3FN63BtIZrvjQ+O4
Zq49JjwgRuZFo3UTt8PGNvtMBp37P2iNwA8smr7ATSz7v91U+cjnRD/yNnIC1crLXRPR6TDOTXes
9Jq4daVEQIvpoxvZlXlQgNhGHyoff2+4h4jOF1+C7U6FXhuAq9JjMm+70oyVVD9adHKNJLCU7z06
sDs7cykYhIuH3iN3DYSIreC65UsPwBScGJZuS6TPLa3TMQW5U4NTcq7Q8VLiJeuVzq2SP3XJxrtr
JWMPXmZUPVRDSHYTOZUd2QoFCKo1j0lYJV+HmYMAfK8cM6QgFe6ynrkGdztH25F6A3KxEhtgGuEO
gg+io1lGQ+daGSnxOJhHzUrdtNRcR3/nEUAsCA4kgYpxAZrJXVsHWufGPxEmqjaooZQa1YdZv0+z
mzguAseeNr7rMtqLz0KwB3MKBN9kfIZqpz3LdG4eFUM9aN1NHYMSe6E+q4xd9PcgWGpoFHIUaMXX
4Woyr+2YUJ1rxmwdB7TANmELnlSRTczmXZZ9mYH/fWz5faXfJNl8Z9Gty+TliWNogNkQZE6w/hfp
2YEzlEic0Tr2WsBBc2lGX0Yo0A1fivFX0TxbrxPostmU7RfRB/YG5NY8bbTPi9NG2mpnnyBdlAj6
sNsp5dbRrD2q7NT8FdhTJE/v7f4uA0f49f11efadD1ja2JpNF6Yoi3XE89f0eA3JJquegSWxq60H
+yWoF0uLAhHugbhlInErXc4465ekL3XrOCVoqqxfE5TezDu6AMutV/0NshMZgBeWX0T3+fB0fZyr
C3tiW5pVaPtkYKfVrKNj7dP6qYqeY6jAbwSPzx0qrR2QHRq2CUgT0dktZvvkdAeEwWBdoWXPukLg
IU0R6akfW9EIHgTWZY3vZBSF5L7RgOlIe/D13jcdnd7SOq4bN0MndHSYSJf+aCBY86Y4DlRlUGRh
D1k5gc1hrGZoFTn4n2OfkQJ9GWOasOjQ5xmxvXopFhtiGcDy+mPMrQ+0Jqe1B7beqvTSibYvtsHL
b3oyKz+qRWQDsAsWa59pJU53gy+WeQvCEGXY6XqNNCFNgQn0FKaLPwrBeY/nffGjXzpoE4HxA2Sl
WgSZpKIFEMlM8umNkyHiPkvNEW2aGi09lmno1qn6xmJebpbVt8yaBrzIjEp5KkHnBY4wFEgNb4aO
oP00tbi7f4CiXIMT8AkZDCDA53/aknfMncrIYA8LYt3b0A0FSOTRthHmtCgar26j0gfzGAe94GAX
EyiyeiVciBZDPAoZts43MTe5z42F/2OaSVd6XTmi+DKoauXslcXQ4x+lUyPikMGoml1a6eDXnMtq
1F7mTi/COQJCbSPXL+1zoH/gJABWIdB8El9KHlkUZvEfFU3rd6mOnl2M3vJqTWBjRb4PFXDvr3bA
f+wJkQsRXGH13DfnbkIOTrUg95u/gLkD4fTWBmB0sI/X7UgR5Y8dRDAkL4EiADXeuZ047aLYnh2o
leq/E8X20ZHi9qqycS9YtYJGQ/Bdo45FDOleEOs578ee5WHVgQBw+IihVR4vH9eHIp18f4ZyYkR8
xMl2npuyaYYFKqfwIW9ufpMK6lhPC/gkebvxcBXfexI5LkyJ+HViSkH9fOomjAeVId8OB8hOXB+L
dJG6MCAtC8NLdSBZlYcm195oQtzSHIKp1W+AhPQSot/Y0RSkGbRCr9uVAu+FXbENTgYWTZUzxQwD
i7voV2/lrpFOvxYQJWB/bhGgy4mvP8aEqAYgJSA5ln28BcGiFdswNvaBnhzJ5BHziZU7e3xk8Q8b
HLn2cm9ZiVub9zH5FqMbt1KgSVD8ZfXj4kOko86oHZXrHB9Sp0CZqC+qmbv1sr8+tas+I5hVTcsA
RukTbngytU5eVzwe4Z40jn2rTNykMDe8ZnX1TkxIqzdDgcRURnhN3CUPQEL5VtvtEkv/VUKo7vpo
Vnf0iSnhwCejiZpK56MYTdr9htC7Wycfm6+JdRtIDwH+hiK8jKM2ap1ywvs8bAnzbOWjtUHFv8XJ
vmVEWvvC6ct6wH4L7eWoRDl0xu7H2dqYrdXQBLzN/x2JdHpwoM10NHznoVqiTRSE/spXWoF9HsxO
Vfz936zMJ7Mniu3QxjpfGZWMcwwBOswaxWOkfakt3W23mtFWZw3PCygRAnuKvNK5EXSf8jGpIfVl
dRHeWQYfD/ZURbse0JMNp94yJX4/8TReFZRGFeYuYq9sKH3eHOd8q064ujnB3g1sIjTvION3bmQW
RACRxvOwa60XvtgfShdt+ICcq/gTZZxPWlCKfpnPxpOTgZRWYuolaFRCZD0HsKKND1Qv71hZ+HE/
7NKyf+qxTdUxu1fq3GvGwGRxGnRp4udaHHIz2shVrk7syfdIa6jSfIwScxJjhgYKByvHR52/XnfG
lYgkpLKQFwFSG4kh6Rxr2YhxDvATNgy4K9vZ3lTryk8Ka3Y52erMlt8sYorPzEkBsFbBnBtPWEa0
QICkAuGC/0MX8mIT/sZaiC0UN7l1o3Qa+tLLgNXMT7fYHVYuingrAemEHhcoGV9INk2RbrJ5xFUn
g6p7BzkZZQCUZwkSNX/KpmMy/f25cmZQWsbcTMjstEse9kCFuFMDMVDoh9sbVlYi2JkVaYN0eHXo
TMew5uo3Xhs1+gz33IzdOg+ue4yc0vmzhicTKMUv3DOGrK+whvPwnJjHOuX+oN2DT8B4yrFX9MqN
2vseAlXD1uv6/2EalRUUcgWOTTuPAjopbJID5Rim5pccp3Nc75DbIVBjpmlgG7NnVHjYz8+TqT7g
Brhx91rZj5hidGyoeHI7mpzLRJ6CzAzkluEyln7e43UHFpji+fr0rlwskXu3DNR1LPDMyyTvdl2A
D8UesjD9DbBne4z0uwKafcUSImGJW+bHdXMy18mf1fyfPV16xzRdFbcEcslhUu44u0nC/JAgWeQP
/JG0uVskqNm+d+rXmRUQLgxi/aPtflHjMSo8ZkDE3a2ngD4qe0o3HnSbXyYd/JB7o31uYCZMlNNV
V/se7XGUpYckdL7UX2O8N/f2kSaBAprMxkMDEhKphDyJRs8DqDW+OzfXp2rlCBJ84iiciBTyRd/O
ZGU9UllzFtb678l8r+yNpVjdwTr+gdQPQPgyBlXJBjhfQrJQn+hdwl/T0VUTPzZ+2466kVmR6xN/
Vh21JguSBshEyaSWtRrTXk2NLKTUzZU3XvpUf1V7kDcBD6eVX1WNor/QCpG2AnHDjk2PibFr2sFX
cP03zfdpI5+0/kF43YJ2BqUC8P2c7+wUH5pMDj5oILfOCKYuP38APH8Xq+8Dey6Ku8Zy3NH2Wb1P
9RfVr4f3RT8kqCQ4aIv8FwstVOuwEtDOkuUELTQGLXO6ZKHQ7DSM7066ceiu7vETA9IpuKAbH3hj
eFLUvaLrYc+b6Uazb43mZ6vb3yftFeSpG2NajV0nJsUnndxtaAY/qEeYZMWLnt7GGRJmheZfnzi5
0v7HrYQKNbSr0H8vJ+wQMyualTas1FkVFCg4BjnkUHYqSXDWOn2/gz4niFPJlPuprkT7kabjxkG4
Orkop6LfAkn2i5p1afKGJ4mCAFr/0N7gRQHerYzkQMcvnm1tpGdWbxPYR8hPmlBflSGII9GiuISw
ZjjrxiOilT8hpdjxgzGy2/xpIpAnvj7Hq1HoxKC0USJSJa02IR809vfxggcEJHyvW1idQPAwihq5
aYNp+9xV8rSmRm6nORAmOYh7f5SDRzuP/WPmQcRqTzG27vbrBoV8OZJpJnb6ucGsBscK4BRZaBkJ
4rgeZtMS6FkRxCU0eg1fJ0Gib5Egy9XAP76K5xEwGhioLsMNmh5IqSxO8jDpeQEKBvToQ9Da9Ae1
iPblMDkuRJ4WXymAfTEc8GZYc/s8O3G64a9rO5MCwApwJxraL+QcNeb0aT7gO0pXMEJ56tv15ZSh
j58DPTUgPuBk68eawumEJgMwoGh++SMO+J5+Kw/WLvnZE3f/tfKyJZhDY588AzoPEuMgf8huUITu
HrcYSlcDxOm3SHdHoNm7IkvwLUKGeE8rElDt92jwXdke2+GdRmFSbATb1UvjqU1x7p6Mf1pGhUUU
E3w/F2797X5p/XkJWOpzvOcQFqC+9pddmP+ZclM8vZFLAj7h3CSPnF6fSIGcRW65SfNbNb9fX1SZ
VOvCgrRJq1bRzFxMJPqVd9PN4Pe5R0Mt3aW36QGsrocuctNtcpW16ANQw38GBpzT+cD6mQyt3eVI
xI1uprMfKg+mOzKM31k13ky9YMmPp9eYvcTgclwI+NXMjYC7vpyi30MTAFI81M8/QUeFJyuRxgjN
vv7IR1a71kx3RVYBTzA9Flaxj0GAivquEh+6WL1VmXrYmHxx85Syy8BDoZkf8qTIsMj8YnNWTHXc
Ifev0OQV/TpQKEFsXBSvBLxEbdHToKKsz1pvyJTdpP+beHlqXvKuYiSYABtHgAH9UD2qvcYAH/0v
muge0TzS+pr1l5ieP+52MmLJ3WiWGc1Ui0N1+IGOWmBoc5ziW1zraweBAM191sZB7CFFqpT1FZlp
BKD1Urg9GQENDlr+TYvfSRWWRrPT9HYjx7IakQAPgIIYCDlwrRUefxId8tzJjaQjiEhAAHTat34C
81/2LS0jf2EQh2/vIw722JFvZJvWdhKaCXQQPthoDZftWsmoNrNlIRWcm6494Va79VwVsVT2Ul3w
vUBFSNSopI0ycjp3uYIgVDv3mgLqmfR1mBp3in9f3w4ifl6zI73TykTtEyVGcp7pk1/0UeppBfje
DHXAsYITFu+JnG/cUdauXadjU89XrV/qltg1cqhLvrOb1+mXXb0Pvio4ZMct9qy1lcL1AEV2tGAj
bSTNY9yWGpqxWoTa6rcSNa5p/B2RxufmwrsH/wr2ciKrSToT0OfWgjT68iXr7pUJFPD9FhBERsP8
MeKgdcRG0ESvnBQ0MsLi2CmQvOjTXj2k6JXx57TqfXQkK16naPQw8xg8tyx1PG0sBt/iAKq1RmOg
lbet34sxB2jI9qs4irzE4uK2NLfBVLW2F3VK6TlFrG3skbWrES5FuBPiqwVXy/kq54OWZClRcDXq
Jy/vbmzbNUdzw5VWjaCfFYUf7BF0mp4bURwD1em8KUKwINclnrrvev90fYeseZAgchV5VtE6LO2Q
dIh0G80bRYgmAZeOv1m1hZ1d2w94xSOSoCkZLirfcbqu1hOCQSBX5Cl4e5Rgc+7Me4TrQUWtjG+E
zdVJO7EneRMUtJzJRkoojNVjW+q7seLeZm56bVC4+cN1UZYBiFLaeIkxGky1OrTpqaY75wgpdAkM
MgUOiCCGKgO3xZY+ztpKnZqUVsoYla6C7GwR1vEP5Kl9Yv8tBePnRjw1ITm1QwqjbyNehEODdifQ
HqleShJ+5zRNvGd42YF3v1/2NbGqWyWtkXzR4C5lUtBj0ztkS3Zoa8TSe7JYCmWwDIw4wWsvtwHx
2EIwrJ3qoKkC0wJwpwC9Sae6YXP05FV9EfbVEcdP5NPsHgx8ITqeow1qnTW3xJUQvP7oUQfRlvS8
6E10lZZjXYTGeKcC5jqgq1R5ub6Z145VEFhYqB2A4+9CuzlPjLaNqFi/yvFGxoEzuhmo42/usdV5
w6EjFDFRrJCj39Bq9TwywGWwRbxlWvY6ec+M94QZt1ECpqDZCpLN7r/V6zWOCUD2cG+Aeo/wl5P7
EOiDFKWmVhGqHfA73DhWjAMqqd9W2lc+LoE2v5VW7lkZ6qQJ9yMHbNTXJ3jtPgFEN/AueD4BqyoF
ZBxDIzo7IzHuBGA2bEPoT7DM6yf7drZYoHR/2XQntqSgYwKZELjgAViXotmi86pSpxIVWWUBNvvO
AuWC/jgvuWcW72A1+OvxCQ4JwaCOtUX/2/kMR2xoEl5gXRM1VPM3Nv1sf9TVw7JV2luZR8g7ARCF
jkeBQ5dGlbPcQhnYBC6P3ekRmtiMx7nrXoxhcUHW+eP6oNbSKYLdBHSOn3hbWdo4d1LbGoW1zipV
dxlBW1F34DjJ2wwkJLnztXDK8ZYXVu9VaF3zSKJDZ7lo/7LJ4XMtsT3BSyJo1i7WsqlpS+hQlqHS
Nt5Y/1wG38ZtdNgiMV/ZnSa4j1Cr+Wy3MyUv7aElzaapLsNWR5KTQyLdvmluNMcDAFPXP1i+dZ1f
Xc7/GZTfvbzqWJNQYbDx0ypAhX15I/0t3ZLUWkvFm/AahDhqiRKpdAZir0MBOMIMdtkBAH0V2tGR
7veJZ6tu8Rwj1fC27KffZuoa3gECsVu1gJUAe2ZfOiDrLC2nFGpFIfRgXI18UerUpw5oPbNlI9Ks
XDCQ4MSlGyUQ9AR9zsRJrNNiyi02AvhYRYFCsl2eqcCjm8mOV86BgQYROWt1a6OIA1V6Lpk4BNEh
gqsa+hCkAAvRVXSARn0ZWpRnD1NHvtPIBHjCiRLH5UVVe3aNzoSosI2HIV7qvWpP7GXKWQK4K18C
yAzh8X19966cmxDDASxdNKugvigtuc4jptpRXoYsHksQyxSDlyYISNaobsF51twYl9TP4Acoh4yy
anNwLiWZU4TW8mG28+1IQAWNx9x+VLaAKWv4NZwhaNZHnwUuBTIVQU21lI4pK0PatvxhTKwoiNAp
COxhEgeGSlNwW6JjNwUiwJspB+YDp0Qw8aEOCt52AeVsBBSC8LtpYdOOdE21MfGrsyGa6xwgnIWO
6vlZ0GusJPPclqi+VtU+r2ptb7DE2eWVWaAVWU+f9ChiN9dXe22DAegpgH1o9L5IeXR9qi090Jjh
Yg0PsaU9zfO3FtKdLgEP6nVTK7dLoSIBCVzts1FLuvvRArhoANXLsG5vDfNYVFtbeGUsFngURU/T
J3OZ+P1kC6O/wO6XGEtcG89j+qxELqfor9IP18exsk6frYngLRNFeRkJ2acxEil0xjolOE/thwLt
ZAYapmYVgjHTz+vGViYN7LC41Qn1RPT6SruRstKJzYRiN7LHrL8v2RaXzZoBDfFOUGag1ioj0KaO
QTwzw2g6UFUHuUbRBdT11v76MNaWBv2pgiYKb15UWc6XJjdBiD5GsPIOJJ1TgmfSLXT/uo21dTm1
IS2/yeo0biYxEqCFBLtyUDKvAw7gL+VtxbVCNNv+dzDSRp3hxuBPh6EBJQNtWjw6vSCBubFdtoYj
XdlIN85lVMGKMuyn+raFfoN9s1ReWv1dE9LFcKTbS6SajcJ1GOLzfkEP4u/6nc++ubU7Vx0NUBY0
KFMTaQnx+8nuRGMdOMiZXYaOjkp9i0digCraFkfsmqMJqnUNFD9A7cn93R2aOSqU66uQdNEPJ3qK
EgtSVPYBdB0bLr1yTgKWg2wqngloS5GF33utTbVm0bE+dWPdtXrXuVail4dUj7XgumevDAoIBJgQ
qH/kpaR3edPaU8IUpwxtpfDn5qUuf2tdBr7SjdfI2oMPxV4VgrbQcxJieOdrZJSstvJaLUORd3xW
9NfB/KddQmYQlyt3trdoHofGfb+xc9cS72gP1hC80ZKKMUpRLpkicbvQypBUPUTYIB02PjuM33FQ
KZhTfF8ZLTJYdxYkCP9+ZoHvBngd4Q9d0Or5gOPBiVDCglOKF26va25cfZ8ml6gv/8IOdEsNcL+C
fUZ+f9VKa04NxQrGDaTmJrfqbof2nm3h8dZ88rOrF00oiFHy0RR3gGbXQ8rCQv3d8HtneqdblNLr
JoBxgJ4CkhEy7d+w4L5KrJKFk/LOrPcEuDBeHK/P1kqosCETgQNPtKbjaDpflaSc7CQzwTWOYRgo
I3blv1mOEwNSBK9qMrUmSPnD1rkHwntZcrdp7zerIWv7VlSwsKcAQgHpxPk46pjW6NOqWdjQe2B2
NcvHCy3aCkRrVpBDAL+WBtzAhTAaI/PYmjRjIR3vahuC6/k/Y/wtrb5dX5RVM0jzIgePrDKwYueD
UWYVKpnDwEKgh/dl0KEDrFF7b5PTX6ZyFucRmNH/a+gzWJwcFLOV561SjfCwwQHzYh/A4K7I0yMu
jd14J949KYcKm/E1K/x0t8RmaHfO7TKBlOKDOF//etiA83xej4FjwkXsfNhgAKrnPkHljLF3ffwe
mc+K+ZQaf3+YnFmRDvu4HnhFGQrZhcNvncDIZ7BQbXG0roVZoemsQ4pdeKXMNYnOMjW1dFSvgLio
oC3G95jLhhAvKiDDA+lH01W1Lc3qlYAh2KFtEfmAilIlv8nKmjaZCjBySvaJaMVUnmi/cXCt+Ca6
qNFviGuWiaKZCCgnLoNyrWWxYUaLlz77I4+9uap2ORquIjA6XPcH8bnSk/3MlBjuiSmnBTy9sWFq
JvdmNt6lRY/LzA1yXujn/Eg6dohpcN2kcLFrJsXoT0xGGiPd1AP7b08vDXrD78Ao73bG4tO53rh0
bo1O8vakXYiqWDBVG0H0OjfVU2beseG9NZ+a/Hvk1BuzuZYqBBcj+iyEMBA0GKQDGJsiamdw94VL
ByIA1W2VxJ3rJlh0zZ+TxNVTiBF7qoUHQ9nYf18iODMu3atAJlJStcZaquw3V8H5rx3NTYEJMQJ5
9U5HKPmm1SdGYttihMifZb75Q6GeBa094oLn0iHurLis2DfGltSf+LvX7EqOikdyPHOGwVHwi431
4MdmszF/IipdMyE55twvUUwi4CW6xON7ABBNr/O7m60C/9ZIJKeEugVwYjHNQ36722JgWP/b5ucL
GPz1coEBHZRdFTmYJeRo1XDr8Fg7y+Bh//3zshRO1ZkjjUSlvbiZX/R9+VHeOl7xBQiWxza4rRRv
DpybHuKw1yPGxqgc6eIBReau5joyiUrfdg9dDImHiCrWzXUrq+fJ6eikzVs6XQGlBYwOOHG39ye3
cCtPd4tgi/Z+LSwJ/K6QcEMuTm58VhjpaZwbyIzeo+Cj3CUKIAA+yv/IvmxM3ZYp6SRGmUYDax9M
cbVyNYd7cWL7tEXaWf3W9Tf58MzAlHN9Irdsit9PArxCZtDaN7BZoZbd8h1AbW6b7boZGlXO3UA+
HOXmusVVB/nfhF48FNREQVDWMUq6z/s9GnWv//21dCtg0Lho4CFi0wt6Oog0dBGL0J1jaZ4TPtd3
+a0SWP9U+879qTVu/wzJu13qX7e6dtU4NSrNo824MowWjLZ+HDxvKUCuHcPgkAHHFGhMhMDX+Sqp
KV7Oiu4AbKh+p5CYJORgli94/BTZBkZk7TpzaknywchKKE0yYF2sxq/Syf2nQWzVy9312Vr1upPx
SLOFB9aIoyESB9PkcV57k3G3dHdx/qIyir4tgbPYSmpd+p2g38P9Hu87vEUNaWRMjVNbMYB+6QB4
2FHKwb9Ettxg5VIhrCA3SyAucamHbc5FM2lFUaA8Bj2nQtllo9doxl4dqdvFP+cBXbBTeje+RsbG
vrpcOVhGGv0zmQoIuzSnuF+bg82AvRmp4+5AJQ9KL39LDXrDyCe86yRcmF2d4j4NZIOu3nOQa+Lp
2mkvkb6B61npgT0bjFz8K6aUFIsKYE/RkEMVf8uGGo/LPMgBK237N7V5ociaOFMIrcJyPzIL+AcK
wiSl3mj/WvUaZPRQkyfotbrog1NazYSETxGa5YOG4qOxvFzfChsG5MY3rXTauikq4Disxo3Ye7bV
97lyVGIuBTmIgHiKsvh58MhtbShbC3OpJvoh74xd3T0xcj+yp2weXDC+FBNx4znbOFkub2gwK3Dn
SLsLfilpv82GI24gE8wWAZ5g7S8V9DBpGfTE9jexi6uzCA0DARkR20+6dUwg4MnHSRhLLNdSnvCY
3hjOZYDHcETxBY1qeFJ+igSdeH4WGWqyJLCQJyZu0LM7oA+yqrZkBbfMiIGemEECDTBPYaYExEoQ
JnTsfjaGfzUYgVy1oaSBFOS5laxFf/QQLaghleAb40e0UyrxRm5/pckaMoxwOVC9IV+HXlnJSIGy
p05Ab18+6KWLpgenw7PxIRv2uvpudJoXR5DbmXPwk8SAqm/sq9UQcmpemklw7NE0KrGx7NnDG/2h
NL+okNy0yb1SULccfQVMe+XwbmdG0KvNwapAQ6YI0sNNSo/L41sIUiJjjwwW+M9k6TO7q+yo1LED
9X3T/ozTFu3kHxk6y7cnXYARz99F56akXTfFhaFkDUadtWwfNbskfpjTfFfx2StTv4JuA+Ue+/n3
Mex0fFKEqSOzH+e5LERi1tJfqnHr7BZ/4HJUNroccPvBGS6NqmlJRcgCdCAhWEEraNLnOH6J9YO5
n14UZWN3rEUuDdpF0NdB2xnan88dt1hIzfQZ1tJ4THa0BvtGNCszDHf/h7Tr2pEcV5ZfJEDevJKS
yle7avsi9JiS915ff0N9zFSxdYvYOTsLzAANdIoumcyMjIg3emskpGvRoA/xHfv2PHIMs9gao1Iy
zfRhOJ3rHWu/txNIqGsrLX4KgAK9bWze/9/m9M8oWZdpVnIR6TGM9eEvMz14I+f3L4UKF7PIwsmj
BEDSOp3jkdwkmvrsaz4IgjMiZZxgctnRzBo2c6pvZtW/Xi8D7DWGCMGc/YgsYt+cU785FsGh/pkL
WxlS5spKVjxHBGtap2x1HlZ3cdGgjgIeB2TCkTW6tj6j9tK2hcdW0Mvqb5BMkR6hAkvL/vftBVv0
IheGmGF2kaAWsQbEZzX87lSq76PMqVuSoAX9fzPEnLYoHYd2ajCi6D2AWA4Z7RBNKJxn2tJFBzAG
0qYoZIKLd96eFxedXBpRoRQYzZB+oI09rA9ZcL49jsUdiKLlDKnHBcTSNJh5MBRQkkHE7wgkpRLl
hTiLK3JhgBlDB7BMPMgwUGwkG3KOFKqKnPjzqz3m2zG9sMFc1YJoJEOuwEa+1cmzSuItgNrbe8sp
1r/B8E49AsJWp6K/MrxuKTXpm+KWzlldC5wvWVywiw9h9rk4RUmkjPgQRdtEzVHsXbF8ur1gX2+U
W4Nltjior6qozmGj2kMxtt6Vu/gz+Kmc64EMDmhR3Y5qFSkehSdzXdoth46AlXTGXsTleTFEZuPP
JIupNMF86xgu9j2dSLoFKUEKktqdSgRi0NwFYs4n0UvhVCTEwahs6S50pVX2Ob3IP9IfkiNtZPzk
9swsOhlAcGYaAEAYWC6ANo2VqBUUOOtPxdYAedxLa31jhOv/zQwzAXok+rJfwkycbNPgoPTnClQx
2VopfwFV+zce4GJMzDU7DZU5eTOwXBt8AnJqsF7SXuGUZxZ3LaRyINMHpmlwmVy7GdWzEsFsYcQI
ntG2R3Thpa54MlkL4AVsnAsrzL6VUrRtRzLQ6gbWJmzt1lsr6r7X3jvjA6XXsjEpaPFiwFbB4nl7
yRadHFTH0LAIgDWoBq4HqEDDMoQgHYIVqR1W/qSoZDQryZbSqsxIaSo8APBCzy8GixI8XsNf9y3j
9VTTb6ADbuJtrk52W6KTiCR23NqacuiLliD6pBWCfe0h9lG8iYGiUDk7Z/E0XHwB4xMlkKSB0BRf
INJee62gnxtlq2QL8IYR8YLB5fn9M1pmA1l60OMl4cElTeAoCX4P8ZPggQMkerm9jkshLog+pJnU
Z8aDsKfB0IDta6J0r70FEIA37Np4zcLxXvPvZKiDyyVPH2KhIR+U37gV5zQVaP9ZVYVB1sCTlAQA
oFiVuq17kLo2ShM5IXRlQCcWp+CH0icXT/xw04554KB5T1hbTd3e9XGh0FksYNs3nnDKLe8zM9IW
5XJkrDWI+NAMfaUkA7GD06Ut+ouy1tzGQaUCozRYB1MKrR1grP7m9iQuLRYI/0FXBFAzhLKYVq0E
KhE1IKTJXjBrF9lY6PmEtBFjpzL/OZMJZg8SRV89PnjlytfnDnLKfayD7XWv4XKSK8fPSiKI7u3x
LOZuZmTk3OUDrniWBGNuCvTqAI5l+Nl+oLc+X6FAOSDCBKdszXGVi5P3xxbLK5U3kRrGMk4VEvNZ
udXyrSZtRI2X2lt6oYJXCDEZ3nNoWmc2uqhOuuHPuPrJlz069aNvF2b3rmZTSK28/4ziNnGlKqGq
moKQshsdzpzOHpENMi4+4Ns4i65BXwhQ5oWNNA76X04ytV67H35HhN7u/iajA2ojyIZC1Ao4AcZZ
yRD+y32Ibe/TZA0E6uhqFm9Ei1MKDDX4WNBWi7LY9V4MVb2oy16Aj6psMLpN0H9zE/UQKA/ma5yR
7v32DC6FvTNk+z/mmNsuGpIQeG64RBTpf1XJs+R1K18uHD2N7KbhBGXzdvi2Wtj5qLzp0FdiSQ4G
iABVFjQSQAMDjVBX+JnUwzEyN5oZ3QGl+jqAr/4vhjcLU2B/zpBhxomMnlF2ddCl+zhtbL/c6S3a
y9ACgupfEHNusnnxv40OgCO0GoGe4xu1eNXG8ijFwMDnZeWWQuGIubXNC96dvbhiF2aYDWJMyEql
UTubQYdQHqw68JwAWWTL3rQNIejNeUEulkFmxNLcNGjMJavrHSkGHrg+DXQJyfnL0KwjEFhWWbVW
oTSpibTK8hWKV0H51tQqx/RSbHBpmT1uSYASqp6n+863QSZuQ2lN84dVUwtbLAy1+ofbu2VpBcHH
JqM6jIAIYjPXI5USIZJLFa0TUv2Q6SHNwgM0yTjbZGn9Lo0w06kP0FUwPGyTxFgHuUSiKLf7llrx
qk15mL7FAeH6hG4bOlcB7WMGpFe52gYaEL96qtJOGjM6CaC/hKwGb1iLpiC0NPd4YgQs/Zsx1ZLR
dj22pdLpu0iaRjsXzY0MwD7nTM8bnD1naGOYOxDxEkCh9npQuTLq01h4QPmaBVTTBrsNXkRQkMU8
9fOlIWHTYyzYC/BazHYosgQC8mDJ34/xNgehLkTI/2YoFxaYvdC0WWOOCoDSQX3IY6eDRr23yXjZ
+6VjdDmOeZwX6ZkoFjtQQ2IcoeYKE1j2u0dRJeWz6WWO2Xan24docXkuxjT//MJaAEb41pgB7XgK
Ds4UKmiUbA06FEbgqgYeVLfNLQwO+wBarRKaeyHrwJjTo16D9gnulDoYyDhte/0HSC7lZpuVxzTm
OIiFsSHpD/zmv8RWWBImK2/zom9nh1Sux3qPfvBA92hnOrfHtLDxUMnB7Q985Zc3up7CGO0PfgZU
2V5EN7Rm0rLdagLvwC74oSsjzMShuDBoytwNEGdOW9GxO4BqOytBucLx4kuGUGeDfu9M3wfvcD0a
ZdSm0YpxXlE5DHzVEYYPXUhIq38AbczZDUsLBJAtAN8o7gEwzWx1WR5TIfIENKFIKy92onwLgseJ
p/jGs8JMnVFosVRPsJJKWy0DrRCRy4eIF2wugF/QPwrmSiD9kSfCA/164lqhBFdKFWf7VEZRVzmZ
JjJWrYpb38j3Vq3ulfosAHAmopbtq+Y5FtVVsPJQ0giknZLxigBLmRFwyQBvAXKhmXSBeSY12dhk
KhoYUY9ygiEgpgkYqVAdpNwngX+vJlSx7LZ7860MypXS79uH4otOhvH7MA9cLnDA0KrUGGepCs04
+DUA3VkcQgJ62/ebUthVgYCSX/eAW8f16xH5mZpWQytSLXvuxRLqAYdBB6nCThN+e4bbxqu+PWbA
9PZQa1F+Z0hqCPIulFdpA+Vqzl2/QJEDOocZbIDOSBGYYmbKqlQU2mCqAd2HaE6I2onurxNLpWjw
CajxK9VI4Y+OIE3UEDqCr+pEkofHuD9IQ0RqaL/guXrX17wX7zxX3+ZSVlDPR1s2qKKYrSUOeoc3
L0Dagpz7zoAgeVWoZcMpGy+cfFNEvh4Ex8rc6DH//OIq8Ae1CqwiBCAt2YogNlY+8V6yjHteCXyh
vxw4fyTO5nfMzL/NGGolr1a1CmwL1lPQb7vgp5G9ZyDGyZWIJqJd9dNuqP076zOqfkOcDKLHTy00
VXH3GWK8Rms6Z90XHMRcCEFLMsBDaOtivqfHVjAAJZ/5+GPaJO25neTVFBmPfcFz40umwPA4q5Ci
ewyTcD3HnRdOXjlrGaRhbJvBRtYikg8RtTIeamLZEh42aNjBkn4jrVKn0FQLwP7fGmvVl8dCfxt5
wKelqgEYO/8YYYI7lHCFrG9LwPxlEzJTFhWSH4KZUc3Xjsbwq15FGrIJY+eaSvMUeLUdQFxJ6Vwf
+WAsJ5Bgwr7550A6yE7OXa0obc1tK8xyRoKpQ+8VgMCpepM8N+y3evE+8NrXFs7klRXmTGZioTXo
EURLwKpYczbk/IXMeYdkIrA0aMdDooltkdekrp4aDxDbpt6iETTdatauMnfn2y56IW6Bm0P3Nx6J
6M5l89cj6JVQ2wcBHeqA5lQQYLmI9/gXNnAdWijumEBaM0G5XgHpD70a5MjlkzbtUx9dwLx2gqWd
PneX/scGc9OMYpJ6ZQUbSO4CMKnSKHZx1sF+adm3R7O05thWiF6B6AKuitlZcBRdoQcAg4b5UQ3B
P+7zqHcX4mPz0gKzqzwL+P00hYVxWosDAFWWCxYotA2gMULTOMNZnDi0ZUPpAk2t6KO5dkaQRcbE
dYAJhY9a6IwqkqnbwLk9ZUtbGSwD+P1zthsEv9c2gOqp5NGDDenNMH9A8a99Ln10fHKi1sV5uzDD
pDaNDE9Po52Rdh8C0J7QGQQbvHgSjceaFyUspMUQI0D4aMbdAPPJbLdcznxzyoDbzpL6zlDrJ8sX
j4mO+osZ6SdJEFfo3UcDSzpwzuvCcl0ZZqJlAcwgSVjA48j+YNeqjPx+TUDVSlSx4jigpTEijJVn
DQJAudlMsQ8ZO1/owG86IWacpI3V/yruZgm7Z0WsaaLL7u1dshQSoGrwX4PsqwO5lDZOGoQEXl5K
95rRQDJeyeKjPzSpk1Zt5FaJ3EA3T0L3hAcNKAWoE2oN1UhDEIGRvgs7d0TC/pT2SaijQVHLclcG
SaQL0bGBU5BfSrJdfS57ckC+qpg+CFjNVNkH1nNQhvcRJGUVbxdapEbtJkp9ux1GYmr//FFrza4H
GxqgrG/yEDE6E2M5wExpeAk20kg66YcporyqCxzfLc/OmbmGZvUghESmCfdgMYfKy7LSKGQEK0oN
iuHSMaOGDJppgywVuqU7Jd350KJDTZDWZraKAiIZblb+zMJ141m2WKwsneYD0scgKR8bElnFm9Ly
Tv7SO+fiK7+xczZj7Sde3qIfJXW6+h0ZMzKOd53SugJIcgEEfw366S2rNnV3VNr4/vbOXXA8wLR/
yVOCfwBP9Gv/Jk+FUAYxwqxkZg570L2MCtAZ7Ubie4oNWOv/aI/ZeUnRx8LUY02acI8eI6L06sa3
NkWTkg7FP+GvzAGNB4Z01PC/Hr0Xb4JQCMwhNjC5oCglgvksKDXRjZ4IEP0Q5FPr15w76Qtf/m3T
fRGfzO35uNevJ7SAM8u0EeIyWo+qbxejJTEKSaA020rQ7QJ0e0q2HrPnKqrWSS+6oWdQs5ye09Hb
eNJjOu0LRQEpcnTX5G5uub5ivtxe8iU/rCCthEAARQpoa11/oamXvlGFaKORuw74DAGN/bLRuIU8
OvqkjJx2uyVXjKmfpx+hNjAo19aCwmjlHHIJ+zjPHTVRIOWFw46eMsW/L2uN1LX8e8r09e0xLsSG
85oDoDwTNmIdrq02TQY2JiCEQZx0EoyMTMPamN5u21icR7Ttzv1dwMazCZNcLNGPXyL+NKLPptHn
joaZqjTkKTQs2cFDAJRwM04EYMHrsXipX/2LRFaOtoU1EuiY0qx1dZ+Xzpp/Ebt1Lw0x/lKQayXz
dQSiddC6aemfBvMBCiad2qyGynOU2l/dnsGF4AqcVgBPoVd9BuAzewPglrxrvtC/3vPgq4dMPYgd
LUxjm8o8urtFW2BhRUUcREsgL7ueRejSd34joR3DDFVwvPetk4OutLCOTRyuodzF4ytevGORhPiv
QWYLVl6TjKkOPHWY/poENwnUZ0n8AcUGO2/p4D9MkWp7OOZgI/6LWdVRgpzpKCBiwrxZssTqasjq
oq88sxOiKnQM7JT3lFiCzlp4fSGZg5478JUyawcqZq2OVEA9K8Py150ww+LrcrKNqVVRXjKFVaZ7
yS6LS3+n6+XgRGb3EEi+9RSWsnaQwI3Acb1LZx7auXM6FpAqNI5cr3BtdIFVJj2w8jV6LKyzWT0M
Pi+yXFxWlOvmZBb+QsPbtZWyMfSuVSQgiNT+2EOQMB8MW+vSreTr+LtZyaFl14K61dqHuJnc22u7
PO1g05n7L+BN2abSbFIyY+gNPBT8BMpvntzZ5RgmjlgEeDz2ZUfh+hqqxplnR+1goudpyGij4+Ha
tYWwFydIC9/+psV5B4YNOSYdOXD2VSmmQ56E2owjg2ByHBlkGj/ilsdyvXR+sbKmBMLBWeyPOb+m
ldVt3s+ko3VpTwB/OGJUWMQL22hVtumxTh9uD2vJIJJc2EczjStu8uuFtnSQFXcd+vHqSD+k/bsk
ovX5oE7VVg/jzW1b88eznvfSFrOpJkv3hmlutKqDWRhW9gTHH1WDcyku7l3oQgLLiPc/Xs3zTXMR
DeWqmfS+hTMbWWXhgrAmcoLA9FxwwkHJdeyHtSa2o6MMUuboyWRJJMu8aj+aqb66PeClq2ZuiYJ+
AKpOWM/rL1HyatQ79GHv1akAD28HwKEPYmy38+OBJkrQQMLAOvVh03GcxNJlijAQBFjohTXwCrk2
nPlloEYeZrpTzhUS9pZ6qNvINv8C84z8lwUzyE3o35QgCjmuB9XDAAEZQpBjqvEadYLSbkaf96Bf
HBIybTqghiJYIhl/P3a4BOoCN5umAN5bNYdYgfRvfMbzn+N9lk46kqWAIs3yVPD615OnFqrX13PD
Qlo9okmfhFD5ktPxL/wJhJsUMP9iZyDXfG0FLeUgiu1QY80RpR/wXHhulMBYT5bvkdu7cGnmECMi
ly1/QfKYIy7ngeVrJgqs0ezOS2LkxyH5qQWc5/bitF2YYU73OGVdmJigeEQFVw7Pfq8Ri1d1XxzK
XAVA8QdCA2znEYD+cfOFX7Sqh8ArbNDuGdCVC9LP21O2OJY/dtj3Iop1WWVmuP7CupqFrAOIfxQx
xzssuUM82VHGnWnQNZalDo6piHGRwB1KCqiSUtvDZrs9juX5+mNi/vmFK+xHIROaDCDMwltlnmmr
8j0aCcW/AJHjYfDHDLOXTcR/lVxhJAmQFtJza20q7/ftkfAmi3GlQ1W1uY+Osr0UmEQoS+qLBsdp
Li/6n1Ew594DMkVQy5kaWzLA5VgFtolmM/DG/42DsRDc4MrV0fLIanwAfW75hgdDrRq7ivypxOiP
Mc+3J2xp6VEeBL8ZGB3RdTVP6MXS53qQ+XEPSBSOo2V81JpA0O5jD1HD2cbztLC3+sw6hsevBaQ0
6y5DvRi9yQJBoI7IMHkIu0/01+dQGgmE12rwHWn4xyELcOBARAE4h/+/4RHKGCgPo8fhjAe0eIz3
k1kT0QeWX443ffX+T6cRjWtoevmirARwgNl38VCCcCQDXqDOIHR5HvN90X/44Mq6beZ7pABKZ6Qq
Zn5hCavFOE8hkadJrpCgklehg83tFI5EE84Z+r5SMIJwHm0Q0LBRWfS3mBupZVVAjPTg99BF2xRT
t+oKXHAjaI90ihsEKsvj+vbQFuKxma4aTI6gZTWQPWbOlab0Y58GSMWDujYKV5pyVnovIgC3UQEU
OLEakyHMaTyNe9H7x2catpF4xKnG1KJr+/oUhImILFCCSg0u102hgCa6H9A6yjsD3w/btRnGz6p5
2KhmMT9Gy5pEqdsg569Lj7rp3p7L2ZFen7VrO4yj1bVSyiY0Ye/NPnXiEvDb/tArDR3GUy/yZEK/
+8PZ2Kx2iA2D2IGJuKRyiiKhDxBxZXdJcifVDVgQ9rcHxL70zJl8TpvZDxR0LUO9iQlOtLo1cyvy
+tNOpKVP2mPgQk/X9SkkxR6G1fm2uS9ZjIsJ/GaOOWeNOImZXsJcT3M03pADRIvTilYO2jVexL0j
vx8rpGcrQvcGdZ5D99yT1I3tLS99wdZSvn0JM7t5ngMBPAr96WAa9of5O36w3MEjj0axo8/n5nPc
0wCti7fHz7XK3ApW0jZdWsCq7T+6KanXGrr4ZCcACP5MAOyQO5KtgoPBWWa2SPFttMw57BKtKkUT
8z4+I2xvhI0O0Rzo2NChI7r4lt8PJQ3fm5fmXI4+hWZB6FqnSX2NjjoErGkV/bg9EYwr/PY9zIEN
IiOI6xrzkCJRTVaia64LWlBOSPz1XL+13ZjzWqNqU3cVzHR2PNFsI26NlvjHl4h8dg55aol216MG
8SjTYTOhe9L4CFfpQX47iu7q3fqsSLXyCKXdWXR7+/guugp94NWX2R6af88FJFzmEgmy+cxOhBRP
HGeiP5xiAv9IgXtzwMmz8ek/JSX7ZonZfaHXp3kxwtLk2sMpQt4uvm9o7HKmnb1xvtlhdpuhDmaI
esRwaivy0W0K9KbWIdnG9pqnyMCdPGYjKWPdFlqCIemH+Nge28N0tFZFTZIV7+yyuLdvo2I2U6Xr
qRVVGFVhC6i3GCJEdzoyyBvJINn5aQjWaLEqtmlKUQUqTVLqmyikFUSkgU7gXERsAejfH4PqgwY2
6hmYcH2xWhmyAbKBnV3sD+ZEUc5/lAISH+6NkeTu2VzTyak30a469GvOnf7/3Bl/bDMxmT61eFSX
mIihss3Pod1V95VKy4o2jn7KHzS3ASoaKcPbLmPZLHSAEEagToHk6/WQh1hXOhBS96c4hmLpg9E8
Rb9SX1kp4LTvoEEC6tafCoBUWrHhNVEw4eG/ZvvCNDNis8jCSh3na8s6Ci01IzKMtqXtxgIqXZxx
LtvSZ6pxZI8Q2V8PU/NBszZ0WNnGbbcTlCJJuUntX7cnk2eEufZVy2sgS4gByVtvZe0S8i69pJyB
LJ9NtAb+ZyTMZR+3ea5Ps/eV+xPutgGwwTt1XDXpdhz3Rv5s+pzrdT7s39z9hUHGk05WFSh5i1GV
TvFL2UqUxzbPHZJ6vTjNZMkVtDv7k0bs8hGxJnzo4AyrmHO+WXagf++4P3PHuFCvUGqUMWHIXGlo
13fQ5dJm9F0m2wjt2689MR2T3t4TbOP0v20CCAL5JPTXmMx6pei1QUIfNntqtNQ7o1c8eI+d++Qz
K3apnThPtw3OB/b7cv2xxyzXGIix1wWw12i/UC5/Lj6gJNs9W03JMfT/uI4/lphlC9C8GmddMJze
fvgoRNN71X5P1v26XvNUmXhjYtbNysIoMCMLAZ72GuZACnq05iCQ/59N+Gc07J0nqrnazAGDeI6f
g4ZkRLTbnW8LHCexfI8jSfKfDcF43DSq5GYaMW3h+Q1O1t1A2Ge0ZbL7K08B6AykD+eNx7IgjKII
mgAvn69WoJnWdwZ9TU8RWd/eb8uX5oUZZjyd4qtNZMJMq4FhmGqJK5B8pZ9e41+Nk77VAtH3oBsi
3UrYntFSWe54youLce/FFzAXSTdVsl9p+IIIzx86kBrMHCb59HkTOvvvb0frwg7z5o8iv2jMspgn
NKCR690j97h5Tx76NQ9qwxkRe11JZhwpXg1LueMfA/roreMNyMU5volnhbmvpjyJoraCFeUpOOk0
sktbdKfz+fYGWfaAf6aN9YBoC42KKYYZ77dylxOAin9bjml7rvCQOMVhy6NvXnZMFwYZF5inRe3r
KQx2rkHu8kOz9lfK9jgSa7OTNrdHx5tDxgmKsdhLrQ9b1hqsNdh8mrNX33iiSTwrjAPUQlBgGfNR
lg9CSyziE/HJOJgk52zx+fewOxxtaxB/AW3knCG5vol7qakVdYzHUyN2Cng3vcruwjBfdUVvccKK
xVc7Kv5oz0E9HJxh85gvcrmZNnWJCOmNk0H8XXdf3IHsPbJVYqwkJ/eIR3Q3IDsTgs8ff/XAubDN
dnsb6AxT1QS23eQuuPOC+85pX0XLNh0vd25vkMXtf2mLOWWaPoa1VcBWm+/U6SPxSBLaY7tJHNOz
Y/FeB6o13tS2jNOnrv5H40z00XioTIM1G47k7B12tg7adB9P8jm+AjLIsR449paCxcvBMkdvFKOk
U1PYq2xkyd9CR6DiRnvIdomHfNS7T8+5R3lkbItx3dxqgn4T8HXiDXW9lUpzhhIk8xX0eHBDaGDS
R52EHZXtp6czT8JnMVK4tMZECiEk5ZE2hDVoIx2LmNYrHwmN7TTyQpJ5sr6dxothMTdrlftRrOvZ
cLKVya4cmchkvT57jn7kPcNZJOtXlHo5JubgFyLYQcMaY3rL9gaJj+qnktom6RzeBuGNiTn1sR4G
8DIwtHMD2r0au3DTfKxtjwLDTm9vxiWneTEmlmQXmvPQqxhhyn/xS1LvBdvmzhvPBnO4xzpIwqSH
jZeevu3i44diu4EdPmtOWhD6hGTYy+1BfeWOb2wKlTnRk2/qSdvBnezuaho7P36UZHNwP5TAOal2
NDrtHnR0T769psOBrjOk1ja/eLrdvAOnMsfcAwhc8aR5FQ+FG/vU3wBvTtdr3/217nikgYsR8+VC
MndsVVZK1U4Y8kjfDJLc6bZOZl4/w+ZB43jLyTgSzUsasSxhKSZ2eFRtf2OSXwrn5mP7U/912Awd
HIhz1UplmVvMvkiSspJwrtXP5i6Rnfa9+4FW9D0eoI8K0Z21/VTfPdF+h+QTKOl6gnnlpRMXr/qL
j2CcSzNUUg7ed+xc+1Dtg3vJddvPknSbx1ck23wewm8xKNMv7DEeJs67qjYi2Cvslzcg32j580jp
A29c86/5djzQ3ohCtAXuN3Zu03GslSLVMLcILJx+ExDKK6kv7/4LG8zUFXEUjjm64k92+pkaTre2
HN3eS8/bluwOOXIyHCT8YsYdMNv/DoqZO6uxqkEMYVD8+DCIvI191yePj48TQVV1m67uNqfALkGp
tC2fzuuH/MfDOnDoM3WGc+f49HlNnx7g+3gbeR7nrblmfHkSmwAWlCouDTDy7sbNbU+3fCf9GfXX
PXwRICZBrhlpgV+PBlx/pT5tt+uHhwdOxLt44i+MMA487QwJcocwYqclVW1w2FHsytsjmf0TO0+G
CJp+EEGDsoWNdMVKQu+JPmHrB49KLNlFLHOuuqWwC4rZQICj0w2xOxOS+HlcqNGQjqesj1xoe1Gt
hJCIDnA078ZjqUm/nJcBQfeZQgMCsWy9HQxvba2jyHc6/FD0VUiMhqS/HwGMcC1HvV+tqPMkvp6r
j/gnrVaRc4aoIhTZnV+cdftqCf82qRffwSxc2wRdW3aoEb/Zh5yU5C7eosCmEnyKIFKyohV5grQT
/pyTQ0+GztlxllX6Pus6mlchtYfeeMSe7C3YQyO8U72mP0FDCqjebbcHe15Eil24bxwL4TUQxWv0
YXEW+/uWvTbLXIeeXnVTr8GsRjwsgLnZo9XI4V2FXxpm1xMMMzgZcNpI0mtsj4QELgHFa8f+pK8g
x+lt/cyxSPY02SgHWMT6EUGhy1Zpsc8sWweX56f/M/NJVRO1PHQvEU84acEdXH8P422EZmogDxHh
KRNbWmfnRmltpFbrz4VYqKDMl4whJ5VUlidr7ExQ1SpGSMS+lUPiqTkaSXo1zXgukBVcwnGYv0oH
nB5He5aCw9m/cFKpEckemA2Qiyc5ESww9VbomD3Kd7V9PGf0uTs8RYf89bZD+X7JXRtlwi9RAYeF
Z0ioAazK59r17p4QCq1v21jaZV+y2ZDUmQ89UzGxZLMX0CIz77LRiZ3A1laQuSO8bbYQ3On/kuf+
tx3mHCdpE9ZlATstbdzwZXKrV+mYbgrSUF5iSP0e81zbYhZLikcjsnLY6rfZ/gRZ6LsSiAnDBoeo
snmD+9jufKKBX7mF9mxj61s5tUcnf9ys/MCOPidHdSfqhHvLiTzbeOj3IwH42oYy7sHm5ii+3xrX
H8sscjvEajJif2NnJZvSOZxM23DkjU62xcqjHHe6tKMuV5vxKZU4aQlww/Nqv+GEHz4zyh3QPLus
Q7m0wQTXXtROlqBi9ud1BtkoSvLN2qDCQdgW9J/nNq9nj7kRS2Msg77/mr2c3DU7z3VADccJopcu
gMsRMYGgV+o5oIowUh6kFZAFPBTD8hkEgAitQMDRsUCvxO+bHjxFM6Djzv/tfJ7r3cvfnPI/Fphp
autBGOMBFgyc8sgu1iZJbd/musl5s35f+z92mJkaW92ohBkqo7l3bwl9y4lrvncvqcsNzmd/ccsS
Eyv7XqBVQ/I1ortwFdkpzQiewf2a+whePqB/xsRcSLUoRooFKfNT7USnkiAY74n6pBNAbqKVb5c7
HtvEQuZp3tT/tcimLccyLbTIwiy+1A8l/T3RY3rn25zwYvGivbTCeOQoUOPO0lEJ08jk/ghs8d3b
SxSwMcOOORcZd0SMRw71LBC9ebVS0jouKrK/joLdrv9u5mYxJIRrM28j40x1UfBrTf6CmXz4D7if
CwLENdKvhIcKW3gdYpEuTDGutM8Go4ylL1PIVrg5DV7Rz+UKR39Ds1Va05JzUy9foRcWGcda6+Bv
LzJUFKPNYP+ID8N2AszOdx94wf+iP7owxHgLw6uzWo2R3S2dNzCEkNgGk9fmtkeaPcG383thg/UU
QleFkRUPqJe/JThNyZYzXbxBMA5CywHq9wpkVXfJZlp3JN6gMsQj5vvq7L01DMY5SMqktUKLqcre
KnekH8HToaYAzCHaAKpmK1JpA81FOycFMHLyL/XdoDpRXdN13vUW/6jt8T7ebLVNz8NzzOO78WXs
s7qV9CAvS+yWg7qd8LCehT54opZfT9pbRhgfYg1N26QqjLx0GTl8eDRBzKJBN+Fg3nuqPVCRBM5x
+0gsJ1yJJzv7nay4h56z0l+O7iI2r4zQS2Lry5FZRDwcUDdDh976Pd0cn2kOjk79kReZL5icFQfQ
Vjszz5nfeB+ToYacQtuf3iYXCe5mXdv5EyfqWPIwc80M/0HiembAwgpfjMsAqVHozTAW6Dq5SCe4
3Q53ARVWiROQs0d/3T6RLNXW/MYB9xuMAWgPLblvvd5xpgpjhr28q3Wa4sl5cHOgKhGQ+iC8cCWa
2tnKfEwbIj7eNv3FO8vsoyvTzFAFOQu1TIUzLc9oUka6a9iDC2b+grfgUNgfANgS4VgS/COwDdq7
8r36NNDP+Gk4qjtK8/3W2sw7z3eTlXHPiZ4WapjXM8NcK7LWVSA1x8wA500lPB3AEXjUnD4irftk
Hp2jd9Q2vJLzAuJitgoSFrQNoiHyq+J4sf6ZVkPlIYQHU2ARqiWo17gJFEgBBzMoCqjbJ+hNbgUb
nIF4sfF2w0LYc2WduW20FA/tykOOXFzJq4PsSGtE8c6wLYjxka3y15y33ec1ZveAjvY4CbktsJ3o
zEs09oqu9VQMVyMVJHfaFd4NRNsK2/mO470b5PkO+2YNdCozNzcuco1x3FXSDl1soLSBJ5exc13F
lbcGie6qXUijo7AqHGf9ADg5cej7SKAvQm5v+cXTPfO5/PsD2OEiqMyDZq6tNHh7Sogc0hXUbA95
T46gqgXrCkH97y9iPnTsAS6NZBa0FNmO6WHS06BQTKRB5S26iF0Xib3jPaqa/s/bw1sofuhXlpgT
XaOlJgoVDyWW9QAsSIIrcHJLKDUpPgmpf8oAn57ofeg4wkdEfVv2SUoiujZO0j23Nj9vHXaxL4fN
nF9tFMdM7arxZHnDsM3AcPWhxqVKirILdlVkhNQzUzRviGm1UotCXXs9IO+cGeF9BBMwooM97PwS
c688RdYmQct/RyD11bmtZiea670bUKEj7f+R9l3NbStLt7+IVYgE8DoIBKPEIInSC8pWAJEzEX79
XcPvnC1oDHNu7VMuV9kvaPZMd0/H1bGZo5vUQHu5AyAkAUbturz/SyYN/fg4GNVuJFmLm0ZD5aSw
ZhulMzN5oWWuEplzS+hW2/Bi9v1O85dBvY5NaSGY/W9Ntji/YsID/CEhjJdZ1hIgCEQDDgok0Zpb
GCrYeNi0dTXna3gQe155ZerNHnPNeJxpUiqhDmgGKFwGj+jl9broCY+pCa/rB1OM15kiX4uoAEzJ
EgGSjiTmAA6zg2WlmViSmSQRUYZH0XhpjI/w6syDQ1CfBMEq6n2iNpztChO58586yNi4CKPoapxS
bR8ysk3I0JhvwS5cbtNluCw/fFuzc80KltqisVLyikXGlq0npsXLb0x0/+OHYMcJQDkA/qr+MSHo
1YKnBn5/eu7Ob/r2DbVz41e82FkE3jD1iAOLlwScytj+oMnofO6F2lUIQVPYqzAs4nEbuIqNPTiP
F6t2W1wPpqU8k5cumHKJf9Bl1HzW9v8Raw3Aq1rlzgxXO2rpGzBSFUDTlw46J69oknSSyCzitZ46
sk5K6UkWV7OQyMkLBogulWO0RBjWWl6Rot7W0TIvTf94XwMnFZDClGCEzaAwuT/9y0qYo7JSBP1J
dhRzZhqrHS9Lw6PAaMOQV9dZ1176U+KGlmHGO9P4uM/D1DOO4tQ/PDAiLgIMwxBKygORf5vdgidG
k0bjn++j6+jnGXmhkEl1Dw6sAYeUP9Tk1fR+3+fh5sgxzxNgIWjpELAfwHxk7HFcoDaDQKA/VStp
odgqKB0AXWx+ztEed91zXY+Ja/lBj7G8g1KrijQDPeNIs/HIjlfoCp0v/UXrGAtATDsC2iFO97mc
sIyA4cLmJrR4INRgh24iEbjvZY9CXiPt0xmGjIydUoqkqd3UR3495yw8mri4H+QY0SsqPzPqEORk
qOFM14iS7htdN0MxI0by4hmNmQfP91mcSqn9IMpIoy8W8wtaPno0P2TPzaLZJggN36uN/BSg5/A+
MWpHWKEZnefN5o6ig35WJ0YcoUB78ctTlF2ssr+4/xsJJrpXml7CTkiQSBrsPil/h/HyXxDAYkaM
7kH2IRs/tcvQsspvqEzoERxRLcP6Gus+Bao6f5zSiALzCuizQAsCr+9PPprVL1bLUV3e5+kljS4h
lvVG7mQwEAAVVoosAw9toPEUdkpfxRETjH2oZk3ua/Qe1Bg4OE1KJA/jQKlhGoBCqThew8SYMZCU
RtQY6xCLsRYMidif1uvtreSOnPcpfj9lJlmS983V3kQb8oqRTjO1V8dym5rp9gM5Y/K/3RzzOnkz
qcvCAD9DGK6kkt9bLJ6uC14cOKlFI2YZM1HFKkaqY6E/oVsaFUG/dbq5xBGS27q4e0LImIXQCLBi
DzEI2ui2TnsIsFLRJ8auI+HxcJArxEOblKzIMUhJ8nD80g9fa+P0se4X9090Kgs/utk/cEy1WR1d
uwTSKuwvj90yOVwfRDf58JEk52GmTp4rVh3Q3jcgSt6OZKQYSpA0giTh9rwyJbr8cWm4jtbkgzIi
wai2GurBPOlBAi4VivLbh2F5Sp1Tt0bub7GwN62Vo5O2Rgh/NJZfHxxbP6n5I+qM5l8AT6KGGu7U
KM9q8ZKmdlJx7muSQZweEoDo+ME6xZ/GpetDtQuuwXDCFpN3KQysxuhMv6s+mkKobTHCPggPq9/v
C8kkX9h1PUduYk4BuH4SVQo0eg1BNJzKYutFu7J+FAGu+7/RYBhrsloMsioeTqH+O2uuxJBWM5+3
v5nHCKN0ihF7sWCEMF3l1ZTl5TUX7QLu/31WJn03rLMAmAuw/oDsJf08r0HLh0YcsuFWRVvrixkR
ycz0nJTMFpkFlEMOwanEFV11e8OHQyTF4qYiMdFrepcP8Hi3V6RxsK50U56k598P2d4hhbXRSvJa
HpLHkvTLY2q6+/scT2V2fvwA5n1Q1K4ukrgaTutzFxAfntxjb29/546TmIfALCy7sfLCTH/ZK8kq
UaEKHlCU5eV0bkXxP4zq6BwYQa2UwZ/LgLM8PT9v881bRX73memTxcxcYKjPf9xJGEWLrAvaakOE
BRz1n9TNEXVGhPVhNsNOmXI4XfO94h9b7EkS8idPzW3pCqfWE23OqdNTvccuI86dYHi9UIPdNVo3
evvtwXB+V9uOLD8Dc2GHyEGXZnY87mfWnvcSy5Oq9M0siyimNlGTSAalvT7ri7fw4015GuBPLcnC
vtqt9br6dVy17tdKIObr1bafQsIrhky+JzeAaCxtBOAjY25rpfUvSZ/ivKXPbHYoldP98+V9nx7B
6L3yg1aZ5VeocZi8RfrTnAc2OPV9SQDeNF0CA8g0xpUuQ6kSu3o+nLR5dpYv5dnIun9huYFhRZHl
0MwH1MafLLTRdRiKizCcvCIgRr9s1Oest+4f01RWBef/TYTyOTqnQTGqMFQHaJ3qzE0hxiBmeTy9
JJLlP9Z266Abs0mIduKQpVaUlX4KiI2yvmIAh4lRdkELEylr8Na3YTcLzdZA/7fp+0adAVFVKTwy
JFXgmYkMY7ye94axDUJRi0ndoXOTNEEeO0WcYcnz/d8lTfwuAFViWzZdyoURb+Z3BfO2TNFCIcL6
zyTzghYup9gm29OASsLsCSXXkKyMFaBQVq7buM/uffJT8SaagLHsDli6+AcLXybrQZL44SCerPNW
MYMVVinYq689x9ZNNR6MybArhQo9KnV1AJeFnRD09CRvWIn8yu+0oTaMueUfdBgl8dT40ict6Mxc
+HPbh98dIIXMYWHDuJHj3uW9IVOPN1pF0MZBHzRsOmBURvb9or8WqnhC22hGLg/LBYzpRnDsFUc3
/3wuNEgHZiDRF45daQKjNjr2WRRBg4FLy6lI/7oxB567M+Hc/yTBWDBP79OuLWM496thTezNanfs
OeI+IQg/aTBPv18Ewwxw6pgbRWW4MJdk01s256gmhPonEUanpADuxQXI3Kf1jCivO7QQmBZaXHiv
GvfAmCd8JqBJEV4oktJbGXMq6YE3mc+7dObJ9vo6y5uSXnq178/H+YFjjDnfvzE4ssUGdrYNQ4bv
VwglU2LWiyPHvlD5/6mQP67iJg8jCoF8RUfAFRRUQifhA/Piuu4H7yZ4fFAjO6Li50NSXFVcRPTL
+AXUMt7sx0Sp9ScblM0RgUuINR0DuoIRf6tutsBRrSBVPdnz0H0mmul/UmL0XA0z5KMVUBoetufG
PJ/fLqb7kJm/H7ZOjmGeDtOWD/DSOD45T2fYDLKQ+2WlUuUXz2+PV0I2th2SJ45m/mmeKXOYggDg
K12qxyhMGs7rwCszjISgGQOGGQEGGV7vi9wE2NpPIozSDEYhzSoxvVnKp8MDgLY693Dwt01tHTb7
aLCMnPhoXUVWl0OZw57CpPovVzoHL4HyZdMc0POyqQpycYJF7eo4UvGwIS92tsR47hP6TLXXL3/A
rJVuylx9mCiX/TiDW7fMSF7zGXCcSgEH/aw/PW/xYjhL8qiZm9J+sXcmT2j/Ygj/uVd21LTSK8O/
pCBXFKhuoBS33lv/ylR9k2A0sFPmmGyjiXGrIFFmvgAWL+StlZ0oa/88Nkb5jBrLgFssJT1tLcdx
PqXHxePGpmNeofmccLpVuHfEPLeddtG0PsehIac3OA+OiEtalG7qblCzydEByscY+jMM+8kf8/pe
hbhsc9RQTsO6cUzjdF/+/2Ilv++IeXfVa4oVsUkFjs7Rboup4xNKs+Ti5juL24fyZzT7kxXGlETo
rQulDKdnbTugQYQOhh5MYh8DdJgZFu8BmCiE/yTHGJUsVCpPUCAZ63VCrC2ua7l8vJqLz9o9wLtc
YcDYwIAH72H7i7/0z5GywzW9UGEWaQY2E99U31YQRR2NYpXLEcbpB/SbDOM3Z9i5qmJMG5nQjAjL
+YPltrzGBol+409X4JsG80j3SR+UxoXKu3V2KhPdrMi1zC1i2+YxX2Bikxd08JhiTIbaX9qoL4r+
NH9SEWU6y8T8VKwFhuBeMfLKO0LuVTHGQ56LtZapEJE0AzCZv63OK0zX7/ecq5poJfwhiux2A/Ei
575P6UAMYTNQB0Bn7MI2bddYYlkyL0/Fe09VxmiEWjEYQpzjLUnQoHt7S06f5B35ccRUputb1gfH
jvzZ5/STQ8aOGBdFCeY+KEZka7XbysGb8mBxiHAea3ZDVughFdvkkI6zhR62E1ki54+RXswOr3Wb
p8cTOdefLDH2o4oqqRV1sLQGuTfQuzgH8uk5CztFfyD0+mv/8SFw1nJNmntJ0rGgTMDOnFvwOvIC
MERVwb+HpGgNyc6AUr1/hNMaPfo+84LlbZ962M9KWyeeMcHw9vawREJPIWgG0nGUrsvTaKqxf5iQ
EUFGFDugBohI/EPFUP4CShkN7E1Ht6+v9zmjqnqPDiOAsYq1PNcGB6e6itW+3P/4RAYMsjDignm6
8nmZaFiUSY8NAJ4Yhd6IK9lcucZjS7iu4KQRHBFjBK/R+mqOxU0oX8dIG6BIyEtMTNujbwpsG4Hf
+LNMC8FOjhzSA8z6JzVHSB4AUoRn+yYtw4gW805d5R5NkB4uxnDCh9xFtfNC9h8854KjN7ec3Uhv
6vi/1y8fAdi+uH/9E9WPH9d/s7ejr/uVcG1i6iw/r/+vo/Utcp1TsVgukIjfDGZr2btdYiWOiyiP
x9pEvvEndeaV0vS+riUDJ7hG0/KwjEVMoZcYfndq06x+Ay7R/XCPT8KaOxJEdeaOTrEjiklcYms5
DY7Cxoy915qUWIApOReZY/Q4An+zxKPjNdJZGvnAWT5pD/pSRdaUI4PTfvtIBhnjUIrDLKozeoIW
ahnwch8QW9UoZLSWuepdXt2CZy5u8jRiqLwCnRoQ1TRlpmGcwfk/I2vZqrmy/lUWYMQbYy1UI1W0
VKfwEJgS0Exx8Wqu9vuaY16n48VvMux4YolNCXlEjzDoiABRaIFYiBl4SeNE5BNYMj+kncXXb43i
P0K3tgRbdb3VQ3F+ur5hjIn7wk+6tyOeGPe2C8RMTAoqFgl5Lki9cdQNvAoN6WAAPNnRecUNu+kn
76gUm3zuAYUL+FDcFrJSxKpIty6PBrYr0uXS943WdGQ84o4xG1UhNYkaQqsQ/dDg5xNoZnBebNP9
Wu95iALTSbARNcaxEPRwkFQPjFmoFWydxEbr0PJQWYvXlb3qydFFeLL+uM/itJ+LrBTAShQdO+2Z
t0W6dvM6FxG9ysBNfMiPpyXiE2lJbFyfi7Hgr6/2lvHjkJ1+bL7JMnKTX+RZrks3sufzA5YRYwuB
DafeVHfUqTe/0Mebo89ccFGW4RUVJ+oXVEG+qTMxUoAm/lgqa5TFzHoTnt62S9KZoH/a7XjoXH9x
F79pMTIUYnuVrw6gtX5e1xbtDAuIc1jUKDXAdtpwvO8f7V+E9psgI0aFrxRCSYNnGnHCbAKGdW4t
kP/az3ccWlzpYVxTOTEqLJChr7qwOGOmb0udYc95Wdi7Xza8YdtyOdzRL/6p/d/cMe/QVb+GYUe9
b7zkJIHIoHVj8atccFH+/+IzfFNiHNYiEbB6bgbT9ly/a0SGdiwXqTvA03/BnpDBVBzARnHY+8sz
+02UeYq0S/WfZGpl19b6gg4VfUMWmHVtTPNDXe596+OZ1xHGUQfU2XHmo7e2ri/K1aC+bGlZZ8Hc
au4D+qgrq1s0HP7+8qz/lz+N3a0qXbQkSWgs82Y8eNaSKMi5m7eImtdoJtOj+rukaAJjYuqgBdTB
hQaflmM9UBf9kCycYP2GJCcyMOBvs7Fd0TSPrgWcNTew9vETL4U2nR38x9Ro7GQ9TLqWlBp9IKH7
zikgyMeQYYX8Afdsp9/i77NlLM11ps1kraQCC2QCDFqmLgJsfcd5MeY8Mox90WVfbssWZPSIGBdM
n517U35PSG3FAf5HR18xsFaRZarjZyzfF4vN62qFuOho22R5cTzr/f0FAyxn9MMa+2xjfngImlcr
G+EzdtBzwvXpBNXoAhgTNZt7VejR7LYFWL18iSnnGdyGPccsTYdo32fPmKUAU5idR5MOGUZuzdmb
4Jh7lwfqRS3OPYlmLJImppnu0xB6WBaWRyjW6X02phM2o8NizM/Vl2qp6sBGRJA83J/Rq0Kx8w6Y
MiM1VHVnm8EjoCWP+zUXpXY6zfHPEbJl2TBXPUOgEeIWVCvTsIV3c+XXHJ+OY9axofunsYv0Kgqx
hRFagkwifCx4q4sr2SAhW5pHgELwSjgck47VsD8JZn2HyDdEym39VtBRbDhYh8c5EJwk8rXCboVj
uLh/izyRv8UHI3ve5B3amW61wPnKa4m4hx1QW8Qb1v9IiLE49UXI+5qG1dnCe8Vzj+0G7pErGPd9
RY0t0oZCF+lyB8F4XufAQDF2wmtwjM39zTe8z9EtHr+jYjdMu9HRXWeSH6gzKh3P262IJx+Ldcgi
MlMXteGj6cqvGk9AOO/U7ckckYxUvRWNFIe4vqCl16ws/7Tnmaf7XhOWvPyUQR9I9nWUgK2tFbhI
fTwk56/iBcs1EFJw4W9vS3HuHSJjRS613KZiConvHOttjbnJ7cNpeQi2n6f44YDepF4mn5+EmBVa
zIEkZmzWx+jYuy7vZDmusMYm6cIK0WlKVa+01ue3B+f0iJ09ePSPe20ZmxxnmKd2t0hgdJG9HAxx
QdmeuU5+IZ4r2ybFpuVcJucVYPN0ahBinzStcgMK92opWz0nQ2wJPN3mkWFipLDx/lNwcRzVRSHd
MA/E/LVCDR+6x3NBOTpwC41HRzf4/zUk6y0q3d4jAOPuKzbP8WQTcdcaWZ5qDi3rFxYSSg/L0KnX
77D6dNCB1+vNsVhsNq6Lc3XQO0hCsPrEqPgHhxfe1TDOhponsl/QGrqF9m36nKB9fGHTm0Hl7ZlD
jH7sjjKzibhLF7d4LcELkAjeTsibepvNrcyxTn7z0kl/yVz94wOwULB9bgRyTmW7SSxBJencDVU3
7jaxcZQLyHqhLNL60GPgjbdqnHOmbHIuvUaicBXB5rr9kl7L3RdHayfmm8c5hz+WXjZNEIcpdZuT
X1t0n0fmYulslYUDUTz4C5Sfyc7GIFNLvtBgxZF+LnHGB8ln6H0uK3CX2WeUK05vjrVWtmJhteaQ
216z1x/M/sXau1/HeBtmMFvr/9E6smm7ugnng45OCVr/ASgzvGS0e8T4w+H1L2nWf2ToNqc3siVl
KotdpdCbDH6hjUwzpTO61jhUeOLCBEGI6sIMC2zR+5OZuTsn2ann9YxzbKLMBC79RdMDIULbCqLy
YKUtXJ6V4sX97HI7MTVC1a9A4bxNdoL5RnLkpAAIvpgtOUaEYxDZFrhGVupmToFEWhObLzY+iRaH
xeOuPKByzyFF/fc79uqWFhhdvx81UdviOTlZVjsnA3rIyS9kMi8cJ5sjAAqTM4lnRVMHAzhCMJkB
1hbBisKp6XCyawBR/um1yTMh1+MeSdLWBLCN9YCNrT75RDxNMEW6C29tCBXWsvFA4qdDFhkb2QwV
Q3T6TXBGZyj5oqf51Awb7rMT2ae59YlEjY2qPc2W8HuKJ93TET1Gm7xudqnCFHemknXnGk/R7/tC
MR30jQgwulRjNCLGhDkkHVNAzttvBH2oOsaEvO5QK9uv/50UjggyT3Qqa5HeePQEyXK58Bx0TRHP
7g/3+ZpUqxEVKqSje9LzJO2ygLr1gwWcOJ7JnkxqjD7P+vF+HF+MgqrSfB8sYnIrCXAMKU/WWB8d
GyX+Eyyc10Dpos3xnwjHN2Zpukdkhng8TWYZvnlinfR2kPVLS7Pjl81vXI2GPdDrObBcDEt8rXiV
uEkTPiLGPLuqYKSS9H/ErG3sCO+uxeNn0tyNSDBuejyPDCO4ZTkVUzy8IMuPAJXnnt/C3j+M6oiK
8lPQmvhaJYGMU4utN6zz+ewAf0UAz4MWHj+37ws1lxhjDQq/7XtZBzHrfC43CVm3poLOUEd5FfSH
YulWjcOhSH/+PfZY81CkEmD0QDECUn62IMgOExRMXHXJk3bedTF2Afu+4ErThl4U0TGog5aohYqS
8wbFEoSlxrLF4Ovzfe54QsgYiRmaR9KsplqslGQWYfaEW3LinR9jKOTAyK8GFcJ0GWy7tWF26B/+
os5diL8ckZ/O0XwLI+uqN0M3LwwD1J63yOvjCIEhax0AgIU/qDxRhAWsFWiIgJL0/aOcLtGOSDMv
ciRFs7A3ICglYEopUKmGPGlrGsf8wSf943vrXFfDSt76EVxo171PfXpaYUSdNSdRkV0T2q+6fks+
K0eFhO51+5kHmzGdyBjRYWyKMvS+lA04YJl4gLTfJS2W76zcY8BLxk4naEaUGLsSSLXRhgqVzS1t
DwSSfARdWKGu5vJwX6Y7tka0GLOiJHKiChf4AKV1bmyUufAw1wSrKDAmhxIQ5644WveH9575WABL
Tb+F1sffPhy35QGFELQOYOM81z5zXmrWk1fnqjere1BrzG1BfFtcYMENR++mS1mjA2QMiQaGmoJm
zptVvMHagy95rSbEx8K+HXbofHF9KB5TjFXpGk8QAg30btPTsWW8zR7v3xLPL2S9+CGSKVMg4Twk
NpJcV/KOFl+d7JDq3bvy6T45jkyw/jxwZFNd9ihD29gSdymZH7gZFI5LyA6lNEHbSzU9NHTZkcMn
HUWw0a1s70vOo8kjxBiJbG5UmpaD0BYbbJcBB02H93XGMOShLMk6TViv58AzrZb3L4JnSW+bMEaO
cywZeVpJ+HxjtiurowvP34dVsTTXPBedKsWfrsUckZRi0AXXjM0OVHRIFSFiOP2zsczMwi4H3sbF
yQyd/E2CuQlvNpcyPQUJR1xLjzGRuOaFxwRzG9WAed/Eg9eClufttnkLLRmADS89SRfYxIZuKOSL
ODc07Sh9M8VYa12P2lLuQVJ6i7FGePNov65MzoM6HXsoWAoFNFkA57JzJuKgX8Rr3lC/LyG9uYU/
hn6ZmmD+CXOAeIY4/sOkARjRY9wHsZWTmo46nob3GIM78gp2k3NuPBKMvMnlNSiuxpVeFfAE0Eb2
gFmJJbKNyLfhYY141Yhpbwz7fWRDNgC2zGKRqVWvZAOFB23MhAQVGVwKJ0K9sreLpQdr7311xIxG
4KRbOVzveQ1sk6I5Is8Ifz/30mtzAfkHfw8X5cvnPOTTSZgRAUb2Z5e5fhU9ikxKLpvtxXxwQqt5
WpKD8IFOwG5xxPBV/MRLwUxnMUdkGfnHYWt+P8y7U2cNJHkKFuizrWp4tRz+JuVlRGf+M7JLjW4m
JDp25z0/a7g13eofiheOTE4+5CMaTNBDWwxrrQAva8sDYhHaX1D2Vl8/OGToTfxhakdkqKiMjDr2
s5YXhe4dLA4BlrUcbj2MKFkdex5DVInuUaKHOqKEclUbawkYCq/AJKsrkzjRp7/w1SUvtLqViv5O
SmJ7syRVvxTzAeK3RlPo/DOSgHetBIvSR/Y8uxBsbqEo3xdH2H1Yey3EbPZa5YjItOP3z8FKbNNW
GtRV1Ys4WMuKc0LQ4JeS9HA8ctftcKReYnu2cmCxRIaHdYPr/LpG5SyB7XC15Z4jKZPexYghxmi0
YdzOIqCCncLY8VOfVNeYhIDxvS4VgYjiKrDk+dqrz0+z4bGWnVZfcn7AfVH9E9dCri9DGtJb3Qpm
/loFuxj4I72GHKFnazkvbp2ufo4YZqzJgIJhKRo4VyVY6kJKxMhsFtJ7+dzIpqCQoCDdYiV9dOvB
Vi/nOS/Om/RQRuQZI2O0mjdvFQAqJ19BRILHlc97yqcjyREJxsb42BOtVSFkFHPFgHmK1njKCZbY
aKtfsn20uENZPJYYYxOpqS9oMb1Bq/2FHcM0Pd5anV0S1+QYNolHizE3Vx9Lc/QAtJ4tuuchs7H7
xcp227dmMPUjyZabTW43zvxBLQFeEFm8xAOHPtuZFZRzgGxXkJ7Uqn/vbDxD99WBxyDbk9UkRd4a
EX2EzmdvtQxs2G9HWqJwR1McVuau3dXccU2Lm+qgknfHvLLNWR3AroOMKoa1zT+WHTk1nz5xctdT
TEBru+rpPqfTgce3mLKtWXoUosOou9HLSGtfsBcj2sydFGkyDqX7D7vE1nDyQMXeVmrjqF/Wm1hB
u8nd95jQjtvdrwwLsC2OdzudNxoxx1iZLJtnuRJAzTP7WfmqV3lMVtxZrvsOn3TLHo/e3tgIqkYZ
4PBhAn72rpjdKrliL/T90+M8EDd7OiLSXfUhD6l2O4ev+1+ebnEYHRJjOPKmjYucrjMorUaz+sCM
DpqyKD37WpD82diiKapxMx4OHlfwGBuiF7MsvdY4tssFTh5ZwFyh9wuJPd7QDEej2HpOI5ddF9H7
iX6Fx+GXe//4OKaILd/I6TyQhR4Xs/UWjuYkHFPLES62t0rXoiJQ6Cmh7y9CYf8VoGz3GeBI1i3c
GEmW2s9EP8/AgLfE9Ee1uv91TjQGANSfnql4ba691lLtOG/bFe3Grjdp4FSxCUBJtJruj6Zpv+4O
i1zlGZzJiP1bsNkOK6whkgy1pgZnddb3iJTy1vrgzcJOh+wjKlT8Ruen5FeMfyVgECjLovNGAQ4W
AFVG+QT7bkxuByE9rzvvw+3lGpEDdEjQBhE9z9gqa2JKBOeIbDEKk1w3m3eAjGUQZz7msGawDE1J
zucsOeZu+Dx4xwsv5uMZarbNKprN67Kh5q10qq2HZEe54ANR3I/6sN37501JYub5Mt2W0mPR0kux
La7E3PPJcFSWHXZMu0rSGwmxWLvazk39MTKvqN9hnqu3cHJr+ZHb38qLh1jsWiGShThRQFJzkTG2
CaYZXNN3PnhtW7y3gu2ZMlQhFCuqUq1qZVijuzt+qB8oqNE64f8YE7FtU2orC0NRQ/oiFLSC5yu2
8l2tK1aJ9cB4K4ler2zBuW+tbj7IHe26AaiOtCsKosz3YtCUG4CHHGLyXgOqCdBDnFeDY3TZYkzW
yJIyC7FUyahJ4JGKZ9T/El+hiwSbWnRDYad8iuB6TSUDS1OAFmKlzuwQbV9N7H1bHQPH4uIvTpct
AOr5X3KMlW+0TG+w4Z0WEuhE4T5an/Sl8h5gVaFhuauQuEd3z3ka/3JZ30QZ767JBdFI6FKS4WHt
LJ2ZORywzP6La+Fp8P2nUHzTYSx81SdX+TqjZ7kGOOfD0rPQMk4RqUpsawOOHpfgdDbnmyD1OUZS
WAPKMr94IFiiHZLOv2FAkwJoUk8Z7wqeFYzTWxzRn3Zkvokyxl7ATFIj6xDJ5zVIOtu2xa7NR+8o
WQLg9M19seZtDv2L1f8mybiAhVDUl1bABQJgpiL644ZC3QHki8PZ9JP5Dxk2WrwAUW8oaeDxHG+2
vTk4yBdl2z6ga4a546AcYbnxPLo7o5rJqhTO6HIwx3lLT8qvKCKe8ytrbA5fPKVjQ0U/EupUoSuq
MDfkr1XHwei5uyQr9Bocn3bNUoZnwGvvmXamv8+Ssj9ib5aLnqJnkJJEszysn74EHK54losNEzUP
q6e1KzUl2LUqkbOyQGX3udUXcwfpdIvzyvBkg7EhmRH5LYpvMMRrjPoFL/dF7/bW3zEdbGx49WQ/
jdSbibLO0gpbtLFk9DeF3OowcRKYNcbLN8kSvT0x4LeseIG5z/s/gXuejDHJayUPog4c5ptk9zu1
YEOqzeZlg+fA5bXVTob4mqZjy6WORaess19gzaqU5yH6Qyvgl2GTggNIE2SA77M06WCNqDB3Fnet
krQSMDJntRmrdpHZKpaAhcswXyc1RxwnG9XVuazRbUfYssai9AOJoLjMezotb8FGXX9nJuDLYP+N
3efcekR7su80a9+Z7z58AJ7qNuf6pvRtTJ55e1K10FHnAnnsUM3QmXX5vH+Wk9WkMQFGPEQv6AE2
jgrgeuv8dj7ny9qlDb0obaYQxo/nmXOf4GRGfUyQeWdELUnnbYJ6IHCK1oqdu8Gju36+T2RKQsY0
mIel62rFEALQOJ8dqwM+VVhwoubJ9MWIBAulH9VlG8r0Ytbb/Bi+FO/oz/Ar84O7FHnqXR4TokHa
yOJeG/GqBxSuAWMK3sqzHtEgFJMN9Unduc05OCpOrL0aE6OeyYiY3jWdHHQgVtkY17Z5r8dkoKLJ
qgrgfxH1bTZbIvqNCNhpgbY5aJjIFmuiA3itBC/7WU4wesHhZ0oQxvQYfq4S2rjbAPTkgIQvMbns
U+Ci3he2SRUaE2HeRF8s2+4qgUjpnNfw1hr7LX0NbOm1MkiwrFUk/Vvw9uV6ghkuCi4wxO0VYW9t
/APoIze6tdavg7k6G2AkIuRXtr+LBUEYKC7IYLuuyGlR4t4hY36rdqaisAF2QczeWsB2n59o8q4H
lxzrN+nia4qE2rI412RJZ0J2WRJnQ9HS+wNjZ/E/RjDckf6FZzNu4f8fpziixShajwGDxKtA63mt
Eectf9Tc8KFDLc4qAddmHT0bTYBHc+4AJxCPGjePPH2wox/ACGsUYYKuFfEDrPObBxxERBguvGGN
5/NMKfn4UBl5nftJJic56KyB/ZK/+Mf7+jCpcyM2GGnMolnndSU+HyNOEpaNZbslF+N5Kpcz5oER
wuaSZQDTEHFW6PZ6W5JgcTUVa/OSYprWbIi4bDmO4mTqY0yRnupIyQY/ywovA0Wajjg7zsyuHHI8
cmegeJwxD3IXKK2EDTEU4gnz3gaomCvlcP+KJl+vMTPMI6xofSfGyFtTrwYjm1hIrxDphWMYJ13P
MRXmGW5zcfDRQAAqObqTB4hDYqbrhf20cn2HZyqodvyhvvDR0DSl6xgTYojNsxRzVqoMYjVdomGL
KHy6MIick6OCdYcMm0Q0PCNUBFEBGdrPdO4sbacQdJejNvevju+bIzaRWHWx6umDRjlytqmFWnhp
PprkApf6o/v/6MuftrYjgowB8i9SJKm+RMe7MEJ2/i1bihWj8/SLx9pk27o2osSYoCQWQiOKcIpQ
JWQbLo8VUA0GtJCsHwVUrmFfg6OwBt2Puc1TZI6gsHnFTM8r3SvmgNi3vMdhsTmu3C91qZu866Pv
xT1JYUwUEOiNaLiCzrpdGQ5GAl6GvWjuVbQs3pfJaQdkdJqMaQoCKaoKA6f5HCFPjwY7p8M8o2Eu
FosddO1r7+rmfZJcUWGsVD6vs66IICpWaam3xr7OkS1pmT5L1op3kpMmccQfY63ki+TrlxqKYF0p
joG8y84zFVae2+DNU27GhijDvEhDHTZeQNLhupzt4nX1vvtqkbssuFtyeNemMM7NdSbmYdLhDIs3
+QVzX4pMaps82YscDn4NKAxXVxZ7JNphagpuhnjymf4+VLb3O+9CJRBLUH+ubKwU93fOtlnICcHO
qWH/Krzsn3mdx9OvzogkY188QIKmAtYH09YxGM3DK6zmF9ZAPHMvkqPjCmNf4gSzokWl4mhtCu+a
12RmKy/ux30tmArNRlZMUX66BGiJnGVeC70r5EVQL2aYp1wKL0a9vU9m0l9DvzYWjmGToyow6g3H
WNcHSUfn8WLYufzR0OnD+v4+o8tRLUjz6xzfL2wL+NF0WUbj9BbmUO/zMe3gjhhh9DgACMXVM0AI
Te6mFR38lb8dBHPekHK7R+V/p546Ttv+XwzVN3OMSmvXMg5FGTRVgG8TwcYiZxSh33WyuhTk44OL
KjApE3MZYiyIODedOUwFi5yvHpW8Ep7p7/QheVIxV1EjFVs/5aYPGGv+yCXl4Y+XZm7oOjr6kXu7
AaSNXFMJYwm14WG/KMAUgP89I6p7EU1p2ZVYkNOTyHH3sSkJ/+oNGJFl1PlSDlcjkMIBnip0TAzN
lyfTbdauzDXMKtXXexwy+izX2MUjhSBlzd8yIjupheUjzgFDEi+fKLA+2i+vvSOaHnlarVboOD3T
0AYuDKpfHx/AcjN3r4il9jA0nLd3Wr5Gh8DYgP/H2nstR64r26JfxAh68wq6srIlqaQXRqvVordF
//VnoPZZs9mY3IV7et1+6QdFVDKBxEAizcgQAf/ULPFlR2WjAdHuMEARdBnSlnN26O/cWgHGm+hE
0KyJdI+h2rE8ygoJt3ZlfysP5V53OcJW78GFUgziDGqv13IGpeB5njH1CMGEOwkLmNm88PQqKSJG
tv1ju8x5CeaoN/WJigILjumfFcykCFM3OGwos89mY4PctiX6gEZ/tPpTvxCDpdDe0e3xHufGp1ah
dvE1LEIZUahlIobmnp2Pea90nmVfr//oRQ0Jt2Pp6mre2lQGnFrBaCVZgTiapZ2dyNs+baN7s7AR
FYsTZwNQDGxT3lRgpYAZP+/oxKnHV55HvOoK/NaajWWKgxJJaQzbwhYM7scFE8KCg+Kjux75TTrH
6+vvnlELkdR5XkDWfEnMKZugeZASr96JCRHgg/hujGkdG+2941YTcHbWYMAqDCK02wgQuFd9OB9S
jpzLTtzHmEAFvoovXjRpPVywUJBBLDXBpNC5p/JQJp88T/ebDcg8OejDAX6DAZ+0isdSMyAECdQc
FKJI03LjzxzoNRjgQaheTro2pGOK957laaLt4iID7yuPE4MHpQaDOp2Au1O4QJtX+KOYqTKSEDz8
tOmds2zXMPONc8fOxs4Ho0d1b0ArBwY7ORjoSwLqIGIr3Ymg7r5svx+Rygls3eV6phwcNxiE0YLu
IgoNljPFsA4nflSeaN8l2k/sQiD/HYwbDLwkqh7iYFNZDdmfj3Jhi18VUuwYYUo05+/ehL9Nng3W
VkXRGkVKL+mPi5++hEcQMD6DvmkgwoEX7Vl3s/65NkwGP+IiyquhBGQdgVneZ4EXb7EHx2n8vNn/
pYe80IwBD/TkTqkAdh1axBjdz3hSYwV5jWM8+zcZyBhHSzbLkMKwkz6OBvIiKJB0EC/gTZ/gSmJw
oxtkU+4a2D9arK5hRvAfHZAs2HNxnq7MjZNmMuhhpGGqJGo0I6GE2hlQU1ESbvgtvJoZHt6aDHjI
RZUJiQJb358vx54Um4qAj0jm9jOvVl0sHBbWwQ/UsijyHms3+VFJ4IzFruAalh0cipZUk1M1RCeX
A7ylr30U31m9fftUX4v5bi0pgyCCYZVBMsFMEOxBi6huK3tMUs6c2AWN2jao7QBkx96AwlA5dkPb
3OBGDeFL0PcOnymJa0sMyHSSnKd6jVM/7Tyvtq0Jo+LBrSxskSHBVMXbyq+HlH+fRHaCcTpLc6mI
sCcEKI8YGLUFw/Px6c0kmF1mbb840qjRsEttqhiDoSsm5nBfH7QLL6XuZK2fjQzuoOKURwWNgv4m
vi/sr+T4hWcOR9raWVlKY0x4RhCv7C1IQ1cNKZzYfpvgnXBfqGtxyaUYxuOes7JHVUp+dRoEkoIP
cjN98nJMq2axlMJYaREVcTFoV/8HBf4xONxATo9sFjdBvlqAvZTEGOBUJ1LaB9CnQXqwnTHyDX3t
Ni10xPvhG28WC+NGeXu19kJaCL1+1MIyMq0Ipkije3V2ehH6HSLKk4gH0hfPCHmimKtOM+cCFCsQ
RYO7Z8dC+GIgl7OaQ9rrV3b+76yQ7TgwJEQvGrpxgR89KzPRc+R1abYh4fF3rFZHLReRufAasKCH
5gWaTX6NFrK9h85iE5MvUOsYEs1yalTR2+Keije2BkqMg2vQl8svs+oPLj+EuQ/TSO6jlp485+i0
LYF0jCnHv2/EDBCA/XrlOKCrRTCmalp43Wk6qumY0xHlghYL1QVONTqoYa3/YVri7CX97n/j128x
zNEIrbYTzL4AfqG3Cw33oMt7oekcnjfGkcOeBlWapdakRxDvkPAxxLiiGGSHBAt3W6HVy3exbteN
XBw7I0JBQKhAIdy7HmVaGjcjeOARzaN3DsICe16Md7WPcymSovZCZKVhjpWZQSQKm0Fl83FUvHyn
HbutiExcjHvVua3jalXsUiBzKpS+F8xhoDpm9zVolDePk88Rwdsv+veFTsOkzlnXVdDpPB/SmliP
CbwlWjfqfPGmCEnrl+g/Rsi24WSqnopiD1t/PQOyHB0VAaA32oB5gaMVteYb1n7tXF9opZliqMtx
Td+PjmjfR3ZZk2ajnozd97PxTufC/n+YDMvTjrlNBU3WweMEofP9K+Y50BBz4lT79JCewKvCK31c
5YxaGgcDHGFbxkUmUWs8e/1zEjhw8zCyCznht6/vby5x/7pL8nvvGAARLyEy0CrEUT6SswNfc2PY
w4kLIKs+ianIYES34G+JjEFOl3zUG9VEKBnsZcOj5mo7O5G9zOe+v1c1WkhiHiSdnKqhCaWwgNpb
ggYqNE8JW/AUcKBqLdmloQJWUjHoRTIxqvLPMyZHedEGrYpjrPqn6tN6Gt6bGmVD+/Dztt2v5RH/
kMQ4CGOjC0JhapC0P997n6f27clyf/0keOmDxD6zB6JxPeOVs4aeN0mUTEunyRVmwwIxKusytOaT
jljNq0BKux5sE2S6bu28PFfHyv+/vZxfPPBa8/eQAwM5gGwoqohCwj8XNp6mXErVUgQge8HuRMdb
k/fJufuBKSBcbr9rRxMDKn9IY+A/rIomm8ZOvIZoS4wkwwn/YXkX8hmSxHsCj012nTn4/qO5Mz20
/FU2+Fc2ezy1bm/z2tNHl6G4DBYKydCvZrCAt7jXqq4YIhHZs/1RdmsViXB41SIkbr6tLR3ExJFI
wYTR/Q+JzCa34hSPI0Z3nLIHJIYNA3yrCAej5ml6e4Rf/coPtKz4un9IZE7n1AtJOAeJSFORR8UJ
TpT5DOEW7nDjNU/iD0kU1xerWWT5DJLfFFbUIz57P8+O/PW2sbuNdfrCPShTgkEb1aK8W0pduTB0
WZItZIdB8QQT/lNwU8oKnnkZDEojo9fDiOcD6HRcjLo3CG7IxKbZUURl0ClQ++a7iaqAz+zN8u1k
tIf9BsNuQIltR6/Vk53fPzs9L2y4VvL+xxcym9BH+dBgJBa+sNshMYFRFUfY29z4rQuuQCyNTWzz
kKtEo7M2zU8wMva8uvc1+PzjI5j9qVM1zSMRywQ6a42geRc5Cc8kCdfdouv9LyNf7AdzgSdJaJWN
VUBbvLr7Z/k9P7kv3/Un73m/lun6QyPm6h7mGa5dBI26neNsrBbE48jWBo/HvUYUEqGxsfLSo4Wu
Ani0PkY4HzGnBAYhvBrpxuZmjdcePX98D3O3yyluYr2n2+w4n+r7/Kk74GEB22VLerQ80pjRPrA4
AZy1N99SKlv0IlwC+ZJJVOr+ON3Fj3INWsDIeVC3fngYESbAZK7InQgGR6B877L/Cp1p333yoG0V
aH7vOlv9khhhNFomPmNCEhFREL/ZBN6IKasWRq9xYJQ67DcsjGXcG8Iys/SsFnE/47gHidM/bRCY
4Da6rWPaQinm5SB3kdoI3VWQh7B4phApRFh8tAW0c6Chw4ZyYcGdNXZdrFsKMpCWgoxJLPsKCpZk
ctNdac+bkHzee1FFNJTe3GUZKR04qZX/vBt9+w6cTXYXgw6LIix91CNlb9rp298kr/6wNgbKqks5
W5GOMwc8PSN7hR4vzNbj31scELmC/uI2MZI0BMsEVj54nKSK5EFIzOA7d8LEi8ofQ0DC2RESgnEa
1m5SPzgGtuLT/qElA2FlZam9GGD9EYwSbSH21C81RpXoXHq8c8O5vVQGxNBwmBWSQbfaoYND3RDd
+gf6nOs2kc+DTPrd/7IrRdFFy5RkzWALn4RO6C6DgVXNJs8i2XCnBz/EvWG4f7N+CznM+hmjFGD1
IOfVc4KEIEoionaY2iVH0CoSLAQxqzco42BFl4auHr3g013nvUe4DW6LWauuhXv4e90YZEfEsNWC
AGI6u3W86U7ZByB3PJCfW9wsBdm0x2vkIjtygyWrlvhbMttqm6hm2PcdJI8Yi/b2K/DCr4TMo50B
gLhj2FYP3UIY8xDodHBhSBaFO9m92DHurQAwg+FJz9xs/sr7dLmiV29lcb6zqo8wXgV6KeS4l1DI
rrnvjc8LYPBWj8FvzQg0Ta0gRbiHd/WObmjUu6D8wr5tH2shrT+0YfHaasAAS+1dN2xH/hU44NNW
K3Qpd1vB2XzRUpf4/vGRI3X1yl1sF4PFplzU2RDTNezt7N48dJ58bu+c6uVbcL4inzu+ei0F8Yea
jAuZm7nUVAYEgpRAci7HriPP390nsIo7dlxaxcWFcgyEXC6FaOYalYWhVB818bYhycD19syND64R
MP6hFgMi4pygCSGHqMppPTrlNK5tNBZbRLdTV3jK4/1sN4/f88vmufC/DVo6xLkFqIQbuHy1r8Vp
wJShyLKo/dB3aGnrP195FWhrj/ylkte/L0SYYOHI6xYiOvs6ARivbWFGa/v3BvyZ9heP6mbddULc
ycTLWpQkkzkSeaoJlwG9Kid911RkOJa/0mP+8jPa7NrUee7u8ebd04QmZyXXSmJ1eSGXORSj0SVS
1UJudNifmxMCUsoOgQz7GUWEnAO4ErL5QxRzHMRwbOKLAFEpyU7SHdL9z1+cI76KyAttmFOQBmFT
mSZEVM7xvn8zXLTKPW8ynxcvXH+iLgQxZ8CsxUzr1AmeQbNBYDIn6TeyQujbozWEstuYRHpq3M5J
T65boQfdEx4HPPPJC6+mee0oKJIuYnwaEkgIzeCoLOw0NiIx0PSZBqOq1FZq4vCcoNW4jyLLeI1J
+E9lqfQvaRpexNakp817Cno3QFFv49vfjwOKUNACzNnDNadrKY5ZWkUrk2kqIS4lzsfHTO59sE9n
5O5lw60YWn2CLmUxjoowCbjEL1Q1vIGP5/uTB7prP9ioYDhB8Jzrf63u1u+lZB+fGQK/ppb9z1Lq
9pjDGcJL+xT6owuK1a/HiBdLub7tWKhcaMi+MzMlmPE2MHC+Y6J8pvNOkNwYs9p35n7n+mjv+0UO
AbnbEcoypOu7RwehvC/9CbRoP0Kwkzic3V0DgeX3UBdkYa+y2Qi1RFdczN3msvf9pwj8vT/f7Qml
kN92K3t/1cSrL2Uybo0wKYmWXbAG+/M5QpCYvN3t5E1wx3GfeKoxEG4qQt7UGcTg9HcSRlvF42Mr
/wgFW2x8yzjcXkme7bKM/YaihyEq7HDyTyGhg9BcK7G3vk9QAo6nXmEnv4DhNZenZ83TUGQUpEgS
DQbrzGr2yEVibkiAx4oAZmVyBukcuh3LkYy1jdQMz2DWfNKlOGZV8x630+UCcXCi+sOY2MnGfgzQ
xra9vZ7rR/O3WsxFGBhl2V+oYRpPzyhQRMfo7d9fvWmXijDXnxxkMQi3BCjijLIdPUu+ft6pn5h7
vwnvuc1dqz72UhxzFYatrCcmhRoMxc0cp1I3kxfa7uS919td+7Hhto+vMS3imP1eQQa482Qw0SIB
BZGoLhyM/8EMIkoZ6T/Q2QE2zY4PxHQ7oru8tV17Hi1FMzg+yWkom1kknV4nH9cxhjemA9F5ps8x
EbZMvSnNi1JWWNL2eXBAToECAw6ErL6cF4oYVNEFPNaXoZpmjHmBA0OpKkFwbtNmyifzAPIIzOb7
8YxRzV/cvVvL+S/3jq1OV/p4GkszxAI6nStg5xC183lu+1ry+A8pDHQUs6w1fQELeXU+soRgTnP4
IJIXkaB2InTodCyee0t/8d/X3z82yaYJR3OslMbCenYNkUiwnXNaq4EMAnKu35zNW00ZKJibgbyK
isoalqonmRu9HrVcOnWT7YgvEs1X3ZUPtunx6PvWqk31pSgGTPq2lXvdyiR6pTliuI3RNOl297tJ
crmlZqsIvFCLQRJTzlrMzyhgG2cndZuNYjvgLeM8Dla9voUQBjz0YRzkSwchjlkT8ae+ec7fOABM
b4p/2cJCBAMSvVrNWdpgewbYwiZ0TxdS2+bW+JDsXatzqV/Wrf23PBYu6kqUm8HEHiGfpuylTfVQ
5XZVV65gOVG+H2e3H0jjWakDYn25Quemkrhl93Bb7at7fkNtFlKKAjMzFARNT/uLi1b3qgeq0I7p
LiSvgY8eB1J8Pj0hmewkngZ6Kf0Un9FDtt259VYvSbeFl8+tyVkF7MXaMG6gnhdVp02JdKpMkg6b
ebYRaprIt55zrnXeSTEYzLFqDUdFwC4UshNZaCvdRI+b3cuurgiXe49a0K2lZnwVLeuMPJ6w1DQu
cjxuE5Cd9cQ/HN53Oy5L41oN3xID2MaYWJhzhHIh7TjGBLMuE1s9B288CrnVyISiGQpiE+C20Nlx
53oXtkqXlDg2dninOLUfbJWnYjM+qXToboNHLfJlyJ8oXynRX24b7/p9uBDOnNk46fVALWoJXgzo
jY/3un0Pb/epRWyrcUebZuc3jvr0V9fGb7EsyUaVSXWLaVjSSas2xebOHkNb3aOsgg4X+asE8GKB
rxnLxZ0/BlKrBBIWGIUsx94rCcZvWb2D+P+eS362aqG6iiAT+PFQtMOsp6aAfCKYGnpveLKr23jw
Pv0kGCe2e/4GUert3Vu/EH9LY5cxloOqy6eLhOASTcqFu/GTtqimlYM6Ao6s1QtkIYvxnKzcqmZN
gWbHYxI6+uCqMopoa++l/XhOMRbG591Y63GRhUQGw5ImKLS5gXYK6b1Ctg870Nu6oytbSN44X/Pz
bQ05W6cwQJY0VVDOyiCdvMEvNqr3LHKma3O3i4GvOE9nIRsgoRGc6aEFv2yKCTrbPa9rcB2TFyvH
vLWKKFGVrsDKOQjTxS6SxGiDRLU8nxx91WVfSGL8pPYC7gLtMkoIJp0d+lI9SeRUv5T21jz4P2w7
vd88Z+4zvE9enc06bi5Es25Tpw2pPLRQcv9x/PBOU00wSZHY2SYiIq3Vf9zwYIt3Bhgnak7zKlBb
aIt11SRbrEn8Uuxp9//z1JLnZNd9lp+3rXI18QBWiP8gCjtdPpKMSKksyBR9vNBRnja48dFqbMG3
L9Uus/lBtFV/9LdENojWKUNhRBrM9BXkPZGNevnZr7eXT5P3rLweqX/d5wtJDKYkzX/WUyvBSoEM
h0fR+bV/R1XSsfCsJ+3p19MJUyW7l3EjRCgQKrf6gOwV731LzfTWhzBQI5et2owStSWwOjT3mVeA
0u983VRKcYpaDs6ucs4Ny19ihE1TZglOaIvKfe+j3VrkgrD9foCn4e30T2TpOBJXX2qLtWbAJ2u6
2FLGjp5U6R4DrqdrCZp6mhvuK1vhLSeDP/IlskRzhqzabTw6FOJcHCbbBDdzSdBEJ/kgcXsfXffN
V0EphN4aDMRF6sdynD1voXnGzACUJqu6HoU4PsWB2tjnxdbvGxxY7ouR6nTLhBg4klACnwcWdAaR
veqDNhGsa8lbhTuycO3/1l4ZIGoDSSoUA8KSzD7uvc9as6vKN+8cVKUmdvw3DNv6AoRUxq0pKXej
LsJc9/AO8a6LiWXjhtwEiDbdttOru3tjHdkJmdVlUrUypjfKq1PuovtLgq6v7fa+cGpb0Ejr23AS
95kdHcG4mR2/uFWx1wkbt76AQaUwDxJd7yZc095xj6kvx/uL/RmTdLelpPButtlVRPbeX565XWcc
F0RjYCjMR7PoQ8DQ0UE97uWNd4Gt0aws9/H694UrHPQSRrdKPfax946oVVO8yitfBsu1XFRO4dX2
PHwWtt37O5SA+j97++HpIfc7VKS+RODwAUOHP/vi/V3vYuJ5Zm9ex8EfOQ/q1cgqxrDq9DWEQn62
Kii+tIZQTyJFKmGDBuZsOzqX1NFiT8jIsLVedw3Gre8fefGl1Zz0UjBzhMc+slopvAoWHzVSxAQN
H+ejOIF8Yde9i/URrfW8kOSqV7iUypzlOswsqQbZ0AmRwfP9MX9KQ1vKUU2nco7Wqlu4lMSc4jxu
dTAlUUkW6txVu2jtHmu5U1zpaLzfPserdaALYWylEHi1O7VMIWyPFqSw9tKP6F4/5ZHTbe3SwJ1T
uxuMBMudO/dOsXeFu8HB1g3Cu/dogpY9zcvvYE6zGOHhXTZU6SZyhKdsIna1oyxGt/VdfUkv5TBn
VwqLesytGfqijez+vrafMPXKN2yX7HC30f7sxOaljtfwYimTebJ0bdlH9Qzdxs7+9BIkA1CwveNy
pPNM9FqIs4CNWk3/r4nu22fFfwfl4KNp825q6oDc2ijGaciTOdSxWVhA6/54TNGLjYrdyKJlrV/8
nCXdjlvSGL8g6ctajwJICxqC7vrdrvd/VLtHjvWtuXnLDWIQxYr7tmhDSTrJ6VZ4Qj56juxA4HV8
rzUI6UsxDIRonSX3hUlt7xWlSfcoTdo+kYc3F9RKYBTa8wmpeXvFIMk8Ssklyehe7VvH0UD88IL6
6vvaizTU33KjKmu+60I/tghjHLIMHeAQBxYlyyv2aJHAvBkUR9w+w6spRF1H15OuqbKksb6HNGuR
pIDB8FTOG4OGcRN7/hwi52WHFH4C34MbwVnzlJcSGXRqpVKISkmB17hvUEQsoGABj0lEwh4fBU5C
e9UWF8qxAFVFc9cN1Eiwimpha1jE19sLuIpHCxEMHjV6L2DagCydhI7UR+0NjDudHWPg7V/dZAtB
1D4XgFTMYpbEPXQZbCd7KO2mIbSPds9lZVvz6pf7w4BSG0ZGH8TYn30fEHjZuztMd07vH58pexA3
E7Rq5wu1GFASFKFNRkHFXWX8rN4lDITIJScVHQRPuLyJPMtjoCmK+lY1ruaw9z7uZ1LDHJBBBr0B
9/XAU4uBp1osLRAcYBErByxFs1P6xouwA0zwEoT0tPwL1Bfrx8CSCILo0mw1GjE89ifpaSc7L/Tm
vW3lq5GnhVHoTE1YWcWNGRcQg4Cy6p+PHx/3W7RhYNTpwUVG8sXeR/5tkTxkYhkg+1QoejGFZYAB
8tjgKSu7UeMld/sqIXgM/ZcLqTNYMZhNp1gixL2eBaJuUV2Aio3bKnHgiC1ziYx6bKUEIqKEDL9E
VE3YvcyziPWbERljg/ZUG5rFIFI4YZBMCsZfvKgCH3fj1tv+eohtHxcjyJdsDCTlx89WPc6FTAac
MMFRbaNQxylG+9dHf5juBFD883y/q9P1b2P/rRoDTWM7ylF9oWLQuglav5lUHoZrI1YV2LziGgoG
t2QxwJQ3Q2/meD2cQMYvPQVkx330rZvDb20YOIrlRpOi2qDQh7fJ+Vi7xzECqa9yVM/5feV/b/he
zDq4/5bJ4BJmHDXgr4dWCDeeG5m0ETHc7EdYkWfEqzl34zre/hbGYNMst3rUZlCQCjvG29unaTVM
rP9jdLrIYNLYDUmSKtDF8D5RSv30tC02NBqOur8S891sjrhV93khjvFbKlMdglmDOAHexHlwq+ds
37yCy8XhCFqDdAPJUUqOrKJ4k7ELcYiKbEI1Btp4neD9IXcQ2EffIkfK2g21lMJYwogugjTvIAWp
BAtBfZW4iot5eBxtVmsKl3IYI0iyelCmGnKuc2RANnLaoh4W/b4/fmCQOq8YdLU4dSGOvahSeQYN
fw5x4N5xvBD+xMm7N0iHGpbj9IhiBYPc01YG8nR5nx4qjTy406HB0FS0BG+K42P9Br6j20u9GmRZ
fhNjOTlGQtfRhW7o6BxP6LAnGAeLoiEgMshIv6wD59ypa9i1FMjcZdpopApy7DK8D9lPJ6J+wDvI
v5FhGNzjPYmPT6Wdeaft0xPo9Ec7eUWMT7PB0J5bKGR1JdctyJ2N3BmPpW8NEZYfxtxNlTYKclPi
w14blIFYfL7BNXxbCmAuoqnoym6s6FJ7x4udiUTx/4fZUHrn3Uar4Y+lLOY26q2xuIj0nKJoFY2D
iIAUzvYEwlvx/WfyppNyW6Hd/rUOeCVovFWkf188BdR2GLWe2riCmfPWXebettfVaORSMQaA5DyL
LtN1l/bnjwjDn58M9wBrTTBpnhuWWLsFDcOyZAvT6MAewKyi0UriNMJlOTXdDnxOstfSTTPTg2lw
nNhVj3Ipilm3XuzaqUBLzGkPjsGPj8IBq41r+bmDzmUOvPK0YpYQ1MPRqBUQJfqvx0/1lHocXF0t
1Vkqw+D3rLVoO88goXruXXQWUEIJjh2sXxG/t4aBbosS9BshRDgUNzCwdYsCHX4N7OrjYqEKW9U2
zpWqJFZP7dnzpuMpuv9FftIKJ/Ssfk+bTeLztud/geR/VGMr2GZwAI3i3OFWOh89cC4CC/0HuMi0
cY8X8VjN7yz1Y+A4kM1eHyXoB2KMU/kYknCXRSiuJ8gF+hi3aD9XNfkG8bnwQKuZvzi2uBrLXMpn
UJd2+SSzDPmTj4oFgCKKVfEK4N291BxYj3kphsFeQ2uNYG5hLuh7uZDw2NJ8Cccm/xfQ/b1xDFxk
Jtgmkhq6IAyCqdkk7UAqmZDccyq/tXffaKN7/I4xHYBzFta8v6VyDHZU8NWbroRcmAsw3nzvN+Ln
5ZMnhreGDG5M43+gd++Yj2eLHLsf7UZtUZWWYNfAPOzT6hmObmuvt6VuDJTk0hhlcgzdMPTgiGF/
JYl+8BTjrR+DJboepFVFL8uSZA8qMiDXxjWedaw7Pv9YB0vXrDVN2pkKTBB2rnnbz3SHroH5AHfP
snG8o6e7nd3t1b28R48EZxU5GrL0zXqhCUB8QMrek/bhzrJrL/b2oFrkyFm//X/ryKAJUsVyJ81Y
yT0ymWNLBoEWUTiIZYFC8zNvkQ3nz2Nc7cRY2AhL5DxboyhaHbSjrGmoPboSFWL2Gdoxfj74h3c3
cq/NGBfuQ4VzJNg2VrHSJqSm6bqOs+NtUVoI1o1n4YHW94OxmpuN5+0jgzDpME9GqWB9UZqB+bHK
BnPYLzaq/N/prIbQQ2UXZlDf3lTefcRSPWeyUSG6ASXRGwwaSNy1p18+KHMOLlryeUu6Ks2URFNT
VAkvWl1lHEgryYUgpSoeZw8hIlQbkNp50/wdNETZLeFot7akS3n/WtLWVDP6AAIT3g7Bwws5oTTc
mRSi2Xeit7PRqGihEIYXw1nzwtD9bMiaQp1LTfpTTzmron7CTGcYrdd9GChQr3jHfs06lyKY06gl
dSwpFwnW6Tj3n4P3zAHnVedoKYC9vGcrlLUMAhDzoo8MlGXg/Yz+Jxc9J5hnxJG3hqBLcYxpCGVf
t0KMJTMb0oeoNf/FEbBa47qUwBhDp0Uj2j8gAVljZO4+SU49IJAI3jY6rhzmxgYdWR90PeTgZX8G
c2Zkn3zjEa4P+As4ougns57PUiXm1o7iKUOY66qSA2DMPMkHax6OEi+itvo0W0piruquqSPMlZ0p
OKFaULqAol1tKfJHZAdmX4fPdr/mHCwlMhe3afRlg6AKtqsm6gkOHf9G4xxTNmZTtlWUagNEdLRA
D74jvHFErN9QI/H4/Xp7rzj2zWYViqpWEiMesYCTG8WeKfEHQq+j3T+ow2YSSiG/lHmAPdJaV2xe
08Q3RhIJdhPbtQQ2SSNzZKcaT7cV4wARm1wom8kqBrqIYOtIQEu129i8aQ6rsbyFLbD3RlagGxnn
ikY8zmfdVkFTCSg6uPHpDlOZuda+mspYymOgQu3S1OwpGDln6Sx+l6TZ3qNSNffVwZ7RXrTZlRJ5
qSPy+PzFPWq8bWTwQ7vM6jxMVLgzYHYTZWzk4caaK7fUj8WNsZ4yWYSloHXi8nSx6Vi1/OFug1Gy
qHLmWD4PEHUGO/opmOQsohZyPo6gZvROpvPkk9F/+eK4M6vBiaViDGhcqgJTaxWcMrC7K5vLT+39
67a1r/qjCwlszGDuMTIBs6WhzBH3rrKJCZqDn59o5wnKFlC55z8PGLa652V2OVDPBg4KbZxnKcEi
xv4jtxiSB+9sz6yk9Gktdvj1V0f7uY+2iFcjG9mfVM3OMtDdIczDzar9L97gP3jFtrNFWWBqQni9
UxAXw0gTEMF+hu47OFt+uPZly7uZORDMNtAqoB4fjYR6NM1D/PDM45PmoRTbxJZKRpOhUIfaeQn/
InXzzYUcSRwSJSRqD774LoUTwDvN3HVkAKNK01EBJQQ1SUy5njeRQwd3/8Cw4c0jKnf+y+PMDnwS
+zHX5wonAP7N0ZOcU415wxomhW8BVV88qOLc0eyMp0AbtDqRr+dN844f0Vf4mD6kp3ILrPr/4SAw
AFLpcpjXIxXnwEk8H19F/2x5iWSHJQmekBCLMXXyNqTwDh8bPDCaYAZF7BWNEXnx7p989eS7u921
QY/L9Ma5XthwQW3GylQY0HBAUc35eAyQZi7djZW4j7z5FxzXwGTeKHXetrOqXPcueCgPCA/w8jqr
mfkFHLPhgd4sUXJAn0Fgi8djGYzq78htPSNdwLtbVqOpS1HMCyXN62pSCxwz1HSBmAxvc4RvQwxB
fTAPhBzeMScF03owq4cOBuJRCfHAhR3+hGriKJQlKApCCC9zmo3v2y4qpPCCoZUVnEfMlTn5xsuC
jQv0WtJr6QRxnY1ANULjmBA9ErRYPvjk7VD8gN/1PL09Z48VZebndpytkjgsF5vxULLc0EfDgPyU
FKjAUZ0gJt94BHD05DkMJuObgHUmFgSFYidy67kbodaeF57m2iiDKZMuGJiyRG0UT4x5o/gvqBxx
uJc4zzVh5zlJCHXGUg05jXdG8QjenacMmejAedq2RHUIkqu2a29SweYFI3jmYjEBjx6co3OqQPSZ
1uF4n1sMQcOtMG7oZFl/fAw8XycjZqYc7Ds0PpDLXjh8ZQPhRXwYxDEkCURmFui9RFWVMR2Z2c48
yEYxCaPsoJZ38mxjvo/wIxHcMrenk2qQ28DNuGT/Esbuq9jMlSmF2aFKxCeltojZ1kd5uHCcWo5O
7Cs1b8zSVEvoFGiknMkskgnTezI7TEhT2mjR+6+0Yh+qdS8EuShCK73LSHY5VtKjbnC8aOb9cV05
dGybJprkdFVkL/UO/ShDNOfZQUw24o/Lh9WhYGL6dVsRnhBme9oLRu9mCoTkSo+ht09Sntq6mtqT
9RcbpKuGZIG4zgCrKBMpq6FO1WdldhjyC9HT7WgSrf81SNrOEDSvymU7y3OOzDXldM3QMLMB1YGI
Mf4ZYZQa3RjnvsoORoKSo2BbmaEX94lz0TkD09eMfCmIAWJFH+RBzi/ZAcOl7FTclfGXqCscbVaF
6KDjQx0YRjixjoKlzaKhUSFyFGGxfrWyb4W72+awIkMCtaCM0TWGgiInBqIuitkl4kXMD4aaeEW9
myxkFGaNc3pW9kWSJVWCBBGUYlegXJRINEOcTZql5odiEB71sXTMi2kb2nsy+rfVUf8M/dEjBEEG
2rYsQ1VVttoy6M2uwPjC/NB2I1WnNiqOBLqzCxfgfyTIaKZULdXEjAXm/JhB2yRDJeUH6fKYDpVt
ho2dxcfaCr2LxqHdXtsc+T+y6NL9ac7jpKd9ImJzisxyh8RtVdWphv93U8bADyyWaEGWpNCPWOxN
CFKtPqiU/HDRjfZQKGXmCU0vHtRLH3q3d2dVH9xCGEiG6L/KEtolhVgIcp8Vh1j02zZ3Omsbo3D+
/12IBt+E3nSKZrGLFpuaqbRFUhzC+LGtQQREx61Jiv0XUlRDxcrpsmGyXA1qmOsRLrbi4AiXzaeU
bv/i59ECYqmqJIJFh9n53hqarirL4tBErqQdjcJXy784+YDlf0QwJ781EnVKE2gwzK46n4tsZ3bf
f6GFLkkoVddMSREZlExBFSdWCkTE1WwLIpBF1W1R4xjwGrhoOngQQUguWTrrrCaFBAenh5SLpDtD
rBBBftS0dyOJ/2bPLcyPQrRC1jEf6M+TAjLwyriEUnGYStdS6ab0xY/bK7aGLtpvEdegxuIwGv2l
VrNULg5W+KSpLxdF8+dYJyI6QAWhcm8LW1s4umqWCb9QslhUzgyzQXDGKg5jXGwTNbFxHqWycKK5
5xz8NVheSmIwppOEag47vThI5H3gnHeeFvTviyWL9XxWo8ooDhrG5KrHS+Re8v9D2pc1yYlzUf4i
Ilgl8Qq5F2W7XK7qtl8Iu9sGBAgQIJZfPwf3THemiknC/h78ZDsvku6+nPs4yo27WnkY7NgCC2Mt
EgbNfwIOXFHhlmB+WhtFNBdfsKzpbInTbGansvACbm2EXysnuqGliY05EWakBmgNF3fKdp0ZtlFh
bXHzGhXYFg+TZkD99T3t3qTdGpWhRBmZ2JEZNEaC1abNX5idsnfULOON+9PTcYvdXEzZv+S0Q80T
T3NKKpD70qZt0CLBXsqDm8RBJ49u88kb//Zk4ExByQ8sidwjMXbtEPlOEkKN7MzpZGzdwMJ1mim/
+SQ9LEoqXnIfN5Cqh15E8/A+Jaf7IrbC+CBB4cOh8x0tGfYtc86FdPyZ1WVkT0CQTj5a8uU+gfUz
/EdA87KrQnlDuhCgtA24cxbyw+Af/jcayyGveL+h0plaQ5ZRz55V8jKwOICI3aehpwP+L3/8d5Dl
oFdErN5VWMwFN8T2SB/aVtY9s9ZnO+IBmmusmu69UyfVISdWugfKH7IfhmkdMrfLz93oFyiy2V7Y
C5V/vP9hWy+oiUlSJozmywUz9iymvw317X/7fU0uMrObXICalxEp5r3vtQ99mm/MXa7yCFs2HzLg
ZHp6y85stDnpTXhEY3dUz4Z1efqNIzBiLWAJGJLwtKdTY04TI8fvWymaGdPL2G5J6uojXFHQHkE5
maDxlAFBpZdhmWFsYCtwWL0jePPmP2GQ7gU7ME8JAd5eZPCv2XgxxZdWbOiC5SPfqJsrEtohUIAj
YpIg0WNkrqzD3j6YzxNrN+zh2l05poNNEVhn41s6XJNrtoo3PQKUrP9qdl9aZ9wgsHZVVwR0dKYp
7gfLzBDM+W59NIb+sSQmENnyH/e5aouM5p+2JE/4QEDGVTTo6KOFmj3d3aexcVf63qxpcB1jnG0c
JekDi32y2d/3Cay9uWMBuAZRAkNKQpNuoXrPVMtdofn8ZPn2d2K8q2kyY4v4VnfV6llsRPDISxBI
uhYyWMKlKcrJiOPq11Fh3sHbmg5e7KHOwEBD+ZeC9iJG7fkjTXGYeG5+CJrnWKR6rpr2E3X/HPPH
maZbFLfOZN8aBVmquaf2cqYiD8zipei3zM7yzW/P5Pie7bk+w6rRWwp9yQF9MtAyUkmhdtJKv/u2
3M156wQOtp0gF2uyHZ+9PytzOpsxO9znj+X935IHRB3WtzoUMfEteTHV8zS6rIRbWSN9maaXRrkX
Kl7nwT1KcxQbIcz6hf5HT1PVyVwjfiKwssp74fV3pTZMwSq/Y2vq/zuPdp2t3c8VMfD7B/uH++fn
jV9fVQm4cGQrMErLfg5aXfkIXt+5DjJWZTQaB49h/5j5UFRbPLf6JEt2wlx2v4Ixbp/ESRBwVTQR
UTnxb02B1HIy7kl7KlBu2cr46gjCP70exwPuKmbGkZvX0TqtvE+GLkNGZChUeozdKQnUlMynmU0q
tDwjDs3cI88YKUcXhVPxA2+bp5rzz4oZWO9Yz26okiTZWT73T3ncFSxs6iwL/X7ciuFWL5/Al2U2
EJowDnl7LyWpZd90OeIs5QXtd272uJlfT3vY6A3FCAS21sNUah75WFQulaWAJ5HEoTX7YQVaI3+9
L3SrTHpFRYvjsbLeKW0XVOpk12HIyX03yxf2130i69f1z1EwDKunobjlWxO2UIqIdpfOP2TDc8c3
SNw7x0JC08cm4UOeLLeVi/1YX4T7WNfhZkpi6yC6PCAPaiQpqDT9t6l+UfJdL4//211pQYzHDYdi
Hz0OYj+hluNbl3ne/wYJ5oO7UBbAfJt2V66oKs5SKaKYxe+cycsCaphpgPzX7j6h1UfxEexhCZHp
wue+FZMkdprZEAgnB1ceLOA2i9QKMG+B/Rkbbv3CprrtWEJ3RhkG9ZC/v6Vk8s42rQ66g3YiNJID
G3Ys/tuY/hoYP6Xl14nGG2dbsx7XFDXxLNg0zHVbioiZWGjqv8ZNteFbbp1JE02maiwGNkDBGMaT
VB8AsR505NIwO2glemv3Of98/73W1P1PbeNR30IIo91ikXBT5D7kdDQRvwQTRnHZTnxx40/36azx
BZLsyLAD0tt6w4DOUM20bsCAMzvV/H3x0M+HPN8gsvZAHpgO4JYuRjh1czKVJS/72YVmo98djpZx
/htihAQYYzaMPPF1qPC2twinNYzjmIryMy0aCcS0Mo246ucNVtCbEH7aRoIV8BQlI9fxqcYL1MFy
e2OGVvCwYTWonrAA75DwbG/aUW1aT3PRBdL7XrKtYHNN4eFwmH5F7h2bt5a/v/IyGl7Ruk0HyFUz
7Wuehn72nc+/nn13UJBH5Q0r3xjRvXWa8gHoGWMeUa8gz7JOxoMzOuOl7lS85eOu+O1wcInpLnlr
FyWe2wMBLKYfEjblUZXFhybN3jsp1oLb3W5ujiO9xNUIV8Mcgs55sUcSUl89EdUH4pH5TdDlVhnY
Ptr1qrh//8sycfNhCztf3TQZVGfmvsojy/I/p74KMkxekoyfON3QlTry4MJMN6S0R8WkMRCF+z6P
8n46CDNo0ks2v/TMDxznveWc4joiY7Ej2X7MOcxPtvudo/ouQjMfAvQT8vPqqJWnzCJGpgS2ug2m
5Iedm4jQzvZWc9kK8+Kc/9HRVDTqhZPfEi+PymGK33dDWZ69bPrUKqDe3j/RKiViYw2KCQmlpkaJ
ebPhDfWcR04idp73JU1lUI3kcJ+KDivyz8NdkdG0gGpIXNS2nUdkDh3qZyGyDcEs4sNsqW+5cqED
mn3eyUeVuO/MajhQvzu69ogVyea8Z0kfmgM93/+o1aNDdKHGfZgMHYxWEjI3dIBAAV0vsM9xnAd8
o/S7Ypag8oCpBxhSz4Hfcisac2FU6DOzILMmy05SyF3hjS9ENk+l2b9i6425waCrBJmzOEdLpc7X
ZHGMhyZF5JZHifFHWnk7cw6qz4Cz2uXjj/u3t6qOrihpouh48I1JA0rT9MkGfgsHHjTWmRGGZD/W
KA6f7pNbyyw7SOzhD5IiFFr39ip57vO04UYeDdycAZle8r1XA1OvcMwk7MYixl6zvNtZaTxifrlQ
ZyDgNie3FugaTvNvcd2NuxRbJ39HfnwHF8Ec1/P1rCwb7FF5Jj6rFRfUmYNmloHdP98//CqnXhHR
73rq+9SaYxAJ4A260WCF9wmsuDUuHF2Kwhh8gjeAhYIVquYWzSM+SX/nTk/9kklL6qcUNcv9fVrL
Q2kOL2i50ORo8ICDrblqAruLzbGGbvOE80XK7pT27Yf7JPSpjEXdgAaFMwgvCkZTixN4pZRJBS6s
m5uzYGUQKwTdJPDbPBQ2en2a1yp/nUtAeZPisz3wMBnHHUUBYrCqUEwoW3Vb37TyiDffZN8ycGN7
KNQxYHD4ufPnnM2nAk0Tbon5JScYxufSBlKwpXaqeydlC2Y2v3K7+uJCV+ZutuFMrKiJm2/R9FIX
o+vcTNAHh3ZC90xUQQMzn+oL7es4KGajPIzlPBzvv8rqw9su0NOQFABAsPYoIkvroRvwKI3H27BO
W0Qfljn/ulZ30TbyLxXtmrG9tmZ94sMlS48+f0/as4hf7x9kzae9oaFd35C1fsFqXF85vGTwqWz4
Xqb8wZIfsclCObVhSp2TAZCa+4RXxdRmlu8tO29sfT4n720penRhRa55JOUlVV+7F7PdILKmaXG6
/6ho71RXwALGmFYRGZlnow1j7PZFkeUnWXdWscuUNT9Q4ss/+MDlue5H4x2yW9gobTQAnDZiHjLe
9kHF43jD/VtnoP8+THvaoq1SMVS8iNq9+mBs2LNV8bw6tfampG+nGEoQbZumCFqv2U3j92wLLWfr
ATUjNri500oGxumTZJ8kgNCafrTAuvVZumGXtihpJsMUnZ8KA42183hI7Mf5pOaTdH49/LnhlOUj
rtzhrs2Hnifgx7G/NEm9I/GZFfkGP67qKgRwjuW5KE0yzXXM+wa57qVnt+Nx6PUHqEvefvOLi6i+
3hevVf76j5LermWX3YzHhy236HCZ+488I7+jnK4oaKJFEuTtJxvKaSfMd5b6UG0t4lou441xvSKg
iUhSKs47jsuyBg/a9VJijrOkH7j5aXFMElcGWDBz/9bW38czCfWAsW/pmXZSWTFPJ/S3zqpsj3Mb
J09tGR8TPw5KKCt48T1/uU9yVVaxRNtFicKHw6JdYwU1CIZANNG4n3P/oSU88IytDkR9UPYfJ+KK
inaXM2HA0BoJLMmQRu4YVnw3iCIYXTOo7VEEs9ti13z73MMBBdJpGgx5G+QCMYtCHtcv273jAZvB
w04yOe4ctGR13k70MXIt/TO1MPpx/1ZWPHKUOpbyvYPlDJ6eHFWjWrqB8L1ZnQaknXZD+pfjXArz
z+6R0K1QePUNCHxFz0EuAuD3t7KfdRxH6Rd/nMlHE2bp2PV22LiDv9FHtUVo+fsrJaPoaHZlBb8J
rQOhR59oh0gjmTYub1X2r46jqbLUhnNWEBwnN09ope83fB995ucfZsKjINBmKL3+nG+5OoXRovOM
S5yiERerEaElzrnow65ECeaTyMgu6fbPVGzFg+vH8l20jaCJFvW228urirJu4XfmkW0/uTR5pMrf
MMqrXIck2/+joCUQCkpHzCLABvR+FYwODezM/JIlD0bdFAFLo9HdcqQX6X6j464oagZhEnFWT8to
SpEap5qkZaDUnvYCnn0SYGXQiQxnbpm7OS3+aJutDPD9G/XeVIRcuzBzivNKIs52V56qZsOqrpru
f8/n6QUhyVu4fiPOB5DPoJ+TDyxz33cuCVy+NZuwdRhNxfVpP/r5cpUZ6jWPW2Hr1q9rLlVvdOZc
jLiq5jIeT/eV3bpAYZwCi4pRPEGN5JazVWZUw5zj06umDyVXR1WRXTrNZzFbf2aVgwnQuHuWfv+c
yjRK+62u/tXDYYMwcqoudszoeW02GNSwlsGYdirawMa4ykfRyPHb/WOuNVwif43uCBsQJDilpv18
Oy2dgosiQuYznFEtHwHlPnuIGhM7rOoHtNB1Ew/cizt8yrp5nyvzEBfpqcudAA1dh8lqzpJbh7HJ
oiElX+9/3tolXH+dpjXrTpQ8G/F1ZlsEScuCOn+9T2HNoUE0by6bmhkcPU2BOT118rrBLFBZnBPZ
7nnWHNQwBeYJ3gHieXUSLt/dp7nm0VzT1FRaTpioDLrcefKVKzdMcmCo1J9iXGfe/rhPa5WPLcy6
oCHCt2EmNCFRbiE5teA+Uee1RANh2fjnKhk/58oLZ0EeXbW3ZLIfU+9Llldbzps+n/3TLl2TX174
yi6xiqclS6YiwhyZS1l+ROke42rNUTXmY9d9TIx0NxI07sqHBhUiMaQqkEge7Pp0l/bygCbOgw/f
a47n0BVbuybWbL+1DGYwtjQe60UcK+2GtPRwOdZ0qLJ35ae83fAuVmN5LMawKU7H0CmiVXrznDiy
8hHtVg0Wm8dpqNqPlleFZWJ+bBmgZeJ4zwAJZKgNj2OtmIEy7H+UNQ1mFcAaVbYJ5TvMQdZOQTq8
E933sf7ejN8dZw5MgQ6z5sGAW2nF7r7dUi7/n7Njus+kmINArfv28U07YZUCsEPUm3VIm6eKiaUh
N1TTHM42etb98pJ0DzJTG9p7VcKQAXKx8A19bnpevCu9QalkwKXHdlR6mItpnbCvZEBZe2yyrSHG
VTa6IqcxORo4CgnsWHgMycd8aI5G+uRvzpVsnUnT1HMmiVW5PdImDvbZNv6jtL5a5QX7bs9WXu7v
q41VYpjBwkgh8s6uDkzEqqHBlBx4x5Z+mA17iRUz3PxSI5E3Zxs2aIuWdnsAL2NCLvmgTOx5i3iu
/TYZQY/oh7hNvSEVa86PdXUw7RbrfIRNWYilpToY9ILh6wPafcMCsnD/Ctc17xUpzXg5mTIT07CR
WCDfSlk95PZD7Bn7hFfhRL/BdVUcvfJNVNdqw8Nb5UcXCLEuujztNwOus0Ek8QWUrsWwF3X4IbMm
HOoNIquWE9GZjbK066NeeSvcrPArq+txk1bKjiy5tLzc5QrKPD506hNSiUFnmRu5mtXXu6K5sNKV
NaHoLiPAeiwiX55L+4twMWXtlEfA8X+8/3irhHB16CmgqIX/1GxXhDD0hg2HXQMTXYzTsZqUghtU
z7vWTPyg66uNmGP1wRiyg/+Un3UkjrRLZNMNsENFUgaW/aIyGZCt5OBPX04PbCw0r8KndeHTvplM
M7FNrKuhFQe/2HWs7c8xRTnWq62w7FnQkuJFcrMK5r94WxxrtFMo65CW+WlOdtXEtkpbq3fsw0DZ
GP3GHWuPKTuz6HsfXCr7d01bzgGr+sB1573D4QTcf8+1C7YtzNcwi5gIjzVmTby46mPbhReEjlOQ
UupFbUr8oqj0+70moh3Itc2uzUYP0/9pvZPiUqKn6/4x1lTlNQXNc7QGPthdSvCCVRHa/d+WOmIX
XdChzmtj+O8+sbX3sV1mYikN6o5opb0VtslHpJ3AfUPzSRU2gl/qcTq36TunhzTcJ7X6PJ7lOQ6j
6HD+iad5JW41WkjgBLAiygkPpb0TLbqrtkYAt4honnBJu6lMCS7P81+EwnLYbF+Uxf94Es2YubE1
0MyhwLVQF2ZYIRGPhtySnFVGu7ou7WVEjmGgWuK6zCFkp6bcOMPCRW/4GI3uBM8Ov83TzjD3nHv+
jMlCRZpPSK+Gcs5f+t69jLZ5bKv6ryT1N0iuMjZ6tU0PobaJDrtbXlO2MnIHsWiUZU3kEbTWOOes
RuUQnc5Ict7nttXrI2gftiiK3jAnt8Rqx42btssxnG92sMUmHY6MO/WGrVplNyDYUgyDYt5J52lV
OiI1xhJzg7kvQm43buiS3oI9HsTx/oFWJZUwzKfDWGFaW8tYjQb3PWliRNEf3EPtvso0OYx9HlD+
7j6h9TP9S0hfPNihY5XGFcbcauwBkWrc+8NL3pON99k4jo420XQtYqa5KSOPxsFQsm+SfUiLZl+S
ZH//PGuc4JgL5g3yi96bAfp8qorWJUkZJd2MjisC8Mq/MJmwxXBr3O3CtMMlQ6rF1K+tUI7b9wTW
Z5jUw2TAxNZJ/T3trY+uRGW8jJ/vH2vtAqGxHX8ZdUeXscbgbCiTBNvsyqiRMhTsO7eRPTHagxie
7hNareVeU9JURUkxhjCYbRlxAO2E9pSiY9pvvafWZeSQmAyrXifZnd0kV5jD8L/3JE7C3jENYO/4
ETcaEralk/yGPFx/laZNjAxLF8cR8lA7r5T9bZlfUc5Lyy0AtTVpYB6cCXjYGM1wtcPbgyhTNCdC
j+T1nnSXxZoM3Ram0Jo2BkQF+nTR57X0cN9qK1IwBlBODATaVZsErN8lffWFds2ltY0975GTzqwN
sVjjH8gEpgU8hlaonzuTr8yx9JJOoI5YYpBydoJUfbAdFlo9llCM/Zaa3KJl3x4PDWUd85ZxMXTb
/CmyfV/wXYKEQBzPu/vMuiaFSPNhKh8NO7alN+3Ac6pMY/LKyLHHiHtWFAPdymq7Y1GQQ13kGz0w
a/EResmwGRxN0Ojo1pSya0m3Ljs0QU8loLRIT961459O7z+k3oODFiD8r4s/kg0Nre8N+ZlwQx+b
TTD/RAE7osm+mxZkNFKM2Xopskpp9xRn7XuBJEHJnKPjIWM7i7Cs+KPZDA9kjoNsaH9D/fg+OrKR
UrNMX1d39sSzyaaYw/Wn5jI09I+SO2GdqxNttqpDq9yDzDWalvG0aPm65R7wZF5ZHqYbxDxFoz+8
o2gOVJP3yDZ97xVSqMYAL4ihOR9hvfaeohNA5Z/QaM7EKxbyhbIfd42g6Bd4uc+nq4QQCcIRAsQX
pthuz2RbtScaihdsrEePeR9E+UNMF4PQXw86PROTBgASsSzkObTsnNeyHGkxTFG4hnlO0NZYmi1Q
rzd08YqSvKGiZSEbd0xbpjA5USNtxelT5gEDuvoNl/WGiqZFnLlLsTcYj6OU8V6hJ5MYz7bRLQVC
0WW7mHbh/UdakzNQXGB9/J82QHulehoGL6uXCR5K+qAgRejnT8R7nQgser2vsCutSlTQmH8kgJnD
gM75/ges3SuYAyl95K0h7xrnV74w1FCZkHN3DOryBwKN3wH/8a5paOFmS1AZsXvQKN06QGncYW7g
lRs1ntWDoMbvIgsAm6P3d2RFgVpkDTAbbv+gAqkI+cT9rWaLNZmyTQCYMJTGUSLXbqufG1M1VVFF
c+ZWx34idRCXzvfabN4DUUtuWJpVapZpAeUAFUSQu5Xgnruj5+cMsyHJfJZ2FyRN89w76U6Irc0n
y4drsZoH6BCoWnTHYEJUY3zTA2hj5iZVlPov2Mw9l2dOHuhwcviGU772TDbsGLI1SCH5+ihKY9p1
TWJDRKSp9iLuLsgPP+bK+fjrbH1NRlMXIyc+CrJ5FbUzIqUj1n/4w8Y8ySKZb67s6iTaldmsHYF0
zqtoUEVgqR990/zWXQG9jKFTBhHgwh9X/lPfpmZFexyCNK8gQPwXU/24f08r3sUyC/4vCY2h6dix
OcMkbGRhADnIJiUDv5vRnrDPs/GBju7OaOoHoySv9+muefzI+WJGyEJpxUNq6PZsAIlPuo56ANmo
pHP067I+1pnTB1ncAQffZFC9cLSO42h7r4NDMYJc0zAX3NkzTt0zSp88NOsJoJX3P2xN5jCKTdH1
jUlHNJtr3yWHdPCRtY3sZjp6PkUwMh8m57Gat/Jia93f2E0DDLzFrYOJXkTl6nlHS7UICCAKFvfO
E2sOc352Grangx+yLjRRSh0y/wSknzD54HfeIabDbqqyDwMbQ1s+E3erWWqNpQFMQDEBAngAZFNv
v0hOQI9IsqqKROM1AZNuEqZurDZs3poKuKaiCY4cBrtSDnhuHFsJ/Sm90E6BBMniqT7cf81V8wr7
iiFCBxuxkam5PZFTVXZmzaJCMugHxQaOAW1mdbYUKQcTCEYPtXUa7Qdshgxrn55JM/6GCkdvHlsg
zzBo8nMk/+qN66TkpBSyQunyMtmX8ktb18GGDK/dJ+I6ilDEwT4nPc8xDQIo332DV2uNXVYcZxnv
0nEjDNkioj2aN5aAjqA4SIX2NvhfDPv37C1wvVUiSDbAFAG2EzHI7Wv5Ztw6BR1BJH1CTiBs5KNQ
w288Cfph0ASKahPuS9M8/lDOFVyeGgP5bRXQ4rFW/LvtYSKx+B13AR1SxMUMq8NQMLg9T8sBQ9d1
TR1x2R65ML5N9l9WmT1AeO/z+Yr5hoVwHYgVqmjY33pLaOJmBtylrgJKThcHfm0cjC65MIrQgg87
r/zjPrmVd7oht+iRK66mXVwiD9ZWEeunIK6+WjnqTFXz63oCE7k/C00Mjp3ePhuPZWOmsQm+Rk+w
6Npjcsq8fMOKr7U3EIYZxuV9XExMLme9OktspuDosa6j1mDHwXc/pMlL3WePBOOrc1vvquorWmlD
wWXQxtg+I4wwL7oN6VpRvCinAUX2J4ooGjxuPwKDFKLI+raOWFWfKykvYgt6d4VDMOCHnDhaOxdt
pIkWqhZ90fOijmTrBU38LnWPSSICp0yDeNwybSvHQbIabgXqZA5l+gAIJYlgtJhqpEYsZ96B+5sv
XpoiZLvPh2uHQlXdw9uByJue7sHt43mebOgLv8NqoMYWZzIIflDCtYK4xpwfm1N3gy1XDgdfHBUm
nA7A2Tosf4m636AA0hZ5Rb3P5x47U7j9G6PvuDoXT7WMRzp6WNZZWMvij36NCQyfHbvayC9Z6hsX
txrbDQlYucTllYi9DNNQT8fJFdLskdRFvSTDPzhgu7RzcZs+C8hMnIMQmR/QqnM2kgZrlwiCyKJR
FIeAp3rL8GPn90YZiyYqYvnVSJcWdT8+3ueOFS2FpnsMvCNTh8lHHQ4xiz1TjqnbRGn7yAC9IX0s
SsD4x69TQY6M/WywRJeUJrq5F3NRUS4jB+i5dH5BSVga+/+Nhia8PBnt1uG5jIrKCY8N5v+sfKMN
Y+1B0DmAqBbekk/0DFinJrtlQyZhFfmJzfJ7yX9niBtQTZgJQ5sc3kQPMp3O8mTv1BKTzOSYUGNn
Ncm+7+PT/dtaeOc2MMMhzCXL7SK0AKDxLW+JSrYzkDwRpJMkku4XYslAYjeqyrYAN7coLaJ1ZTs6
Xhew7mmF0Ytnyj+XMWbsyPvc+Hz/QG/fBgeCHsDTIFh78zYtp6SbHAXr/s2agm4rJN/6eS3NUAPX
KenhEUVGTnce3YmcbMjIFgXN5XIbkiVpjwMM+xY7iu7fzlsxR6gCvHu4VzA6QMu9fQQ0LExdTfD5
Mj5SXwRd98rSDR25SgO5WmQNHDCW3sVtNgKJ4YTiBeQTy14BXWzaL/ePsXZH0CH/ktAdbFu2STMS
cC2bAqFeAUB3n8BbZgUKFRTuIhYwmLpYYG1OOhWuVUV5O8ogJWYfSatGVb6ueTgaw7xhJ3+6FLdy
eEtQk456HDCWBCiaSKqQTce63rUvqtnL5GBcMvFoqQ1G2DqgxseJEO5ool4ZkSp2QuY28Xksjc/C
RGOqI0u5oTEXpn17PKBAYIabwsVfHvRK+MvYSEXvzDie4Qw70WHUyoUfYA1yb6u/G6fbjVZlBPE0
bOi3twZ7uVc0uJhwrzyMj98SVvGcUSdGlIS2nbI+lCLZYSdA3KZhlj/d55m1My71gwVTHQNUOto5
Rsd4L2w4WD6VUQn0O1pdYuxuYOXBjnlQMRqQLafurSBguhCQQrASMNpEXxFX5ZUDJ8dsI8f53i0Q
2xut1CvXd/P72vUJm9Mhd/D7w5gh8fAuDnjyvsqCnG1c3go/wtDh2uCBoFdMh4JYIDp9Z7ZbOPV/
D8U78IKHmbxyM5G0eqCFDMC14efou0/KsvXoPMZtlBLvVFPgonzqjSqcG3UpvI264HI5GtPDhIMQ
HAXESnobejUherbNrINtzYIKsDZuimji832uWyWCPSRL3nPBetFcKlkZc8JcEElwXxV/Vf2haF/v
01jhbMauaGgulYG996JPig6AMmbICn5p0Nw6Yk3ElJn7tP7uDHkwdna2EbGsMjejcHnha0GyNOaT
yo3JNJUd0Ec+CvE0DFs541WmQzTr4OeRydO3LxWswjBd1XaR2Xwoxhg5mnEHjTTa9v7+Ba6cBPVh
irLskil03pxENKYzDWMfZYBw2DtDo85tl/lbRmSx3hrDoa8GMSsq3+iA0q1WZ3Rp7PduH01iDgu/
eK1S9qgs6zDkXUDK4ePUlx/dWVy87Ejyi8Veifpy/6RvWQVtV2jvWdBoEffpih72EZVN4ihgp8Ri
n6Kz4MANG1lhe4gDaefFPk1Qmsdqk7M3TuX5PvW3DwrqSBx6WGqBXJIu3V0Nt7BrmIowcBcqfw4K
8wjzHtRkIyR7q0ZuCWn2zFJMxElMVZTzkygOQ30YMNqTPBpk600X+b19U1TaYbhQbQRWMZz0WwPW
ZrFkLVFD1A28yQHiXTQX0xFsLwCcG2YzECx9v4xDdJ/LoB4T62CYbXW8f69vlQw+AtM0CHgRjaBu
ePsRmVUS3oGDo3KOd2MCBAk+BoZ0NwR+5fmQl0V3DwQFRUM9AT3GsZi8AXCMbNjzD22yjEpGaS02
yLzl0SV2BwAotkYg+PGWz7hyRlrUTgqaS6AKeo35UDv9/JgamHVyVPG1o0DlJpPZntxiekYjurPh
kOiLEZGoBUwrpnMAMYemcKofsp7VzMaKWpEH4KLJxTKs+VNdPBZ/D3yXP/jzx8nmganCuD94+aX7
iB86TvEn9UO4z3l8NkkWbmGwvb13towxA2URc4nI/C8XdnUhpS08TBSndpSNbb2fpCnpky+4akIv
9SoM5tWo6GyoxJVBJYDrAchnGZjAU+vlYdXbheqKGeuMqAocjJ6VPhZRUhYA1DRwG39XFXQ/zXwv
ya+rYxRtsTMEo4dIhGFK7/a8icWLqi0sK3JKA1vwcuJFbdY1n+4LzcqtohkInVwIH4BtqueKmkIq
9L8nuFWRWWdTEWkEFcbxgt5BoD0AimBDKb2VUtgw+INoIluwR/U8WMPnkVEsuo0wXWkDso8AS+tb
IT1ZPvKxytgGJ6/ELKh++T/xwlDhf1P+qyTqGrxqrcgku7IJXYptbkHt7ACfjwVv/rsSYzjjL2v4
W5qaK2Ly2JMDq6yfYBj18KHfVV4TAoP8/tutqAigxIIr0YsHlBJm33JI3iCoQKbPimjpKhnOXmeV
YVFJgbilyJsqRL8u9oawupt3STpjBK00AN14/yPeGhn43v8MjwAD4g2uMxaXMWM0FD7CsOwjckxs
NwLz7GBxSc/enB2G3s02xHKN5uKDA5QN+RNU424PDqD8eQS8nhWNE4smkj5OqAAGleNLrPowo8Tn
G4dcu2l0a6DgR9E+B4i7W4KF4bRuByzDSIjhrzTFsCLQJu0SLZaAnTwJnodG1QZNLje4d0VYYAUg
/rCuaIPR+3UtmdoyG6Hz0CVo7Nk4dF8ru/TDjrdq2jDiK5oAAB4w4pj/QY+sjo7ulyUcTWwzAMZT
8rFTGGPPm31PgEUE3+Q+z7z1NGHVUD9F2gVzBG9Ac/PBqKUCIBw2Abjp14ZIdbANaW5c3joVJIrR
1Am51/vyEg/rny1ooAh91VlQTnV/yuthq1N87YkQveOHwBYoDC7XemWWhqGrhoJyJ2JFOUem0/9w
06QLG3RSbmiVdUrLqDBab1EaWaTiilINSct5XjhRXHjfxsF7nrzunaHi7/cfZ5UMrD6cD7jowEy7
JYNyNMqnRemg0cYGgM+Y+MclW3KqG3PeSMItJuzWbcSeReAAA8sFa8TesPecmp7RJsQGJnxxQWNU
6Pwf0q60uVEkaf8iIgBxfi2KQ7dlYVv2F8Jut0GcAgQIfv374N13Wyozqp3Z6dmInegIJZmVmZWV
x5PlS1mJVtY+zATBxb9/mzVU5OA1JEwt6QrLWqnrctSgEX/VXF7zISUmhttkHmzMT7VDFRoahw5M
5C51dqe0qKRHFQDhGkCUFYyon/rXWLskHIc0SQQdVyi0jKsMDMYhFccK+nwJQUSpG5GWZYGyX2ec
jOM/IQRwcBi5imoSOxJjNsmpyNVSG8E1S0vOM8Q94ZCfP//uyeD4US/FqhO4dcz93SqdOFRKjCWf
Ghai1plo16bell7bIwQiTV5K8ePfJwe9E1GLQ2UED+tbcs05qIDpFumrVK8a0urtXokMT/v7UB3o
u/lX8DFOi84YMkNTdgChPuqrSChXIxWAsP3t9I2JXk9k1rCtB00JLLyPmWZakQqhvmrPxyc8WgJU
+fTPMjV4k3g/r4eREFBrv5OUcNq3IlNilH8DI9FRVHyrE8EvsOIoU5yjxEsQTBFSUc/GzaBg2xS7
IbXqGjE4RYBw1grTCjsg9IYYaxeB7Mw7nvuUfqz67NCiKTYijgewWbZ8fpsZJ9o1QMM0eHfrz4AF
gcp/eMICyFvhRefSxIMUlGbBWiqqDbCYTkK9kcISj1RONnSaKzgFrNoDXDf7Fu9KmPFQQn5yfIys
PJQjpzodH4qsyJe5UXMMd8IRobkMfRboMkWbD8tZA+D2JhM7RA0RKvNEkMJnHZ3Ov+7b6ySVsVKG
3hFEYOzU9TGR1SCXSxnIRPGpJPlMrlwJwd/fvvoAE//dtg3xIbZkdLw8SefwlAEg/qynKY1NjO2k
gjizSk262P+AI4yAAHoFcyDotb/ViOIoS3lXnxHZKcfWAkZwC/wP3eBUNCbl9r38Ge4BDnz8+6uQ
AbC7g2FELaAu4sx8xIRl7Gh5ZND7vPzQbiD3wmljgE0XkUBkOyyFDkB8IUCPVk0WkipQHrEwjtYz
XOe6sp8VNUd0LD4eqgijDuCyRrMlJqzYNgBU7pMqbSXZTwhdr9t5ST7m/pyUlJzI60a1LE+gOw6P
bCbgB9ExrXklSmEmnUy5ANFofqb0uKi+Ft7y874gGdP9QYM5rgu6U2IkY2Sfvr1wgmG2b/LHbzNh
nXTWj0mQ4red9WW+DecxWVheYHPIsImjH2QYE2oFOahNNNr7z2uVFGR7IXP318OKWBtv71GOvL7v
6asA8gc1JiQ+B0NV6eOhLOlBct7W3eN2/vjLtQV3c7YA/WXx1OD7Pr1HcQxpr9SgRx4mKUcx0rXk
VPOBvkXWfD4nJ88mOWntmfUUk/2XOeewyuYxfrDKOIxBEftErEbCgGp+GaDkncflbryH/pq7H5Yc
aP/P3RK4V4Q6Prl485g+Pvx66R3LEl4/6X2Nnz5BdPGOS+qRDdeYEAkt981QaYLsH8507dRk+xjR
R/cXsU9EsgKy2NFnweHQnOTyiiZjyg36a4MgDmQ/n4uDu+lXrwbZ2AWttwurI/u9SPbe832abGv4
v47viiZj2se0u8xMZNp8Gs3Rn2oNRPmUFsUnlMUL6W7HG/+Y9ldXBBl7D7oGQh9M2e+sUCEypV5g
fcacnMH4Iz/05YoIY+1xOOvGqpXsK5b4EDz+r0JjzFsvtDzGo0H2TxTamAx2618++njlpa73ZFVP
u9TikWSepD/OibHvWZcJxzNCA7+3ihSZ/cMvy8rX+nznLdBX4ey42shcnj8IMnadmA2SPMdw5lPt
0/t6ljhJAxbbhf19tptNH/pKEY9QvOVaILVV4I/7KtNFRDzKU4fv+aU7+vBj3CAJRbUdYM3Y7Wit
M7Lebrf+/FGb/354IJb9/g6yi47QT14qdPre+aOJbCdaJET1TJBAeXm40HVkOfP5A1kZ5DW0LOuT
oyUsOOIPoTIeRKqb+qKKOLRotaRvb7UVkgt50Hz33BPL232GH1zRcpwW20RRVZh8aEUNDC4d3Kvt
PqW1G1GUYaSvnnRLL9n3JKSxy70UOEbOdqdURjFL0XYv+2fneb2OHtaJ5zghmT8q1F3p7sqSLJlW
lve5u+8zOZbBDkuFQMgrkgym+OEfSUh4HdrcQ2S8C9oRqjQfr541vVDHGcij+0Bs217sv7iRynT4
daWfjF/RjewY5h00ZvlW77CY8IGG1OPECH9hBIgSkX8yMfnM+PzhGEvxTEpm4OjNSekApZw/4C5d
xORk7bzdbkbuHxE79PVvQ/hDkbkAMCR/kfqR4jKdv7VzJbcQeLXrnng7HqjCX4QKf2gx51Udm/Ai
AV7Uz8gzfZOo7zzCs/xyiZXaT/vd7pMjzu8O2Z/e7A9B5swCRcrDUovhmulH87gdACtOsereKi9k
IHNs7iErcrHfj4eFtw8j8hWRdDc+PbzhISG4ozgP++mr6c/nMDeF2Z0UKanBP028viPZPNtT3v6n
v9DT/xBhZ7/PZR5k7Rk8F4l3elErh3hPC++5If8bM9+qfBVHG3Kjn4cCzKgfiW8FVkNUTmjJzoGw
uvmtT1ckTkqF7etZNPOf6VaL7Y4uFrQjXtsRjqJMx+YALvm33bGoklmaR8MJk4z+jKj4c+hsvLGk
jlLOvcM9HeX29dHm+TmOTiC0FPbRPmjsgHjhfncUyZJD6i+u8j88Mb7kdAHM/TEelX99wMJ00ltg
qyBvov2WPaXL0N+dECxbVrp5tfYxZ3rmOzFxx/TYTEzXGFkg1sfR9A7OmzP3v32ZS4iNZ+sT7jv8
4enL9D33h2PGv7R6WA/6SLOxnrVFrdDNAuGK8LD89LjhCtMw80M3GddS9E0ZJyfo5nLZW2tHII4z
d1vi2nhALvBQvu+mOZ6D3evYlV3Zxyao0Sgg0u787H3xOOKp5mzk+Mra0MgCxBlx5AirBxbrsS/c
Py0xgJcrPN/BpTXGSte0CtR/L9Jo2WtHAwa3Bf/rCD7vDcW7T9n8fX8OtJP2fUqH3tLc9dsH8cnD
y+trR9/xAOecEpctJqoEhghg6JJR6SWEeAbehtaRphblxFXfhcI7xjVjvEhjRmkufl8kh/Vp/vYh
ELzxEdAR3XaJQd5j8hQhYOgJQgaO25+M6ZDUV4GAME54MSyqmE6bzZRihgdCbQ87uuT8/ngH/mDt
6vcZ1jQswcyAi47A3MQLBKn8MxE/+znvpCbN94oM4xwV+OBAHdl4RjCsrzf2+Li+b7PTD7crGkxo
1RrHoE5MsJKRswMnsXaOpF0aR5r48TpyT/TC6czhUmQc4CUJgzDP8vFwZPdMDybBDPfFwovG410v
04HjFXeMAzw2Zx2b9bKZXzkVHU/qsqpS+rT3dl+8rOr3UO49pWACJ2MIs05RIMkGdKgTUW1lw3x3
PKY4ysdWKWRFVAZFA08xBiP8/VdHwg+OUnAU7zsSufZ8p1zvThlIPK8Vq3xqSYqZasPhevPRTu6I
7NtVXdGRkxJboEPQ6d3lQXPfsoVwIfnG80qe0KaDpz+awPa4mEaVFYGK01mvYzTB2ogqOlLiyuXm
/XjCY5xDGggl4GxBqbQPdOs4F/KYL3+lxEaEay2fC+/+YU1fH1ecMV4CG4mwZPQEIc5IRg5Ib84f
H3Xr4UweVq9eahkW99jGbOm9Y2N8RlIOl3OA3g3/+KwJ7sWyPW9n+tkL2vk4Lz8uc4yzKNIwjDHb
PzoLRLw6AXdz91EZqzC2tYDH4Nxa38AK93hjPEZZBMde0EAQK+jeluutMz+TYVP/sryv3e4fSBLN
DiiYoT9lLKOy76A2MNHDp5wRzowwx45OlF1U0lZeYKDAeLmvKN/FvlvWbokx8UyHIYJWSkpY9fKA
9BUSO3PXNXeomeAfzg05kYm+JTbq0JVpm0JbAnR8JIYUJxlW2B8V0TmxN3UzloR45EaVu8cbc+OX
tVK1QwdyWMB+pr0lL0oC1GCqr1cY1vHVC94wFud+5tFkDD1U8j6Jj9XMR8deltsFZsc7cY9uXc65
/YxmbkXJGHiUH7P0IoE3esDLCCAvR7vunUVu7z1vELhh70//dUuOsW4pFkypa8DW8rAWNZK/iysY
2n2eft5htzQYs86r9hh2mILzy446h8hSHkQsi7Ks+1Qmrv9bMowx99WlMAA+MkN1YikCBcguQpJZ
/VZprEZCwMHTwlHL7mkhEwLoRnzWhBr06Gy7rvxEIMMa+TCul+JoHvsK6ge0yFby9xFlv6snnsKN
YrnDBtsmdUKIMWglTifpyQFKAANG5PTr0FLFzqJHnUOPo9/s+0cwTXk4jVJbPx/fI6d7yHlOnXMu
M8Y7tGFSY2IVDPW7wzL2lY5qgpM+n5BYWHI0eyK8vdE59tkjqEc9GwzQel5TgaxJMG8tPLH2HeGl
zCeKb7ekGMegR/JZMwIIDp378Zk0DxHo8LJBE/nJWyqMP4iyQjkXBqg8rw/N81tvm2Q4LRpaaePD
cW9bGnlNCdkIr8v1Utiul9Qqt6gbo/Lzv96XLNqAdiwAb34ZFf+okcb9DeArBFYevw+DpzGM50jE
1GiGHhdzZ6Em2MVz3QKmV64RalGO+nN84YxxGo0Uh/U5bJGjJEt6agl6zX8le55r4hiZMnr9q/t4
qAGA2HWjWqpkTQ3XJG9vW5+4LtZGR+SZ43hHzbvjQRQm1MirIEqAazjzD5fQVkm1oiYJgaJhq7s2
WvPrHgqHHhNt1HJRyRHAwVCS2EblYoVqqm5R6cGkDS+BN1EguLEHdrBOLOVaTEdJ4lIJ3hByF8TZ
zlHWCefH+Qq9QdzbknePsZCsehOcw7IDexTueLsm2bqbW9zQl6cijDsJ69IIzgOoNFa3yHqCpNc5
I0R4Ul14ShQaeG6ZE2mwTe1135vAJoeWDNtnY1eiVNVwU0ETD7/b42JCjSoqzkHX1WNAf6ADMl4X
GrjrJLLvqzxPeIzDGLCc8dyZo5fMyLDMOb/Oc/U/xtJOUSW2LbjInguNGIvjyaqNuYJZasd8NXl3
GOdgWATlvK57IPp/y6yl4rPpyJ+NTGSv9ngFZ55qsyB0sZECxmgGUnSN4FaijriunfIVNxkvKTiR
7b/RBBbptemrI7rpQUpDz8BBA2Il/mxR5arJPFyI+yq3L24J8/3iPod4ToNtcC9zrZ71J9wnM5Q5
1o5so5/riBdRttZt021aYsnkyWqsE83XHGfMuV/YdRpynjRJNl5l6dlWBssXrNSg6sB7DXFPknEf
UoCQtKlApx8NLaJ4fqUOcpYIsTgcTaTabk+SCUmkeuiz2eU0Q8fO8xoj1M2juhnekGwLUXrjJtwm
Sny35BgXIreYPCvHBxiaItanD4OMwdySW+Uev/rOpcmO4GP6P8tEFWQ66/mgbx0q211joxg12LZ3
Vq37Dmsi03HLFRN3VHLRJ9r4ZH5WJcT3y+FERLezgD5iY8LMIjHxPJ0aPLLj1X+HSxbIN0yVDJhR
ozCxZekUWJZIEvoVOrzoeNohAxcP85+oA7Dtwklxiasu6REcNxY2Bwg7pbZ4QdU0L39oMGFOa0pN
jx2Oo/NaXl5spDjIF6+O8hdpmz9EmNimNLLqMgQgchi7QGtrnlloOtqg42iRu94/fL/8Ice8lfSk
A8ZJjyhguT6ss7VVU2uPNCJHdKMz+KkFf6iMAd1VOKpp+UwbsADYfz6JBPBXPA8xCuXe7zPOqD3L
RiJV+P2EPK9nVNps8AbzuB1a0yb7hw3GEZVFewkul28FqN9NZ1iuHfyDJtPzp2nlm/JIupXVe7jN
DMf6ip84Jjx9T/8hzzimXs8CpWpA3tk66IC2MQHMCQUmOpFHL/GHBBPXHPNSixR15PCACxqNyFvf
R9Nb6Npogkdb6eLLpF8c5Zh2uEA6GXEzvhf83WqHkCgdQJ4HPIkiEq+STfoq/la2zTy3sQ842Mce
t39xQpIYYsESlRHCDmCXDJsXNTPDoB1Evw/qAXu5ZuFrmJyxaD4+iajxDUd5VRhm7x1NGcvoMAq6
QYz0N6esUK7HTigMyKvjUCQ23TOWjj4xSRUEWfRP9S5OQzLLbaN4ua8zEy+lsYUEkCgYohj3k96K
Vj8GvVjUpexfEl+TNHIEDuV9Ct+jP4ztgcQ4GPSvYTGGDUPFhIFcVjLC+oQc0jmy9m9hZW1T1BjD
zXYuLR8Fy8291YtGOnoi4FR2mlW92thPrbvnKNMkw8A4xia5EfaKBcNPAOSs5s0JzcMRUgazkqo1
D6tjKh5RRcDVAMoCW5wADHIr1DTDvHN4DhHdna0DcEsjYuqkO5GkI0jULtBDf4mptgk4kp5wogB+
G7F7ZzMdcOjMDR4acqg0lQyyyowUrddegJLHjdBHjWCOEzCCAIoGdhOW6LJtR5gZSsOyMOEBtuVb
+xKshMXiC/j+6gO9rzhTZn9DibkUErULh1MESpWz1Ensm3Yi0YR6y4YYVuXcpzb1HMCEiGpiUcK4
hoTdcF6kpYIAAZ4tIQlZl7ndymQIkRiZoUvmsbUUTFrUw0ZYXzTSuk8ocVGOak4VSdCxIo4wFSP+
FnuAfXi5VEogIGReyJuPi3c+kqOHAF0X3WxuHZ3cosOWBwM30QBigCoWvEgjlibAX261NVbF89CL
meLPqnlsek2nWSLA/az48eSa2qrprUYH7AC5L++phzhkjekv6CpmE9lZNLEDLoQeSKaPxLjdLuV5
OY+I/LLj+fLvPiNGYccx3xFeCog2mGO/5S8TYi2/lDMQon1v0fJdHPsLqueUbLV5iKZKgWTvLf7f
bC1F1gs2JZd0thAJ2kmBSyc98O7QqUj75oMY9xBLZn5OBdn0azvcrFPnuKitt9ATiL5JU9JuYruI
yI7XmTj+6j0xMN4h6KJADTGl7qdHYj4mKxjS3rt/phMx9hVjQIm+lbTUADgxBTa137c0j4Ahv7ws
lflR5UVzE2HWDR1GY43GrGspBJ1lPG/s3rTazjE3Cql9y05zioF+ssBa4/vMTbybb4gy11h8VrKw
wYi/D5qDDUCeVqRF8H6+oI9U9e/T4qjIDzDSPExUpTxpo87Ki+59RruaxE5mqRrZLGaWrR0Kyk3T
3tcQTWT8bdSlQjxkECut5oJ9sTa5FXJ8+oQxYjkQBu6BmaUCaZ6dohTqWkiLLjD9GZ2R3MUunwsd
3MEKn4Tted6+qG79FOPlqRJdXYcJFpY6SWKFKNDNh8fTW0qqM0lSP1RdHgLFT+4BaipiaQ2Qj0Qw
zyiVeL6EGabzA38oqVZjGDebF4qJjSxoE05TR+eB2f7UJ9DDNgmgd4zQUhrzVrjkIhaTlEngH0Tb
9yMLlYsD77LWxiO7NfpbIozv09DyaZ4qEHk+bH87ztKwlsh1ORKVWpJ5hbt26HKNMYTtHDOtoRdt
H14XCzvavG82m9kie8BrfAf0c7JYHB1rsdhb77zkzXc5794njudy9fQLj0OoBSo+kaLD/uPDRPa8
pQXamdcl8d3NAk1Tw2IhWYPtoVUAm0R4F9FouD8+AGgWJnAM0CLI3rrDMVTlqgoCVAMHB7uEVW/w
utdTT1Kv2AqvvB6WySP5Q45NeGQAGUuGygx8xThZsXZQSw44w0T4iUO/osBocljOgA7TgkLl5PNj
Td5KItrlorRMK9qErydyea4smeP7v5ujWTEC3wRLrQFbJkKYt+d4LE/GJS9yZZyKLUhJFGt7JM4j
cdF3tII6PaFjhqc8E9M0iCEQi46AJMA++a6+XitPnQZxfewUH48KiaKhFO05JQ22m/eOFHZj64jl
9u/3nfN3yZbh9IYoY7mYZQ8k5QyiFYXV1ARjScffAZ0768Py06Sfn4VHu9YrC5jNIresnYa1USey
+/vX4C3zjHFjn3MrnEt8h4JEkFMsUnrchbvgYU76Q25rL8qH4N9nfcJH3nDO2KosGmofl43i50fy
dpoRbQ4UZl4UPGGPN0SYQCWM5TotVBCh5vZN+/0IyJyLiyLa7j4vP4OVG+mxvVZRneuXSm4V33Cj
7ePDbCF83ifAU0522qQ/nvRANEFh2IpvZySCZhQTBXOXKHR1WXSHlFhPHcebTUxQgC0Nmx4AHAZo
BHZiL+kzwN6mPaSHUXHMMIS2X699IozDgstHV7dcS7X24rInx5x87WZzDtOTYr2iz2TaBOWCvdnq
ZTSODA2IYxXHKS0fwct6nlgPL+OM9eZpHy0iG1lzzplOJEdvuWdMExFafoyxj9xvD8d3bQHLvHho
uIRTtx9eVsV8A6CGiNeGMOX6bmTOGCLe+vjrUebjACp1tqrnzzUBc3CPum2jqWTx1X+MEg8p5Vax
Jq3lSt6MSc76WkM6A7TRjhGiFPic7udk2Nl29vCurGKkoC3zn/RD3MqZsVFsPm31AWvd8IRxcurD
+bkKWjBfdZ4+T7yJQQkpOCw6RUYFMFm314pmHuM8NCScKMznQ1rO3ZSsAERgox5xpD3hdR9N4Hzc
EhzzH1dXSnEM9bM0gOCSrt9QCoQOPRr0UaMuWkzlMWa1kIDgVnsmXesVn2PYcE0W7Qpo7gdZ9Jes
T46kzNONvPrU/eUufRuHnngFkanA60ayjKXqQ1bo5gUUG2tJncQr3da7vBSW+fgb3UPuGZWm96en
ap1AyuZ8p271uWGntrLhOPxp87linTFa+RypUpThQxJ0vKyddg68aQyGuMfVajVbnMiioOgsEv+L
OuxUqHQjA8ZyS2xVk9QEpEv7Gf1smKso3KpHwCt6O+781UTEf0OMMVUlmLWXthZHPuOHNvebwlJ1
Uol2om21hPNcncie3eoxY6KyMBOK02mkNlhtDj8o7l8XNdocd2NVlN53+zxBsljrAMMVQuzIhtWs
8bwwSIsKGyZ6xnkeIIZw3PxEG/gNbywQnVFh4/GsgtMz1uUCKC+EuJgmwjAbxo6t3D5SnXOtTTRc
3FJk3FARJckxOYOiigLSm+Mmc48jwcmL848VGIzfqYdzZqQdKJyoo3rY0bux7c0Czx1EPrxk5/Q9
eUWM8TbHmVrN1BzH1VJjURPZov53fPBgUFdwUy9zBCpQ3o6j6eDkiizjciIzi2UpAdmMLNdrDJMg
HnLmBiXkF1l1FE+9hRc6nx5vGIfnYgzGxaRYH5X2BQg/H5YISRxHgocpngSbuL9WNl6Vi71Acyu1
Younq+O5/XgtXPHMuJj4nNad0oF0QaIHzZIIJhZwmazQJmm/29Yeqb6d8Q+egNeuhl24kfVGjFw2
iIrjSBXO1s+sx7kbOO5GRlcVR3V5LDKuJo6S1FQauJrlUuusCgXisRL9T8YjboyQ3RpxVisjiQCs
70ev0V7+1FBDFV47stzxFPW7/fHOobHQuxdTEjQxmUFfopW6TTaYrV43z9VKoh/zcb8DeXzE/bja
yBjF32gE4fzK1t1X4PgfR+SP5ON/kzCbNovDThqa0V5lWyI4TpJY7gpTu5GtPN4nNdGadCtkxg+d
c1XSLg2EDAsViPjuzC+EkKMFdX26uJjR3H3xTORntfWWJOONWvR7pWKu4s1yctIt8GXFOfoZPEug
Ju2We+DuhNR8FVY1rwjx3Sl575wZhxTHoVqlZzCLzZMUm9Kts0AfHSQnG7cMCPp70bc81oPQJQs7
WtLl3ttbr68vCE0G63WDFqP70p9oF78VBeOosGauik4ibgFtXdofAl4uc8ltbQvZk4Z83ifGiwDZ
yoghnuqoryH35AuIpzYSbg6wsOZHV8qI/Ot1HFfUV0hmUM96Rz4YjvL+B4zSvSd9JiDSoqTJ+1jB
pfrxK+GtMpgoMN2KkvFK9ayYdWGHs41htgT4bPbm3b7PAOexgI0Jt1H7ZTgfL+IAz6eGS6ckCdZq
PEQWxkoElA0F0jUuHmHnx5jYpemJJH/imM4ooR8SBPqhJqLADoRK6Za+GDThMcbiE3+Zr9QP5RdQ
ozgUJsOSKwpM4FP1szN6AkAhiXZytmob2guWKpDn+5KcDiCv6DBuB4jSejQboIuihfqj7T68vEjW
2HyJWJX3YJ9WjStijMPJztjnPD63/LNJqtPW+GqzJ6x3Jpfcrv1+2aChloc+PhruvZNiPI1p9G1e
S5Dj8etQY/2MsGh4i6Km38pXbDHOo4riOpAyA5VcchhhsEb8isenpxEkiXNcPL1jghrxcg61uocA
l8ecDkuFDgal3CiVp3uMf8jlJMY2HH0MFw+YNbqIJP242IDHONKvzjMBZvTM7Uecpqkjo4JVgIrB
olaIsYmrSIlUzGzRdAtHiIvoq1viEeN9cgv+o/H8VIr/EGMHtyq1FYouiVW8KuiapljwQQ1iAbuC
S2nyisUegX+zxc5wlUYvyWF4VPG6wCCSSYoDF8dx+sV5RYNxFX2FFdaqHHynMN7aiKB5wpXJAuBE
qcvRv4mmBTj3K1qMuygGrLbtA9AyvTWdoS/LkecXO3vdNLxR8dm05f4RHeMs0BKCHVWyAA+IQxpL
U2/bdWOf5rS2HP/x8dE1rZO9clevzWoDFIvF1xcQArlzJtMv0CuOGQdyMYMoDCoopunk4xR5MHea
ubzkNRFOdPjdSpZxIslRaZo4CGEAy5YCKRoPtBGlI18iH4Ta0cLa59ZuR3lAW9ORzxV/jEuRujYN
Zj34ez6sD7rTrIfd5mlUH4v7OpryXmObD3Zliwrw7JkTbZu2nAVdqvr1AuXQAkuNkB4Rno9z5YBA
C8Hm55Lev97GX2QNHRs8sEJBRm5UYZENQrE8VVU2U31FK7BL7UguvDaeMZphKWDNIboEUX8DwDyj
HmoeBoUujjyRk0QqYr1Lv3l32GS4c02E0Y22iVLBaAsV8+mEvtXvyUa0Dsvsa33AeucZUj20X/0X
8LdTbvKaLKMailJowWkYya7PNDqOg/81pp4D/0xq6gIMyj5bCyjl5/1Dm8ySXNNl7h+laAah67PR
aerg9xssCZiSK/sJuHa8oGRKKa+JMeGqWBjnc5WdVH9oLKPcZMFieI9S16Q8RIpJS/tD6UfQeq7V
NsAyTojzgF7o2UuyWrRPQB/kcTSZprsmxESnbZaoUTMSSlAJAoKwg3w60H3dB0wxyI7KxzIaf/Cv
jQB9fPj7qyR6rBhnpRkPLCFAIkSXt/X1yUeh4AqQuXywALxNazxYQaaiB8PVUe7W0cZ1WkaPYUwo
5Unye+jzHmOMxxrisFFn2EXmI1d/WKtIVR8ETyzJYFLtl0W95xGrtl/gf+4Ok7ZPTwt7sF7yFE3Z
FuBteN8zedVfnyzjbWaz8tL2M3wPqk5OZhfu5bG1vVnHfRZMnSh24gK3CRUgrDhhTrQCHlxzyToQ
EnKyNg8y4GSdEPWBPc/YpwK/a0rMoSqtYJhxA0rDHuGzkFo6MZ0WngZtoHCnYyKbQJk4LmbK6q+p
Mgdryn2mX8qL6scm6ROaueIZqbPhAfWeEQ1LRvb3k1dvGX+TVSbsuTDQmKwC153tdGqxKv1c9arq
Hw4S4JYKNDwSiUSOatKTV1Y0ILaKTOzOarwsAF5o73KY5n0Ac6hYXoowUVZUH/2YwTt2D8t+64mR
FWbvimihv7bAJEFfurMjh/LkBXbNOnPIcXURhEsK1vOals+o0IqvprVaNUg9I9QguvtiieiLjHYD
bzv65AP3mjRz0kjIhloagfTpl2xfKl+R5xpa3ZsAfXAdlV+NV9O0xGCZoFs8XRSYKeNIfUrB9bGr
GIcuYbkiw7to5mB8iHQkogHqtV0/F4/hLkrJ01P3EqGu+Xmf3gTgm4m32R96DMNZhnmORge9ZXxC
fB5JlkZbEmAQ8PSCdmbkv3tnBVxmc6UCubSwI7fH6Jc3+weTbSZaDmVFkbHKcYzCbm+FsBMTFeB9
up9ibklUSKTvOkddnMfaSu91H7udMhA07vDsbMK2b+gy4UNW6VGA6TYdz3HgUgM041BipNX/GGBr
j8pc8X/lQP5dDG+L89oT5l86d1aM9wVMTFFie1yfy/iC0FNfMIb8gZnW3fNBWRyW9eIzdHqPc+hT
Wj5OBujYyYf9TZjZuZV1fwKuRoY2Mb9LHo6+TFHQ6ZeZM6ZxdvUyctXX+1r2jdXBOLMbggyLfZof
w7QVoGXo7cYmwsjaXujRE1tbeMrm74t9sNkvbBI9f9eX0DSAloEzAKsTzBBwPmW89JhPUbCuEzND
mM3EmhDmU2pssLyYXS34Rugkl4woum98VIJbHR9UzClJp0U3ey0GnajdV1Y4SbOLO3o0L+QonshJ
fi9PazWuSAwXmAIJ1EviVYcVcvm2Naz2MhfSxpINvxI20WCXgP39nfH6Raee1dcsfNdFrgKo/lT0
5xO2cfrSvv6aneeyGQHytzHXgWSfdsK8DKy28e/LbSpMvCHKhIn9oEmdkZWCL4i0QuzkxJ+CZKvL
AeGMYxFja0lr0X8S0cuy43VjTj2rb4gzd1EaZXqUmuA4b9BsvE9SkYYP2uyxP9GixNpg4VHOOWnv
ie5umMgfRWEhI8qZUSoX4yT4qmyVtRMYliRjLdzvdvkByODZ77KaN78C8ktXyaDAJ5axxLsMOLqq
MM55SAVMvsmQ+Uy2Ytn6/bgdS5Mn+yLYGCPFPgqPc8ijHG+MA1aBuSQDC0Oxxf4HtJnRGKIgVpfA
Dw3LWReb016xY0fXSYp64ca2WhsdPVa25Rjlt8beo8soV3UyYjWSQbeW5ueXaolFcgCRr62Zh0QK
9dciCmqpQ9zacf2cOm7oxgif42i+T21TQ/Nm7qbW7OG+NH4moL+lgWkbCALgTKybVMXiommBHPjl
s3kkRp2Q9gPFp48yo5W5F8SGaCdO7PNT0xmajHsy2nOQR8oMjdb6r9nS3KnW4okHefWzpHRL5EdG
swB2KCbvAh9JsszDpaeTw/JE28jWHhIXwzbGgx7YKhYnAxbIwQ2MIt8XYCTk4W9r+PglaK3HRml1
JuE/bm8is+zbVM41sDsLUPDffmxHQOm4pnmACZtFdOFo2s/sO0OQka9YqlWUtWrgXyrvfEazdfvZ
rPX1YFebTebDZTtHZAdlj0P3Z5x1S5fdtZG3pzyAxAN/mXwtD8mmIJmNZbHJW+C8JMexWQ5dBuPr
xXzY7dPdfsfR5UnL/iNonbEwIy1SaVYbgV+oRKzJWSRnW9hlD4hq4LDvE/s5PzIyi3lV7HE1NSwh
ZjJQTdiYZ1GJBH+puMEufshXgd2T2EZPk6UsABOOPlMsxQjdAfNAr1k71ucxy7X/uv8dP+Mc5juY
mBK7c42ikIQAcAJuUmJ5tS2vrIQe6dH5iu1zSb6Wmn2f5s9BWoYmo9FGJEhYFxwKPsWCSur8H2ff
teS6kUT5RYiAN68oWNqma/eC6L63Ce89vn4PejZmSBBLrCRpJMUogomqyspKc/JktzGiP2fDD9Wz
vVXbT55Tv0TDYter/u1gWZEufX312tcFXu6SZzuq8tSoYuI94MWYvod4YvJ6KG7ulk4PTwe9I68u
koDDudl77/GOJ+FKNttty6irSC8RSvKWsqo+g1VBVjmjaktdbbNW7fZTJpmInusKyqnxKWVkCdVb
RxOBW7cnl1GDDt32lP38EJhxaZOlK6DmROwyrh2NDvdmJZPbCuOHcMvhp9Q72FG9w6AL1KQ8FIj+
Phf2ELEpGDOE11KSRIw7xFDPe1kxLcWpIkLJhIr04KdL1pSMXqidcn4u5zHR+SsIHZIYbcfhVCeC
Kj+oi1wK4JCoWnysP5sQ6VVxL1y/WC3Sm4uFlL+0SCbwmEW6FzsFDTahlCLlibGeGVJm2Es+UDe5
IRpw2pdGLM0ZjnFsNwIy/I2FA3K/l2HXKmmQQlYzYjsOjWVwVnsJP8+jvVAB5sHoL/3Ev6V71KsA
q/nGtWnXNVnCF889/Xcfwt1/SCrnUp0m+JBcVPldoKxER2dJJx9q6U9F4lrN2oW5Bo/Zw3Gfb9Y+
ua5h1tPdEELk63rbadlfw/j83K7XaysDm125T3CLRbLvf85lrtYXPT4zY1Yg/8DznCwnaWdvEMpp
vMBhJjI6le43gGHSEAUYgTpHrl5n4K9a0+4+qzDU3KgVU46I2O38D6UjbWOWirGg6qORfLi/eEKQ
LgVoAv3HE+mZwnt13cKISqqzTdCj5BM30FqDBafv33ScCbJEcT67YByBiC5kluF+TcpNUJUEVBim
tYTptcy+wdbSabLkAzyUd/HzgoIkB0JPjGYWp3uaOW7X17V3YeUdQAYkDmwuPGTUu8iD/DYxKBLr
IugAHPc14T7kNTcQbHCfrQR2LQT6oDgL3ubsfUM/ucShsxyUBL8m52bRGFtfpD4wHZeBOniV3eUH
vr103VuJ7F5G5JSw+SvbVypXvjesFgyS3gzq8Bq0X5JEGvQoS26qcYOaRT9US3zFJ0NqtOJW4jRM
iS/8aslfHD2HqWKMQ8ExIp7HUNEplMaVMgdDtBv3whmSg1kI0TsvwWGsEnWoVT4lMqcnhZm7pEeI
Fr9E7oJL8euQTj8AhAoCZp2zIIiYYg6lqo3LKBe8S5yghvcig4Ffgx+X2O1XxWvt1wDmaa18HbIt
k39UGYgyRDDLS99pSgBdCfJAE4wYLAWGXJGaG3ObvJ5SX8Mxv8QKYVyVFo+8ovp60+u0oMeSgSGz
jOlsFJkoRhfa4ls2kGHn27WjogOdUbR05YmGgw71vw4SEedq6xCMHApilaPU2te8rxazv5y/z6/o
rLlSOIWXAWkatXriW3ll7Qi0I3oXKiDePleDd5bIK49EmgFGeIILpOnAIybqy57XIivU9Oy4Co0v
6cuSbEGrDMVq3cX0zswjKaFWBhaTMWYDl8nEcMesx0tuz+OODVsmU/2BZC+1RKtC4Vp5vm22fkyo
SE1PcqollCU4p6JTm2Mlkppful2PJgXfwmIKIdxgZPGnbnCPKlcy9IF/qdCZnNk9o0VfOOH8RwiM
PuzULDwXLmEZjRJWox/UqmXQqD1KCq6vs5FB2YpAklBnmreWWvIOH40REsz4A3cJfguq0fcmNs6C
PEzb2L94NvXuGanzUgYWfS0Reu+cXM3QVJ2qIfVn+InDz4DeKgGaBWiL/ccgaAXfwUOF0F6NsWTc
xF9Ou04sqrbwL1H/opxwfYRNfEGZoe4PVO2DxccofkRk4AeNls38JDUL7+5MZAaiGVRYmPGZw2S0
yUb4VDwUjEcFlxwAg4aUA0klkv6UzluqU/26zcEosmnUot7BXaWKY5cauau3spp+u/tQ2DoU3D6j
DPbBsSqIsJCEGJ26e3tz/3Wjjt1Y6KLzyoEbv65Cu65HAh8PE0zwsFXSo0OrTaU9v9czAbKEFwEV
AQ6TlEdml3uBeTHUfTV48SVgNxnmYXzRjl4HWk6v063jGDAx/pkuLIZTvUsakCFX3SUEw2OCE5O2
MTIcxDw0KmDM1A10kiKgGy5MLrWZYNrNi/MBiBesq9a+1XZ0od2FZ2Xmot7Jm6hALGLIthNAXkJf
FTx3QE4+39VHf2ZcEA/fHZ6UiAHi95vaxQkjuUqSXMBe6WIg8LX9/v/oThu9oomu3EmZ6ArjoKtS
dIvk0sh2fejWnFGtlRWS1W5hpRq/puqFuzPqwlQgp8gShiAA0cJOkwrAe1QUx3npxSmulWd01WuT
bp7v3EzoCC7RGxnjom8uQOqPs3FzyMjs94pV6WAtnimTXhc9qlLPZc2dEo/gCuZa4gVJmeyfo8Qu
WzVVeoEvUfc6sl0JeMdLnXmlFjsJ587qVtbkmmVNHkTCUKYX6U9bwO6o9NrzNmHwSlV78b2sSdkY
Uao/X+BMnhWOJ/xbEZ3/eJV+mShuNjOocy5RfCm7eJgpP8CBkN7DxG4oA2OHPW7TlFoc6vQLd82j
QUU+uwrPbm1RB1fZUMKnzwQqy6i5a8mAY7WqEGhsTKLEkqT3inqtS3sodbm0Gx/ZllUPzwQtej38
xICk9clZypU+ah9ylHi8xmsFd3oaD2cJ13h+2+YXz9cE4TNNtny9EIg8Wl+IQA4BGQSRRcQ9uqM3
+xUlpUM5ypBfwPatdt2pAMzAP9KtYPV2chCPz4/nseSgyCB440SwS8FvQObiXhzQcFxP02V+QTK0
qVWJIY3tFaZX70S71IojcxTQmK2EIfzNv2JuUkuXbbRD9xcaH4DbrCB7B39lSnsRBHEbM36H9XYA
24ESzUX6H8jhVm22TkmUl9rK+IUX55HTa1z1jdBJalLqWhroTQjddmf28m18B6do0KI1A8aZVYXG
DkMnkgmSk5Ngk6Cxnm/63BErYzSBe4+5Y9NLn5WNwzFtlV+EQcscte1kM+yAKlYULfnyKyKUNHku
8ZeJ+WGXRRaLBgEIA97A+2OOFK5y8rrHjCaN64wUdcUkYVSG1eVr/lqDqihXFT2hiENrUaIzvlGn
asuT4Qicjeqve5EkqLx95QFyuGyvwTOL0GpUYGiQR4qIDC4pX7qfJCMdICO1nYH91if1sO08q4gt
8ZstSUNZeaZniE0WmbMeZw8gkBxJ57AwCSRtUyViOtaXh0YoLh6n0lVEouItiImbG0XYE6799FOT
dl4Vzwg/euHY8RrfnrgfFJkEAaT9JFHA4GZwsq7EVoDyTgnAdWE3gFGxGo1QFKUwyVI6zZPWNaOl
ioH/U0A++/kh/TbfTQ7pbhUTrWTyKBNpQSwuaGn3FU0C4EjacmDlGjbldfgGWgIlIMdMfjAL3P0Y
ZDsIDEYynZ5IslUGJBxWLG32Wi9qQWW1iakMLxG94Sk9zYzCId5R4Pbpi/TpH7lM97k3t8VESRSW
e93d838qR5fSDWYkOm8dtS5MTlyJykFCUPeTB2YRa5T/GipmGe5DxhgoywkNViDFLkXMne36INPD
Jie8pw4mGiU8/Iq3ogQ1EAkH8Zsy1+nCYBrSty/ed+1pucIilYO/XlpgXz1hYTsfezsnSjG+hzeW
1K9KTixkvriwq8DeUu/72oxzNUIuzaQ1kHd6qgjXVh1+MozsRfSqJ2Zh+sZS+V8Yj216rCKaBuBd
ggiF+Y0Gbr4jbygPxGRyceH27VX6k+7yXWV7BgMSCPccb4wEs2b2PRmMcOeq0lYwgx0mqCI9f4nU
NwK2S4wkojGDDL2GNHnFLN+LJZis4e+DhehxJgUpM7dfOgmM+iLlwpKSigstlSQpr2O7tnhKjoKJ
Uw0Nb0neo/dzL2+SXs6zjuMKFzvD7AujRL1mnFg7gBZE1jzDsR2D2fH7CLOL6wULPFOmuZM8LUdy
CS3GsBnQjUP46q4b4Th88NtWJmWpivXH0NvwO1ItCFepANVgT8+vOjvz6t3uNDe56m0oOlB/7LRi
scR3SYekM9BA7y5uguobqMlpnJ2uEyJ8OKRcpXq65uwRnPL8O/4fuimCTBbNYCDmm5yAgEpoG8fj
d6zzL/FQkm6daMVgsCKizzWuCz3Oe4zsLFHrK/2WvXS5liPRsqv+0gFR/khWHMeqsMrNtNGDUHVU
qlSVnFBgNqqNUWvCfXumGLMdNg6ptFhrdi6r1t/BoYERWYWaIy2sacZ9x9lKHDAFQFOw0m8p+ua+
MW0fKbHkl5e+1bwOzuNVTBUiJ5FVsxuazkmQU7tC+sdRM6TCh0JOQVaQfJmcqEw3seALDnSZ151I
rV+7zlOlT2/tNidxidF1pto0SpOQppYRNEu/tu9mjTnPApJDBeXFQ3an/PEq1hCrbZG+ARjEZ9YQ
/BEaX60408fEgpokEbvgUcxe3ZsPmOTiAq/2WjoNywsf2hFAonC77Sq05XLdLViJmbTf/VonVkkc
ksLjZKyVXm2pfXAeDPprD+ogkcRWNbayIeNXjW375K0GlU9sI1ZTI5KQSv/K1Ny4RraFyQl4qohr
LEVVMxHB3UFMLhA6Brk+5sePC20ms+KAV8Xu+PyWPhJG4SWTkF5EQIDelIdbKiYi0p6V+6vRQfmR
C+dIsIR9HIJ/VbqI/TqvTSozJDAJUUBMbPMKeVq96j468CL2Ju3vn3/QTMZm/CAJMR0+BxWbMdN3
q36yG/WNiNOX8ITX3q4zWvh98JoqzAClNgNG+Ag0kRWAeFTKeYmI8DdaJUsAzjkdRGgJVkYR9w7M
yvdfAbSymOVCBR0EZ3+dG473OqR/nBIAA6dbiFPmZKGPVpKkcVwwP81d5lkYtq3oVRfgsas/cGQo
ZLiRLET9AZnvhe1lZzwGeUSmAqQiwamdxICeVDZdOuTVhWvXMvMuXylwDksSyH/U0DU5oSSyq+dl
uGLDhfTKXDzI3Iqe3GtGzOLMT7LqUvxhvkOOI1yv8QJJKxnkUT4p1ZrX0pMomN2u5H2SAGWQFmt5
KdCeKQEDEXazBZNLnyZtiqHGZXXBZGH7HJwEmLkPyTzJSBbvJY1duGKzBvVW3uQeN3zmZjQDeQ69
wrDBkN3mmDGbBai4HKrWlmvChCrNEKmxpLPSLFjTWc9LYbgRd//7gExOXOEGJ6WqurrUMQoq2Trj
dT4nTrfNKkEvlICUDNoActURzwu6Nv7y1Du9lTw58D6pRaZEi9ElKFu1TuAUSzGJB92lUQn8CUtt
qL6S/E/cn8p6zSq227/FFek+nn/GIwPMWAqEh8zBptA09+sw3ViUkPE6IZKwAT2c4BewoPMam5B8
2weqcsk+r/LuIKCG4xsMuQh2vJb1QK/V0hJsdukKjCt+2BGU2XhkgkfWyvF23nyKF/o1l6cw6U34
2W+bXEeaUR4zI32LYZrDF5WuQ96WPOK/M3u51dLMer4Zv97fwxeAdRQJAhmvuzQ5E3Ycu86WcXlh
3lNdeGmREKzYSOVpnfbXiFMAcSpN4IXLzujX4BYxnQgl+eCnQrS1KgrUwfx3DNzdei4ROiL5JuCD
TXt4/pVzFhE5vf9+5OSGZk7OKoGAbSpStc+Jj9c1XucZyrQugdf4XNhja9WoHwqLyQegssexTNwr
gYkx37Qs8AQSEGSJqj2gXwCBpta/h+fe9nSk/hbqVbM340bkRA9qKQnBXlWWlypENhGBq+fskkAL
pIVgYKaAeL+2MVi4UbiiDlLMHv9dmwKqkWxToy2O05C119EXYYO5dMOB6CzSE1BKP9/X2UMcEb2/
Le0ghrwXHSVRI2V1U17kFbNv3YgUA6QE9T6SFh7Q8TF+0OkbSZMDZIY2UyIPkqoERPJtQgmGW+Zv
z5czU8YZt/J/65mcmcsFTMODTO2ClNqF+havQW4lwHBwGzFR6dT2tqWzkEyc8QDBVc8zjMgoAou5
HPdbWLe+y0uNAHrqytMD2MYw+xC4BR35DUgn23cnZWISaqeTfZBklZd21RNer3/ykQs702or1yst
enHX3HeHpBxDaKMhPv7OkdZudNru0Afb7cLTEkJ+RnWgNSD0HatlMnrw7tetFAIytwFVXqL2zZcw
ars5NGhL9Q0OMXTbdP9mm2/ETfSn9b0oHyinvOTJT51iuIr8nYX+wnWYPUseDUHjcYqYs3K/Jnjg
wVBhNO+lVkjoXGMO3RThEiB4Tggjy3hZaAYJfmFylBnT1VQfBPXFdXSXx8TcCmTnS21lswoD2A/a
uVB+YeXpG0IVIk/BU6wvhRbZncZo/I8HDtIBbakF2iR12fZJbMv70EbI6B3BMg56Q8LtAa3QeYvV
CvX6/G7OIH8A8Ueen0aqAVXeaR5MaR1ZydO0vjCJmpv5hfmma83VFVIaFXJcEkFSGg3HPA0aD03Y
rNF4JRk8WTdoDOvUfB0tPfRzGnz7QZPTlsJBqRM+qS8Sc/RFkkZrql35oa/Jgeryrgo4GtIZRiyr
LNeuhnfWFDFs41XsF0zj3AOAAUYK2uJQABEfApmO6Qq5aYr6so5RaAd3mN3sB0s69vse3dBIrkd6
rDYbLVsx22LhGZ+xy3eyR229eXwcLpebkMapdCiqD8y26tKFt3vU56npwsikEeiG6SWSNLHJ/cCX
WTzU9YWLATTrtlW2dmorKl94x1hQsdEI3IpSRhwOehhR4wCKD/9yvxi/YWSp5t324rZa9Q44EyBZ
JoAVCcgft2jk7Dcu2Ghk0moWCovPhT/knVB/4NG3AWQSUKSyNEWtDl3KD1mUN+c0sN8HXLHq29mD
7LvdpAuvwVRxfyWJqBJiKAtyQNMpn01UO2kUsPW5jlS2jVdZS2+9AJPEvOoQ9DaQswsbO1WS/wgE
WeEIm0Hz3sRkiT7NBlUh12eKRT4YfYMNXy7Y91kRI24cpXdgcqagHIwSj5JQ8ZtzFKPSy3pofvmH
xv13EWg+BPxIUFAIn4R4ouJRSewXzZkZRINSXnIuVF03X1jHQ9lhFAMICY5m7HOkFe5eB2uxZpph
FFNoollsZFNeyav2VV65FqMlGqVLuo+ZNrnNEMVM7WxX257Fqi3s3YJCTh+a8UuAluNpHmUxsH5P
FswMcjnAWWrOKLT4FiIqGXQEakxhXNLaoy16w6Z2/Z2uS1Q//rloWUFeBkMskJjBd0w2gY4CuVDC
7iyikuDr/TbFdPhgVx9D/iSUZ762G3Yrsi9Cogc7MO0tyJ+aHKxcBrYK6VEOjzhmF03EK5mXB2ne
nX3fIzkF3KN8QTWq5O1SWohcufE8723OKItDYwdwHMCHTs5bbnmqdd0asiRaxdOqBAe+2fIo1lHo
aYY9R/VLamItQAQnSmbMe6Sp/jqlLnKF2hdvXrkKs9e2XEfodefWIWOmie4EalYRkVkBhntiqpWY
6kwItGPOL709jybz/vMnJyUUTksVEraqkmwWPbCMioqfewyVaxSqCqdGCok+/412MADV8gBTQEEn
iul7vBN6XtOdQ1mrSqvUuXqdrZsVy+vZW8qcevAkKXYT7oSPGujAfyMdU2YQXMMTUaaOK3r9K4ke
qu5cF0e+q0mB/uPeUXGdVQewR45R2cxK5AJ5GJsKdCYlafvKyN3Cd4wbe683Cnqh8STCSsDb5Cc6
KgIxg8Cyo890FlIkY/kYvmafLBiBMfq4kwIEB4DWYPyn0SeCKuT9TchTluo7tGSfIzlUuWjb90ZL
vzCB/nxTH3p1cdsgBzX4Xzmw4vdyoEZO6OM/n7u9ckoLtVx1dklQDj47G5lSC1dtVvFm89Ha/dpb
+cyCbX94EX/FS3h4AaQaU6b34hupwWS9FOKFjdtt/VbP/I+GQTmRGQG5w8JqH8qHv6vl4cXCvgo8
EJz34vpa7BCNQByTnXPGknKrTPSYwxymQPVLiVRDZnkYolzG2Tao6y8/L78w/4oEvZkvmfnZEwZu
UhShSAjkJzvPDWGSMuO3dAXIi7vIHIJtQb2E3OKqx02c6hLgkZzIos8O5n2yyYOQ8yic+sxZKHW+
PyRnPiEydYyP7Fjf9xDDFL3m1vuOYlSAmLQwjBdc9rljRiMSsDMschWgE7jfd1F2MqnNIuYctddB
MavowNYQSYN9PjoLOb3g9jxkJcdzxr7KaArBnAHx4RlL+yTsHIkG0SD4UNTXNSbYfO739tluQE29
eas1gL3Vk4cmSuvw+vxKzZ3rrezJbsdcySquN97cbleXr8U6B+i/GsznUh7web9LlAXA2uDcjTWm
+y2tg9hvKylhzlusDeyQvIk4B+PtVCMlJsj+TTMEQ7R9ZtRQH1Sw2V04HX99jV33vXpdpBB6CFz/
80HwocDqg6OeoqMayQmiXHTos9aAUjkl58/t5/v7NiQDqY3WzLVoV5hr63Ta7Q5g23p7vh8PhYdR
PGwYppIqMkYfPnTNtgAjd2HJnKVSLy8x6BoisSAc8u9BkmPcIaey8CAPzfARS8lKeVkQP3fHJCDy
8CiCrO2BgyvuGxeuZcGcOaQ0I8C7C6vwIuCVDkrz2bUxGpUvHSvolYBhhaHGtec8HiehPf+M0WZM
b/rIHcvCunE8gAH3SiGhLSn0+I45s6KRRnreoqr9lb2yodG0Fx/OzHNxvyX5qTxA8WHE0EKJat7E
hhW1IJdZyDBnMd2FDKagmkOn4DXeYT581aIDYBAsLtI6x1AcrcwuwSuPiXdiaHbimYtV0d2IAukw
fCgYdLohmA8XF9/AdkV22m2HMlH7WM+WBv891IxGVYFzicOCRUL8zt7vUt9VYPYocHXgK3jvw9pH
UYy3GDBsna5gQny+RzOKIaESCFzyOP33gUAFuLcwojCT9sy9A5kODuqf578/c+R3vz85gkF084Tz
K3Co/0X6Q0Cvrt2sZcG0not58MzHGur/ljH1RxSUVoKmxzI+EYNovVYv3N+FbZoCa2Kpd/Ocwu8z
mqMpW+bj+ec/FOpw5nffPznzSugbWmzw+yM/pIT/tTt+1diq55N0QdbMA3AnahJYKFybSZkCUc72
29eFbXB4vpalrRod1JvMT+Y7AtePv89ePQO1+sU+myUB43+/EeD3YV0Lo0qFKvrR1GEjo91Iqzfo
u7+OvAPLrHALSvxL2XojcXC8pAV2jcf4oRJT3hR1z6iIwAAO+QMsnd4b3c66LoGoZpySu3MaVf5G
KFoUuSKOsUwMrxAJ9WXJx7/PT2ruUYKNQXoJ6UFETNMYM6TEMuzG4VlbepucGJKuGrV+CTBEbt0u
VL1mLuidqIlWBL7fSXzSY5TbR7iWdN5X2fUS0eqSjIliKA2yFR4HGXROSqJ6u3ppw8YHavKgyIiu
EBCg8wUx+eTueJFEV1TEjKoHRB0BaMAERW2vLsl5iJ7HFrIbOZPdwiQIlqfwjJ5dlK35L9u1OTN8
AYR2t8TyMP7SsxVN9owKM6dIfKwIbPzOQig6ex43q5j4gAiQhDQM8NtxqQIb224W80FL+zS5I3wq
FFk5zlM6Y67rEdBx3uDQV5Acly7jjAW4O5Dxst5cRhGw9mLwIGjtHo3vkHB6qy04RzP3/U7E+Ak3
IlwB3QoBBW5/cbV1147W6K1NLzyTM7b/VsYUYBWAHVUMQIV49o+1Gb0q2tJYzlkBcLFBNQQfW5q6
uVLgsg6AVXAnVEZzAXx+brGWfn4SIGNmUZbyMX6+vAYvqTn0GI3+XMKc9wXs2f9WMHmJZYdhKwcG
YGzYT1Vo1bFTf1aKebKihQNfWszEmEh9mjQdMp1nTUD2pCbpeWEps7cDA2ZReUQ/yEOSJgpjr6kZ
8NmDwzVVffWn1NjFuW4zr/GY/P6vkMmRVEmfN1ELIZ6W6co/TiOOhvDm1yenQUu5kPc1fj1FpMwS
A3Q7AoZULXnBDwV++F93ciZn4QZ+E5YJ+N01TAU+vCa2YDAW0y6SIc/akZv1TAx7O3AtjBbWM/ou
MSbCnzNTWzj2WbN7I2Ni0nEedOoHWMvrK9LyQH7AX8Es78pV2c3hcFiCqj5g+6Z7N+r5jeFSRL9y
OrzuZ9+yt9KRXE6YkbR+32mby/X50mZN5M3KJuY+HbKi9UMFruUhMnh7M4DDbWk5S7s3sfS8F6aB
XGE1gV2q/mZ1PTxfw5yrf6dqEzvfoy0ZY3RxPNu1u0vs8/lYge9BXRAzr2gKyM9ADckCh39/KEMo
J0UlCONk0gTdkT9ojLmkSyx7c0IYAWU1PPJglZui6xqwjARy6oFYl8hmrzOIjMACoBYLfsScobwV
M700GTrM+hoTEWTTtxCrm+4C8HhOr24FTG6MU7oSVQ0QABTMNb+w73+CVb90Lees8a2QyTVx0rbq
OxpC6AjzGEuVO6S2uGdWrlZa6b94529lTS5KkIPrSOwgizWZjWOl9pI7P38kqAFKqIUBeTGx+uA9
Aqtzh/keg4I+UpW3gwE+0cJNmVMvEF8IyCAig6P8tufdGJZKbIKwcDgOEdA7pxVvyRrZGJIR5ERh
xdYYi/r6byQi5yIDe470+zTfP9BuX6UYq3D21XSruqu0M7tVsyMWkIcHQftLGTXp9kun9TADY7Sg
YOr5r9iJavSpEzhUIHOYRaEJtBqcErS+gd1Oux7A73a9ovMQf5aWDGyqAE6zJe/2Nxs7jQJuP2Ci
LzRmojZSig/ATg8GnsDX10oLt5Kuvrwcj8zudPV0T79af5/vNzs+3w9yR4gKumbHrpPJzU4ap43p
LBifQ0hGb2V8EcGZm4GaebUjOoPjds4B6nXAEKuLq56L5n5BKv9X+uTaCw3rBxUL6a+vkL42mJA4
tmi75scKbXIncN76WmIuAdxmfY1bsZPTxlQLphJLiHVACyb/TVYYWDpOcHm+t7OX52ZrJ0fa+RlP
uwWk0KK2H1lIOxVhJOMtOLGzOYTb1UzeS6msaipqIKdcgRMxVbftsd4KkQZs1eHvgg3l5x7nW2GT
Vy2swooSIgjjt2OirI1UznJelOM3GMY+Wz14czS462PHd4cVN+tYfEmZkYM5I36GIU6VSr0kP6AA
dbXTdXX5uqDUsPDwCqOr+KDTqL+iDIwCjyBOTGPltKIQyu1/XLz398iWkKSSVNkc+UA7azyKs23z
Lz0DCDpNwlhX//wJQVaOMcCFlekV4JalFugy1H9l/b2OCS3XSMg1M6/Xv4s2b974IPkPSIMARMcU
hMOxbpT2MZJApc4esk2HYTjn1PQM762wjdIsVdd2/iQmR1b+HvyKWqqhZdt+rqwPOOxfC3jzERMt
Cro4DYcIH8Htow2HZtboFG/Di7LNIc01vHX+skStONqWh3MCSAE1R3S7IUS695DyViq4LB+Q0s2a
jIzEUASOVLZwDWfdPY7haPhgGEcFOsB7MVkrp2jiyzE56h3Nr/ZgtzzgGRrAVfqC5s064reiJoaF
bSlOjKWUPwOiNtjCW2J7hMlN5fMqBQBhsipodq6y4WriAvXRnP90K3hiaxoZhKzckPHnYuPruH1E
RMPAkkF7BMJhAhceKRbgNIUGFmoSoxVl4AN7JA3nrMxVoX8LqlMfmDkvmG9dBGgyU6h8slSymlka
2oVQ/wYAD/+cQneTju+Dpmro81oR9NJ0/oA2KN0vMXTPvER3UiZ2LeKrrGERt50D4ep+UTVpMOVl
MKLub/+3Al2F5C1WmR6fXtz2sRcFrMWCwEqTGxfGTSRxCEfPGcaNOBFnKMNr6aHWjnY7NyFZU5wA
ti554ggXjzUW7vvjgu+lTxacVXnd5Q3TnulGG9D9kFec4aS+mvF2VvFElKwiZNegZFqQ+/iAQK4s
gMqMAxsjzU8cjjbqa7mXU8CSeiNqVpRUqkM6ALWZ6Xy48/proRiBC/qwbi0ImNmhSEdAec0qJU7z
t6oX3rMZVwCfAxLAsaMYONbft+TGw+Vdl5VCpejO0p+SPwzFIR+slPpsrmID2oUT3tDaWqKHnDET
90Ine+Dz8HsZHtAsiq50mSn1olabbpNLGE4ZWH3/TlWgCbLltP1OtT7YtwxoCSlfHZKvnt9WyWXh
TMYH8d4Q33/PxELSedP60P7uPORan6ylEA9jqosJmj0PLvPSq2yQaos4qV/f8lEsSGpAn4AU07T1
cojaNGeatjvTK9YlEn+Uys50WcEss89A/uAkIxfjXRCBk/+koB+xS7dZaYeDzTVbLiJx/tIxrVp5
Z643RX4v+/mCazWu+9kHTs6p8dDSVtJAAAYt954plGf6tbemEnZYuI0PjcBAxkIN/7cVkxOQwt6j
QOfZnd3iNXROEviekQVFH36YGZR4ltA82GscYE/YgnhV5IR1tlR5DJhDEZ0Y1qDdjwWdmLNOEmB8
aJhAMRwNa/evpuAPmcy5THdWIl/u9CTOQuLyIf+l9PJgJEL+UwEbvi+E3NFppltTAVCSKGN/tZEc
LyQhR1t0cw5ocwBv/thRASI5jLr7RRncXlKv9MoiLapNFBlCbn32oelYJfpgeN3/hznhX1noVwRu
BkAkQIqn68agya53qnoT0pQaMQpREoXEBu/2C8o1Ks9kUbB/gISAgHTM4EweU6cr0ZTCsPWmqptX
V+5jQ1EobkGIMrN14LwVsYPYubHt+P4Y65FOwK3LYVMIKdUQkesjdB0kDf8dOVFWaUJAJdyuw5C/
aB2gd+WocJ6smGEjRtI2dVK0scgFJw8qr2C0G16jTvzL/R/Szqs3bqRp27+IAHM4JScoUJIl27LX
J4TlwJwzf/13tT/gXQ1nMIT3We+erGAVu7u6usJdd3WVUe0Dw4q/2UaifCoDWYFmaHI6evbbXn/U
xjHtd7Wk1C95U9Dd2lWl81pOkfa7nMv6h9GpyxNA4vRTkarNc9bN0j4LA6ab6JZWfRzUadDcXiuz
clct/fiSzH3+RE8SjI6J5Uj9ftDG+odalOlbPgfxpySIssI1iqp8DtJFz7xqMcwHrZLraD8PkAx4
dRNHX6NUlamxDVSSaaMf54O6tINzBBGXQaQ6lGn8SS+LqARO6cwPjd5I+iGKVekOXI72ZgaJDGdx
2WkyfKxx9jzk0lI8FrHEEJpFnsNuH5FUhKEgh2w4lOP062IN5bfRaq3bRK7nr9jBFIqNpC9KTysa
+3uRZFm9b/NygLcT5H+8z5jV9TGs1UGmNZWet11uKHXidV3B05xFXZu7da+anyFynPp9WyQl+FYa
575HcWmkN/000y0Q9FDwDnJS53C21l25c1oC3n1aJ07gwqY0/hMXYbnc9uyd6RrDyNyXeQrzLezm
OlgUd4kuVzF3k2HVkC8KG/Pu3sZqErXqOI0+RMnF5CnzULZkWs0xOsiLM2a7AKPx0jcl7GB55sQf
u7KzYjZEYyLu0JcchVI7A7M7ZiX/HlQZ2CErhUxSZUAKmEwFckd2xdDNnVqZ9rDPYNtNvcqMc4Bu
qdU92KlF4iieoRnwAs0SNEY8Rg+w2uX7plrqH32wNPXOUZbul1SFRborBjuGS3aESVAgs6N72hsx
yHGeSzdKn+X9gSb+Zjp2TgNCUcuyqXDBb1ovUzvK8k6ajRAC9WmZmQlutOFSuRDlWTTUN409b3j9
4vKuTAiNRWSXRW8MtHIrE5LMQxUV5jz6o1l53Xg0tegw1L+kbAtsvM4xiJOEAoWEnAJ9oq6tQ1Rb
olDWy+Hk20movCySObmO05oHyKFk3oYaMG4/dYlbFzZBNrxIuz6wpENpzTXtjA4cp3qdbDUDXLCg
cAkY5L1h7MN5W7mwkzalZqfnk6+RnfY0ixF+mWn+vv4QrvxVVk5kyvbSAkr7ESxdpzo89X1b9rG+
+KZlHBiF6kVWd9e3JtmP+RcjejcM9iVxoq8Cb9R0LHWNYV8Wc9DLJZT9EmTwUx/ojMypUN68mYcP
Zb5YnsYA+v31NZ7rEU+QKFMQidB8tH4kMru1xnaSFj+uEmdv9H1+w3vb3/Gcl7uShpiNIEC8oad6
K+RxZMSQDPawVno7tFPJoUayHyWx5YWhXj04gzRQhR2kjcBuFT3+OT46OGQZE02njLxy4ayRBF2j
JrIvG8F8a5jFd7Wzx+MUQ72gB8vyWJhK52WKVB+u7+mFKyNo0OkG5YUX2XMRgL0zfrLEnLJS1RZ/
mmrPqdW9bA83Y+880xXuzTp8l9OnoQP9qt3GZctMsIXRW1WwBQZbZ5bFDgjqXSpNVP3J866+A5+z
dYauUHzo+WVvKHGvXGs0B8ZlFFAgMDkQUv7G9DCVEMQvMZmYZKA5Mu5T/soUuvk4/KpjS/d6pSvu
816WHmR5WT53Y0sDdpQ3O4oR2W3RTM5NUUfVRwrSnTsXc3Ao8qR+tMOy+3h9c89vPmsSFFCag1ND
++Fqb6tYrVq1l31tmh8rtf7SVZr+90pqoqYO20Z4QqHlVEY1xw2jZ5bJX8Kue1CZKLVDn+M3S+2d
m+vLOb8PIL/IBSjgP8mqrHsscm2Iy0irVL9Ma911jG6+afMl9/SpmzbuwyVR5MFIpsGfxYux3rnC
LJMJ78EnmWKOXhscgR5fX825y8mWiWoKHcECbb0yy4zLi0Sso/mNHNf3atfSrjkY5ksB8v0ejwB8
b29ChjmZoecsM3Pjr8tfx/RovPgAWuPEvzAZrZJhjZM1hkbVylemg5GOsxs4zHtI3yRd3znzvoXU
Rl/gf5HHwxCWXjHf/pcPgKadpCbJTUacn6qOnduak5tiB/R810/hnpG2XibXd5a+vCry51qpbwtL
8xPJfpLH1h3idsOiXzhmXC/CN+RbYkD46RfUPfLnQcHslfnwuVH08i6xMluH6iIgS3d9vRcOXHgH
tMqJ66L9SXe8s3SjZiVdoneyn8taU+KiL0z9GnT9YKXt+DpKcbBv1SE9FBb1JW0htXBd/vnzRVuu
puFHiJE5oMxPF2tHkxSgTTKcw4pzb8zxsEfLW3xaM/tWFNJfdukK/VL/EPoolCht2BtO5QWKJC+1
Y8h+XCTmjaUUxV0Y2NnBDtXhQ5YG+aMUjOQjSqveSjCLpZy+nOwv+6zqJGIFZ+ipaDUL7NEeWGqm
Rl5QOs9zMr+WguqzH+lRcp6jMvrUJvSW61uZu/OXVIi2bcJJ8aCtX1LIMKLJhv3Lr+VCOAXk4/4p
E183Uxc4sxe3x+unus42i20+ESh0/J1aaTEzy/UegU49ulL9T2qnh1bLn5ij6ELMdhdH8V1RQ6k/
WsqG7AvXByYak/PFFyMgUE9FL2mmRaZUq76Z2/lOTUOFKtGQo9VGuiHq/CnTdUs36b4WZXayDqei
ZhpZgc4Xqn9g9MmGM7lOK4ktfP/L129YXNHPRsSv+lNZEoS7xdTf2YX5sATZTzluHzvaEqW0vq3q
+GVcor36No7Dl8RpYYmS9kFKL5AMzDr5rdZQyY7mh+tHfOHi6rjueGXC6eQJPF27PZtWlUyd6hsa
vbNm6cX1t6QYvRSqo+uShMlf3ZsTSStd6pcwD4oRSVa0rySofihDRtn95+tSttazup2AvkyGAo6q
n6bDTh4eOrM7BMZt5WzNlLooiJwhFp6SDCTzpxsHO57TTkGj+kXrPI7Nt6SrDvZo0BW5ARq/JIgH
lMkesJrQH7hyF4xkmmiPtlU/S7JdYX4vK/NG08a9lFobunrpHhBaEstRuQXXvTKqTmDBtaOHmm8k
XXETWvln/Igtgu4LrgGjdlgPdAQwkjEX7HTjFAD3Spiliq+1QeiNdj/etpkSLm5jqj2D0Y1lbzI2
6aaxxZAVRhvvZ9xQ+GOd7rOjW8PG9p4vmpKWsOTUqnk3135sF0n6EDWp7LeturhDu7RHilDp7rpa
nlszRhMzWIHoDip4iBVPF52mFq8nB+nnQ3K7mMFD1/W3obnhWZ6/DziwmEqN4Q1kJdbsN92cS6kc
LYqfqrCaMe64rgyyeMs9s8i+wyn2rG0RiJ4rJ2UzxuVBcc+ABezn6bpy3Rmdgfy1rxfF8qxAv75L
i8C8s81+8aXR3OL3uXBaVOc1HDtqoKxydeskEj52uTS4dZ1a3EelySwXM6In+vpxnYsxKYsRi4uR
OiBzVu5M0lBAjuVJ98tcZ7iRnrbHsQz//r4BHMNNB+pKZRW9ON28TGrSIWqREuk5eKaJjE7Z5/bG
rT5XPaQIXk1slKA1Wd23xcqLYOo03benoPYJHeEGwml9rtt2C6x2buJRY6SJgVq006y9sjZXljjJ
EsOXqi45GlXOiyUX8k2eqdqREvL8Gkn91ut9aX2ic493liw7hFmnu0gLcZAXZWf4caPTPRn1ScKk
WzLMuqu3ZWj8tWrQAg+jMzYfI0lwcyquLOa+Wsba8Je8Njx7WPpD33ZbpDCXFiUGpRCKki84Y2xx
qnRYavoLfCss3HJ5clIYThJ1wypdOi+id8g1uEqqum61z3UYMNUuN/3YjhkiMOjZrZlp440dlNGN
01EMgMAo3F+/WxeWRmOBIOOkomTQCbzaQN2cBqfXDT81q2FnRxFV5nSs3Flxug1RF/xXUBKCbpLV
CQqR1WFps5E2euAYfm1b2bHMZ+keJhzzxlSa3u+tJrwtsqi/mSVT8/RRTe7zaVY2MRvihp16PkwS
laEK00lkwk62uoHxNITyEBSm78gFUcF01+nhXi/+MTOY8xS3VGBYNqlcuFr+0doMGi7tN+85pElQ
GJB3ED9/58NXjSOHwSIbfpRaNPG20bTTI6aS4XtXG/t9URSxNrVCCGaJUU5FhZNkSX1vm75t0lx/
b2jtNH5I5jhj0ro0TNpGTfLcSjPOhYS4Dm2SqVtrLEyeZVGtM4jAl0omMTeZ1f6qpkDeiA7OFyWk
4B0Y1ArxWVYeZbuYEtZVNn21sZvv6uBoh0yj3OXGabuFhbi4Ivw8Fe4UTOia6Ly0APZlEvyQTheN
cI1q7cgARubR6huPwkVBkFpQzIXJCxaG05NSatso2oGT4rEuXrPAym8YFV9tUEqsmUsIfsTrJsjJ
/qA77BUMsE0o+JRmHPhG6JRfnSp3XMjGpadmbIa7fjTk+3BalLtikuZ9Au/8IU3k/Njmef9SK9mt
niSZJ6cBY5WTOjja0qB/k4E/fkmquXqyotHcDU2X/rQoLW6Y+QunzhRN2kI5CojP1vMQrbEh9I/b
wLfyMPDKkHSqmRsfjWwTEn+eT+By/pknCFySvMLK6+6tiQqsoQZ+x/PF3Bg5ir6avNVQkhZS/KMu
zfoT41NrpsuYQ8SkyXQsX4fUULaWvMYfitPCQcUdRiMoia+LOWWmwp+XRLYf2EmyqxJ5+tRIkdPt
7DA91IkV3AxM396lOW5dA7PRvpuDxzh3mqcxGtOHLLVf9SbR7jMM/0aYeuE4cF/wx+jRRWHXE9dk
pR+crg9t3+7N+ZMZUpYs87B6Xki2bFyN80eRaI4pj0zvhciIJr7Tq9H1IstVVOnD6OSemf/Q6Blq
enpdmaH4t0Ov2HKHzmMoiqDuAx25ZpKctbDtjdLKH0r70XQaV1ngsfr2tw+uKDmQHSSLjp1aJ4NZ
CtW1FDrzpaAym0/KTx0WNc8MyVldl3QWDdAOTH2SVgjuDTwKK1OppU6hRWGZPQQ8pk9ZGovUa2R5
WWAkd1yd4XBdnni+Tx5WAUSBYIkDozqILTs9qkjM6u6prj8Uuax/nEmz7Aa9pxs+Gn8tQWeATumW
nRJpzosqT8WG9LNoC+k47iS6sQ9UJ1ar7eug05puKB+GNNQfkgIqpEqdpmMbdb9SKYqfykhuvMhJ
lY/Xl32moUIwjq5ABvFWrGt3Wp9r4ZI75QPoQWdxNS1kipcUBCE85rCOTId86ZpfSTXNf3sLEYyB
ItNMrEfdZ2WqYoZiDIUSVQ/9UoAzwaPco06xa2djt/HqnrtuQhYsrsAUscDAjk7PNjEKSN00OJ6M
egx2RVM5fjfhpimlonxYIjn6bQO4vwu6CXSaFcbqB8WZipvrO72GCeJT8BViGgNFRDFpTxzFO+dp
tMMIKENVPSxKY37UJWArsjEJ9ILFtF+VKVzJOBcHGZLPj7nRG6MbQzT2PJdd5i5Oat4B1bcOXeC8
qeFSHBYHmgSzYRZY2lXfr3/rmYn886lUHCi8kGhbW+8qHgynipvqIQ0SfZ8xlLrAyz5Wha29XZd0
5jwgCTtMNRPcIDX3VXRM2SdVTAkc3OIo8a42B/ht5SnfsMPi+pxebnG7RO8eUFVRBjzd+thugzo2
a40KaNClu3ooVLK/jZk/d62cjJ5ZdMZ0e31l53sIAwR8VMKBFWmNle0nFp8zbrXp1/oSLh+LOmXQ
TAG+qH6qppJZXn8rTqcsLKNZ3Odz0i+j18al6zPbT8ceoJVF1dZ+gBVaNtxYjsL2r9EaAn7GjRIT
+njF1rmuSm/aWpptyw/VlNlngWwnw6GAvDPc8MzP9xHSHsGyBKOLwPSuLi8qszRpEdv+BMTPo90i
il2gYunHMYiMLWLpc3U8FbZ6BcjgRUYBtZPfg+9xiajgOJ0S+6+tPaEbID5SQqBvAAefqqPdltGS
D5Llx/WgHrWlYbQzWjS4sQ5gfByZ7GAaHT2sjWamGyCjc4OPG0rGi8oPzgIu9ansNkjmZjQix1/s
aVcNwX08xaAD2k/LoBxr6dN1rbywn3CDQY8G4TpNuutcZdjN5ZjgIfp9nc2WOxtyJnmdbabOhrtw
piWwXxHjQKMKCFOkjE6Xpdu1QgxSlb5spjexxXut9oq0d9StutmWoNVLbda2FhRGyQA+c2D0xe9y
fLaqeOOtONs2VkOEKBvwTVIW+NMD8+6pCIK5jeJgKoENdckhKctPhdznGxnei0L+wK1InNPYLH7+
TkgTSZkU2IwS7IcYIKMR9vGjHBZFsWF8L8qBv/b/D4Rn9vqpHMPJSBk5dulPYRzcjjmjeKgrb7EG
r/WaVx2dxo0B1EUfwrrGF3W5LejJjHtz9ioaD/s+cYNk31jzcQr/0rQjC5gexGuq4GwH23+6otGc
LaMyAuM+kz/Y3eTVO6vrdtdvzpm78EeIKQp+DgkQYCSnQuZsFpkKx7yXE1MCwxolr4tuFa8DIdFd
PTvh145Y9W4Bo3cMtSX2bK3Vv8i9GT6bU8MsPsku3EYP27uiyhpvyvUfZelozM1L9NDccBjW/qv4
WLouCM7/0PGvQ1ziuyCxl8K8D1+tan8wjsp+eBj+ub4l6846ACDUpsg0MJGVggT52dMtqbRlbuw8
s+8B9+VeoBcl/ZeO5FHzaY5UBKddMTfMWZhqe5fYcfpotrQgSJ1ZhKQE++CuVO16H1hl9Gi1bfBg
SXH5qZHL7iXL7Wo3zqN0XJYoSHZNG8q7rlOc3jXnXvBoWuC73UgB0bthuda+CYuCwdACWgbmk7zp
yqAArs6XaTHtez2bCQyPitreSv23lPzG9e3bErTyPyt5BtfRWvb9sNwDbWDequbm8VM6vP4HOTyj
ZAjJalPUPD2lRS26LtaRYxmzKy3m3inib5Ve76fFOlwXdeHSEx7+K2plWmazL+U8su37zuk/BLn5
atWHbn7oDNlV1XHDXm4JWx2UZEGTpsIkeJ+yrHD3IDUvN90WW8alQ3J4ECEbIFIgTXW6eWrWx9oA
6huW6aXwRi0vbtuysW/suX/UrVnZOKu1bRbKB/zDol9edFSuSdDlQYsCpUTc2DiTm5pFv2vUuNjQ
vHVrEBEEo4Bw4BSLvjioLVYqkZLzShyrjvxRjStmEBlhwMycqBu+tOFgMcjGGtXv7dgKWzpn0eRN
Le0znjyp3eylpdN/6m25iHZNCIW3S15dCzV3LlNdc7VwXt4GM8+ezYIh2fsi1dUA9ynUlB9y1TAv
Q577ZrR3FH0IZ2M1rLeqYmfGz1QoidHti0kSyNDVxco1fVqMxJDugfDXnwfLNW+YQCYlTH/a2Miz
SJaNxMOFKF30f1ikK07Vo2rNpLDtPvShsuwO9WPtFm+i+TV/qrbenzPVAMxL4VIlVUbwfQbHVuY+
DixlCn0nAZMz2M8g+m/0hjGrciG5nfJtqJnuoiVUxvIvC/8r4brr/bCfpS3s5tnNO/0Ua7XqnHSN
UsZj6HfSXc48U7WvjxnstyPjvqTi+Jc25Y8wOqQYGw8EbV2vHbtyNqJuDv04+xJr0n6Yfw/Rp4yp
I8P09bqotS/JaVqyKFxZnKZo6jk9TalLNeDoS+grSb1Tg7uJPoc52uBiObModKSS9eB5If4VLuWp
EMcoB1UurdhvcvuhD14DJT2OEQTC/UZkcQZPYjlIYi203mK77JWBHBwnCCJG5Pi6It0bVjnuNeKM
rtbKj2NNU186ldM+U4zwYIZK+mGK7PYwR/Cdj5E9HOnHUZ/lEdh6qeBa13guHwLc+qe+0F7KgcZR
AMrjJsv8he1h2Dr+L01b4ghEXvCdF6wH9I7EY5z4Ea03+q0S+pNxS703/+DcKenO+N7+DILdIXgu
fvHN189f/O73aQkEIpsIGvvL4ayzqWYRRK1CYcLvGdrN/ODSX56hV3CS4zQySOe6sDOwzKm0M8ri
OQbCXmtIq5OfUVjfxtW8Uxf9iJk5WA6dSPP9ANF/8QVbmlnLxloviqc4TCeAmMBFPuZ0o2vaf5pZ
NhJfyQdXr0tAaQHlS2NwaVVya3niWTA+GMY/YfOlb/VdlIDQu74FF+yI8/4TVlehVNLUSA2T/Z6/
h8mrNXfwn++GTva0LaTVhTdBcEWByKDOJ8L809VGk6XDrcVqg/lmrH9PAeSmw7ecLkc1/Gyk/UaM
da7FsAaxs6ICgOfwp3XrnRaPhdZljdpHvhL7g216jQ3TCphwI3+7voUXXiAkqYQ/QLuA6q/DEjuI
QzXBg/aHgwGBXP2QubUXmYw4azcU9tw6kjUTsxCAtPC2rrO2o1TJdqlrERktVXRcMBHlc74lZE0n
gWuCFKywyMWQpFuXZBOlXagghrE/7ic/uDO9F1Pfhztp1+y25rZfOqT3olZ+QpIV9IZmiKrLX5Lk
hc+Fc981G5HYWaOKWBCAYmikVHwubV1zMpO5jcuijX31WL9oX+U93XhuYx2e67dsEnQtn69rxKVj
ei9v5bGm9WyoSY+8Umm9rNplEaWneSu9eW4qT1e1uk+pMbfMsENKvOzj/QGMk7Jvnp1fm3NWzt0e
8PWEmVhkiwTu2gGXrFCzAtOI6UX5Ymn5Bzksj6UVvdhNeqgWx4uL1mv0r04Il4DdNU/LLP2u6UOV
+pvr+3rBYBJBERgSWgNLYPmnJqTGja6sPE9860l5Ml/tn+buR7mTbxjgyZ/rwi6p5ntZ4pDf2Y9l
mitHwK38trirVBqarLem7t1x2uKIuqQt3Gc8BAIOgl1hN98JyuI6qjN7THxTSryCkXa9AbNQsuHz
nJWfxSWgVYKEP1NZReRxKkbAAcKiXRKfgvNz8sG8AxOav+QvjATwmde7K1O45m/6DYt1aRfFVBPa
CUj7k/I8lRrppRQtup74ody7TBtyaXd2ydEM+oarddFqCbyfmHwAB87aSbWI4xXUNPa/Ggdzdpf7
keHd2b69JQDa8Icv6uF7WatXs1qSSckkZI0QXzrut9b9gpcAKWHnjRsP9KXL917UyiFuG4jTyA7H
frs39v/plwOcoqIMAofX6/R0ZGVQozCgx6FNOlis8tEVjtnu7y8SmNz/E7JaAdGhYi5TgzvJJGyz
6p4qrXRT5zlstsi5L+4VWXzLIUwj87ZSNhXCEcdJ+8RPrByWGSl5kiX4uK4v5+JzD/gKp4KhWaTx
V1KmuqyaJuO+zuowHZtI4Zl0FmPXABCmPGH/mCVNpmZqZPuumJx9MDpbA/vOvTZ8ZCB+UEVwlYlh
Ts+NcH4yqR9iB2Mj2kmOfd/Qhr6PZO333FbGbtKJLa4v+5KVcrAedAjDoweS5lRksOjNFKTiIifO
kWTNckPwm3oJrLYbG3zBZODdAHMAz0cv9roMblZyX49FmPqK8btk/3AJtLTxRCPtXy/pRNDqIMOo
7ys9kRLfULM9GPW7YDR8CDH218VceKdFrEn7CywjogXydOdCuvSHPE5TPx6del8FRTi68+K8mQlD
JSlGMv4aRmi3K+wxpMt/3IRAXTi6kw9YHd0ixQ3BTZn6rSJ/VSX52MvGUzZLN4Fsju5k64+JqX2p
w/pmFjPLKHGCn0xq+GcSKF2nLGesKcjk3fVtufRV5NgwO5S56d1dfVVRgsWD3SH1o4YRC1Oyz5YX
qzI2MpSXlIlyG1Vn0nokiVaxbJ1oUQ+GTay9fajr75H2pKjxjUOi5u+Xwzw0UlEgMzHYqysZk4eK
ZSdjOVqzV3Tag623tv7rkg6E/O+lrA12r1lj0Oap3+9NMBBR8Vlpf5X0WH++vhqhk6dhuBhmw0xA
B2wt+KnVakZtcJKxWTJfUp3Ca4aqJCQd99eFXNKA90JWi5mNrtLDUs78KIPYVS3c/3C/LdJ1pMLo
Acf9Ob14edgwz9moeA7ar2r2mqg3TfL7+hIuqReVKGJMOGShUVjFL0qdBxBK1IgIH/PgZUpv+2Bn
5rfXpVw6DUCwPDaACpjas9qoug+MZjKwiBr01L9oXms9w6DPecPwXoqTAMb+K2f1UjdtVUqjEqV+
9TXDG5QiN2DgcTAErhx2XlPLxyDP7rKqdpfZz6zosVD0jft66XU9+YbVoZVt1leWzDeQBCt+UrUy
f9n/VPeNvYvKffR8fWMvvKNigoBoYwYvT37uVEOICuPWGJPULyV/jvOnKWNyZXszplDRVlutWRfU
nQQqqQKmc/OIrpH5fRProZUoKSOzF7czf4cMd8osY+NSXdBIWnhAz1LzJ4OmrDRykOpoDJqZM7Tf
ZKaTSuEBHhoOcQvPenE5JIPpDgOxdjb4Kgntvm4nlWe6b1y1DL1luZuLLczjBdUXRVTR/ST6KLXV
csa6iNvEsjCrtok2hp7cNv9hxzh6atZgd3TQ9adKkI1tEnatmfp18yNenocBJjJYAdPm43Vlu3Qy
NObRNo2q4bitniKGYjA4znBYCn6wNkbwBIWelh2h6tq4yJeOBkMhsJsEfNBjnK6IQg+DQvsw8w0G
Evf6FwemHiv5+8hOmAqB4xVEJ2uMezrUQ5APLULM2A3tvRM+KdFDnW2hSy64T5SSBJJLFJNA2K4W
Q1fJ1ObIadPAjeN03zTxbWrWjF/1hzK8i3r7jkaI4/XDuhTiIY/OFtSCF/2seyzvm3kZFR4nX32m
Y6B35WPxZMOusut/DimQvI1DO0+PCvzEvwJX6lHJCQ1WqRD4Sd1nO+nzsi/22sZLckmIQKeBhiNI
oq3wdDNTY5HzfJgzf1E+pBOD69UKvN/hp1592dg/4SGsPAiDV5H8ITh/8r2rW5VA2g90UctoVnHz
vc24nANTea3X5Rcj7uatmsWlu/Ve2krjC7mqJfKmKOMQgip/00P4JuXW206Oit90bV3CYL3L1ixl
qESGpLOD/f1iZTfTN57GYtx3plem3pDex8mhrXZ9fZcerm+pMHXXJItb/05yZWpaPjkqXU0PVeRP
+/Zn27v22/8mZHXbhnBZ4tDi2Kb2+C35nv6zQEv6cl3GJfNEIzShM84/kJW1DLmJemfOcr/tkp8l
zTftQjeT2e7+NzGrp0Nq5SmapTz3q9a4KYrodsnmb5aebLlNl5aDC/gHrE6UsTaEQN0CrVjS3B/p
gnZ72msO6RiKQoOxlU279BryfgByEryKuOanKgBqBACUUuS+oyWmpwQ06prMvL6+bxfuEpB7IjJw
pCSG1h7EFDaOMy7YCHLLXmRAJNCqHqVRMHEbkv6EviuVphMYo6dQvKdIs7q2ll3bWW9PmZ/0d30b
uUb3qGZf6vLYVyAvfsjD3Ry/5eF3Ss+1Ynhzt+VeXFyrIPEhmSN4dFaedRI0pTaNqHsp31gEbVV8
GIPYC7ecpT86fbZSaiq4fwDX6Jk8PbmohduR/3If7sWD7i27t/yOoU+uRt662BteSnnl+jFe3tx3
IlfKsqThnOpjnFP1GA7y3biX97Ebde4H5a6+nY6FZ2xIvHARTNmie9whGALzIbT3nYFSlNJwBhnT
GGT5sYQPjOqUFH24vqwLVhB+Fl2Qx4nzWjMP9WZF30cXZD4D7GjdPS6Z4jXacxe8Su1GyvzCY4lb
C3OHTv8JPE8rg9vBzFwbKbetgPzGHfIwgRIwyY/5rE+3VU88mdOD+RDTgfkfdlJMbxY9ByKhsHqm
Sdaoas4/vqX7w/Cr95Ph7wEktJuBV6fGjymBOO30sLQhKKsojCK/794qYPiyQStkf5fTuupQiL5+
aBc0g4wswBHwb6K9bHXP4TBrTWmZY3+JKq+o79pQZ+D2RjB34S7jHeJCA+AlHF/nZSH5zNXU0KmH
6c/50u9k47fpUNP4e/SI6PP6V85KLWIrwjHUKYdZxosZWLte+p6UL4C6N6zjBU3HxlN3E6YRHVw5
hLZiTA20tbEP5eneJmDYxYZCaV7B+czTb8tQKRvHdHEH/08imOFTndBbRavoO4j9yso8nfBfTV4K
OFZNxgn9B4V4J2ltDrMqKZQioKTYBkCpRpkFmt+n3toIUi4q3js5Kxvo9PUkKANjP6+p4GnJzsgJ
I7eIQcRdWRl3HBnSMzrQQRJ0q7tE/1qQGnYBiKIxpqOjpDeDNm6FqZeFgEykWQdU4vpw0rE15DEh
m0UVdjHD3zBq/7x+KBfsHcv4V8LqUIYwTPtMQUIqt/tM/w6Dr9fI1o2kPMBbsCO0864LvLQkImGq
8n9C/DVBQu8ktACbCKTU+1TAjCDPzet1EecKoInXFiCTgGiweacqDedPMCk5NlyqbK+MUrfr3qat
2sj5xgkhUMMJNmCw6SshQ2ulS0+e3C+r4JA5xmOifY5N/T6apqco76BrsW6uL+v8pgLt54Gglosx
wqaeLqsJJN0Bw537NGm7Aw/R9CG0Pw3JXxuEUzGr66P3TtZJfZn7dBDAr2z1j0v1aG6h5LYWs3od
4irooqaoeGfNfZYZsRu3ZBjzOnMb59f1fTu3qSxIFJao3lmUiVcLUh0psxN5zEEEPQVx9drBbVNN
LcsCQxuZu+vSLukFVAMk0MX4MhoTTk8pkHuJQgGedJRQ2Y9JjknTa613Xt10v+l32k7KnKm7uL2U
zPBmRZPimj1PCq1ukpeq9/UsaXYtEM0dTF3ljdZPW1xBF0ThO8DcAG4BB34dJlhgq8o5UgY/jQNG
JU3Z14nJrIfFMvrj9W08MxM86cAiBMWHaGWSVw9hE5iqVNfD4FNS3UlWtYuyjbSI+A0nBvxUwhob
kQeZ2TYVa+G2Sm7fy/0eic1hKdLuBvBe4klyox50o3V2Uzopn68v8DzZJOTzxFM3BfjKtI5TRYns
UilwQgd/+KGrz7p3q1iMRCrAeMKc6TVeu7HeM8X8I4+ECTEXxZ11n5Odl2Za26x3ar3yVwQaCh76
frdIG8/82XVbyVmta6iDiJZPFTnTITRq11I/hbtGe1Q3i/IXtdH6d0Wrq6b1eqIGDitC4+tXiGVv
418Oc66afex9/i3v0sPGmW0tTfz8XbAThnHEMB0EPiw/PkQ7ZixuPI5nVlHsHezfZD6pGvOEnQrA
Yw/bsWbvlh9l7C1eqe7219VuS8LKGJYVGcdcaEFr3mfQmgatAbUpDMk/rss5j0RXS1kZeLq3e7U2
NK5X/JK0u7j5oOtud+MHg1tlLrMhvkzMHjcYffg/ChaW5d0hVUYdLlmIYONJdSrG1I6HqPa+jAdN
vjHu/mm+V+7Gnl7Uw3enJn7+TuLS1akSKZxaJ7+m2oMevmbaBu3LloiVqpdBLM9xorOb2odhehvt
h1L7trFxZ9nb1YmttBvc4pLnQvnSKN9B++VEnv61at101704xTFQNwzFJRMPIyIN6fjPxKSrNcGS
nmhwrw6+HE+uHPAYa1tT0i5t23sR/4+z7+qNG1ia/UUEmMPrMG7SriSu0gshWzZzzvz1tyh/12d3
lmcJHxgOgAE1J/X0dFdXUUOqA7RTR37Y7/mB9Bt5F65c9mtDmH3uxcpDjCGDDQyhiT745hh1Tytr
smaAugYDgWPqUgz6vYfsQ7FB40AZPAifvdsd1Ad2dw6PkZ483je6Mmk0xXvS+IDOKn6/T7LSyLlS
z4FPzNa03RatgG8DRIdztkWd//9i6ooQ3ANJhqXxBp0nAAJUK7506b4DydRfA9T2AolOn9RN3O+z
L2A39Ehy69TuOrMKbXGtFLHo7fBEgy6IimIfyGGuRxNkiceDSajfj9wHO9OQW8hQkYBAYlXVxQ8s
0srolqKXvwbnHmnKYBcPTaXMBvVC0NlQV340YGnpIS2DDNnKNl+eyv8bHYzdXEtt3KtR3iOROf7W
CBl+f64gORd2A4iQ8MZFPwbCYzpGV1ulRzMb9lxRPWaRmwSHMXLvb+uFQVyZoC6kPC8KJQbZ6Z7n
3vPkC8e1zI81+v9PXL5ybOetRYWWV6bmU32xt/m2QNcxJF72aVIj0fEpqO8DFES4tTfosh0Ue1GK
/da4uLYzO7e+E3CGsAW0XtUzFYk8KMOI2toOWIh8MKL/WKIc3cyAwY0KDlOTR3oMvR4xY8xY0Blv
IPLK7C34PJBGq0ipQERTA5bnelQ+O/KjWiQ9MO4tycSJ9Mh+3d8LixMH7Z7vZzT4DCnnI3HC1MQF
NnTPbtPSt0CZSETZEYfUuW9oad6QsEZFGV0wqMtTO0EtB6kXk3ZA039LwmGTFK9q9j7n17j23+N7
pMdRnp/1I2YcyPW0JXnUh6GQD8DJd27NkIwzi1IH3iT+Z2gSiPQuLVGDgmye37NiPeyheAAmKiEK
9LbK1h7St6ig2QygBviNyiEC4+sBge7JV6QQCoKNoBd71vRym2WcQSZTYpebfK07d8k/XJqjtl2v
QuKUGbBUgRDv5C+G941wfOV9k+NsoIz/kc4F772rwVGrNSIvqQ0xBid1kZHmLEmh2vyP3IcAqaGg
h1sJeGEAadDOcT2DkcYMWVRPgwtkF/QEpUzcqL68VrigJu7GCnX3ZXGQhEICTT3pLeptUKn0HGgW
nyCqx/Rv948T3dBA26K75+SoElKmhq2Y2TPpu5qClOxD/uCzfYiqWtORIHaih3x45scHvGzXql00
Wu6PfRRjQWKFl/tN8TII1VIA59vgoj8czHJG2pkEHHPSJjqg61e1Xu6P9xuHdHGT3NijjlomZ0qI
RR5c0U6aZ2kyOghpWlBszlDLy+zeGX/gtxNaI/5kNoltyOb9T/iWIbz3CZSv7OacUy1B1kdl3xP1
2KDJJ886M4+cGi2r0U5B40XPhcc2bowqf5ebzxGgvSnboGCoq/kuDn7lpSlDbHDYNUWD6ORpyuy4
lh5UBnqHaq8XzKluyk0jc9te7PVxpR6wvGmAWFKR9Qf+gPb2XiPLbRsogwt1CVb37PlXtYEwLP4O
9KGyBt4Otsb9eaM8/5+VAyTvm6UWJR3KexWjhh5LnhncATA30SjyEgUdfxRD0oPJ2fCUcQLnG5rW
75td3jEXdik3NpR+I4uxPLg1j9d9Z4RZb0mID0TvhAJPLMZWz7xyhe13h1bb9D4IwDQS8kTuJSOQ
39IYqF+p10MocWa7fOXr6IadP7OioJILVkwZjz4qbE1UiG9NHZaiEiMih19J8YD8XqKi6rQBR5HS
M6TaeqtFB5o19Y/dmXlnTiUCsks9BBNGRBOqj9WQgs6KZLC/gGlE9iDgrmaGp43E9xPI3pmMt6uQ
M+AOReEia8GBA2JqQ5JOwk6BWLp8GvNtAWbl+4u2NC14BQF0hrQqmELokKeT+0z2CrV1q+EhhXRR
ET5hrw5iqMddBp1A1y9IP+7X5NEX9ihatATwAaKtBbRB9KwoZQaVNKZzJ/al5nJ7ku06L60hS02h
/7cHy7wCsAXiMvCUoLRDAwU0LUWrg6h2rjgcCzEgXf8SM5bMIyu/Q6+M+LQypVQ244+9GT8KOAt4
52h6005kMmnihM4d4zZ/HgafNwvYRYu3qLNoEzKFBEI2IRbzmfd7ZZtk0K+8/w0LFyNIegEAApMm
Hja0KHQhJglfhVrnPqkBjwyzSFg0UTJfyVTpyVpX7XfBkfLTgAADkwQfx4JKkroqkklrmSyVezeW
x+xhEiXmKVEaBuqFsS+DQqXJt0OLHS8U1Wj4DdiWM9T9s1FrzXCc+D0zqRBZlIVRHz2QbCE8LqxW
iVS9bcp214bqGbqRgqHwo6xPChi/O6/I9FKDM4PIbWMKkP6suLqwmTbgLKaH7qc4NiJpwd5tieyI
VHDdCvA3klBOKy5+aSPD54EKBDUQAHqpjTwEbOmHaYy0SJK9gn/9UWR+KP1jVz7Uwvn+otJ5+++N
BcAwEAeoL0JqjIrcErXpwc2S967omZq4gVbpRuOgtxUUpOh/dyAdBBrsdax7PVUYoIrXyug0rOj/
PgBhMeR1UQykUZZF1/qTwpS9W4qWN6h2WwbWLAFb5AbID3fVtMnCbYpKviz+ZNvnvAXBcSmDLuYt
i/zT/dlY2uIy+JyhVQlVBzwDryNMKZukTpSK3mW8j7L9OWrHuCCVTJT8YTVAp1Ief8aNwhNq4QBu
A1F9bQtkY2kfZG3v8k30AzBMEisyYrDwKP/smEKHAnDLr6CBlhf7wiZ1m/rVwBc53/Wu4DE/BdWO
PDsvcIX62zypbcBbjLEFmw43EC+bDL5ZRcvNE3hzqtHHos2lZhYs0teDnooGbJZc07upuBOjTdnu
peQQt0eo9TZmOOg5unSqYsdFcKGTkR2mNSamxRW++ADqaFVtWorjvNuEgDGlJCWDlFneSQR5eAtq
MSUTV2L8tRHPH3SRPMEVLkeRjGWORu5h4OpNmWp7qV3LPy7euTjAf2eWerYwPSTUtAgzOzK1w8Wl
weJVXsibkBkIZOyQrZn13gIrkkgq2fePzX/ZV3+N0zlWb+CVfhQxyCaxDrKsFyay7eqbOZ2fa2cl
6FpeQSgj4qqfJRuoPcx4FZLsNWwp6XvJOk38nAHfOT4J3ou2Ymp5UmfiQWG2hnfn9eKFgT/wIVv1
bp/96sODDKZqD6/3zED7GnJhuWf9zpvf/8tkohMLfNUzOf5N9JQ3Gdt0OKQt7i4VdDuWhOdSAa1l
ndFIJzlq22zaxgl+3Tf8TVV8czgvDFNXAfSq1CSXehzOCQx8T6CqPE8s4CYFfCD8YDDrF+cRYUOI
2fmQydj0/aFoVEdDcNc3kQ5Z0k0kukF5Ktln3mtBf2wj1zUgqdbyHYlFR+1WXpSzv7j3yVSUUJd9
M7Q55grcQslGRYbN752GWetZXJoapNXAcjlzaiLco/xWMPR5O0Gswo20g2QFZtbqQl2Q9MWTbNmH
vLWRgBcAzMPJj/qsVS6TofFh8kiueSeeOeAFL+cHEJltK2BPTsNk94Iz4H1/fwUXjgbwOyyagMCx
jtcI9ZXoRA64gplnw06n7eA9SsIGIujGKB5LaY3hcNkYhAlAN4zbku7D8MJpiJlUwjnMQIDs+EIP
ZQIixz9Z9OBnXbQSfS6sNMb2H3OUfwNknAOVu9i7Gqn2nm0p4/80eX8N0ACKaJAkaI2zvVsktV6y
sjlmn/7Wt6UJPW79GjH9vDGpjXs5nG/Pc3EtlEzRi/WI4ewk0q1M1Tdu5d4Pp1ykWAhNnHX44Xz0
7AEIxys18i3iJvNLoxIbo26OTEOUZqPipHgDC6ImEUie6lh51ZYPm0M8rqWo6fTnHO5gwOizAzoP
vUh0Oy74l3kf/WvYm2x+0hSveAjGZFaQb3hFV/sxfu846ReCe2UrRXWVEanN/hF4/ecb0CeJDwD6
FVpQ1+68E4tWCwRs2aJ8DPgn1NIhDS77vi7ym/sncelGnMld/pqi4oyoHHKtEmScjlI5lpnTvJXI
h45hvWeZbfizkozo4IGHxVtTgV/cWHg5fGcHUNyiPKIQe15VcQwMt7lKGK2HVvEQNWtbbCGsmZ+9
f83M/3+xf+shK6JR9XqXHR01HK2u3uX6UFSkffdbu2qP7U6dCKiJkhHkk9kntzLB381rN3v84gOo
tWwKLqoSKUAyeDNYnQv5jZDEZmvXenM6SpZgfTBkMg4RS0bjoUucRh/sRscrInceV9Z6XsubTxFF
dJurc+qBpm3xvTFtUU1CQi55GKBTDgwKCzLRykiqtyiyEf+RWnwq35q6IcKke9OD1j41euu93/8Q
mpDzz/6++BDqSVHGeT6lYY600LHLyRvmn3uqU6dRIE5gp1AWTbAiT0qkd3i38v1+ip+4ymomvY5b
oyktMIDExwAdqtk/0kn9+TJk7/HAmxPNNJF3jRBYU8NwcIUufwu18mtsdkH6eX/8i+uAfqyZUh6M
0fTjQhWaUeIirEM2cAyyuiBP9tjQkKvMzL0GjJdr+MHFszYXEoGbxoVLn7UMFY8+baPBBdlHtBXq
Kf4cgyhb6SdfPGoXVqijNmiClyhcibmLW3EP0WJ/VwhBYOVSoz3fn8FvKaGbrYzSCoIdDRLnNEWK
2rJZFTaYQsRTndVY45a3eRtN82fGCuziDbvFGn4a0Ybd1uY4HnPb37/Gm9HSPlrL3xRma3F2b2W/
g09J0et2gz878zm0En0tIFgKzjU81P9+K+UBwM8KREEBDxDxAclHMnDICngHaP7EPE/U0vH8p+bw
v2TirsxSnt0DH0coN9jKTHEI2Y/ce+6EjZodJcDA0lPBwcvcX5TF9b8YJ/WCzGOViwM1GVylC8dt
PgyVmbddtZHVcK3reikZg8EhhTWrM+KcUoOrwPKc+mE1uLnZbxuLt7MTZzA/5ed5dUGLv5etzK6d
+wNcPLcXRqkBdswwtyVk8J9M7+2gCBbqRZWL+6oOJBLkgk8AAFZWwr3lG/rCKhVQpmDTU7MAQ+X7
3BwcqZkAbT5WDvTUquwA5iPeQ1bXZNI1r7G8nn/nmH5Uci0iTQ+VbZeVmiOPdwMKTCrTrzjD/3I8
/mOGvgwSKMW1TYFCl4Y0/ynWVL1jt6FHeOXLf++ygCjcM7MWey6VJpD252cuSbROSzRgPPX4mGtB
o+eGrOOnmq4gZ9qEUMwNDTjjjTRMeuNZgCfbVeYbQCAZIneqs3et/iyVDfPpM7/5YQfONV0W154s
S6Wzq4+jtjdXMV0WCzhKqWf6kV23j03kqqIx9psUrQE6xMtzQ4p3UauSBhRH2r8ndq/sUzudCTXo
WzNY+iLz9dBM832smE1R6UqxVv9ffC/h3hUgUQcGJlo0jhGyrhMr3Bqe+MaPjty+ywzYduz7R/e/
LPd/zFDhpif72TSDJ9yIsUTQNKAUIqrPTXpEq49ZolkJIQ8PqIhqJNhrEjaECrhajvgjVRw2Pw5M
QZJwx8WdzofcyhlfmwPq5gwZsVT5rhlccMTpYhzomWdJTP7YrhIgLjvOi+mmLqPBy5WOY1vcCnFu
ReE+1h7KMnovtJMWOZlf7Cb2XZieUnYbNY7XtgZ4L7eMui+1NcD60qBBV4ALY5aivFHzDdWgGaR8
hHtRyuFTDLvZjjgYQyFz+y5NpbVZnjctHTNcGhSop0CjiVFQAkTgP9TySWAbAiLcNrTCfJvya+WC
pbsCpUUWpM4zSyLNQKKOjcAPuYcT/OnnP+pgw4IuvC0Vu/9xf2cvGUKNHckeXkNLMN115TFSr85M
Zu5QlsZUwIkx7bmoemfKw6MqrnnrhfoeUE5IakJ+b9aXojzDGON97nUojU65YsftuR9SiLR1utpu
BW2nFdxWCH9r2T92tX7H5ZdmqUvQ5xohlgJldEMwhNTbsHyL1zgflrbHhQm6Rj5Jw5hnDDQZu/qt
745VNUBvzwoTkaixW8Vrt+vSuiFrygGFAEQGOACudyMTeqXA5MzoNgHSODGefcoj3zpq3zoBKoX/
uknQeA/qN/g/FLuhtHdtzFerIQoCqGCKAKxUVsd/Ch85T5R45d64PdPXdugjpsZREvqww2jbRvmY
lLcCvaBP9wdz+5q5NkK58qZLIMAYARkDpEOp86LHbpl8ZK37VhYe7jAD8bS5+oNsKp3ehtjhyHaA
yrvSwOmD+gPRz8CDk9acGMOvIS3SbfI3PvxixpdU2inj14gMQhEwhgTUQClGTtD8DMJfIqAN4zZT
C4cXN3xu+Lhp+raH0sTKtNzu3+vvpeYeaPFQUnqgztL8NE6PjVMbnUzQyiL7K6jhNUvUAqQAqqBd
BpYqZROom1gqzdh/RV+ezkYs0BormL0FbA1GhgsC6TD0l6JL+3r3YlBMEA8aRhYnB6ELnLowq+55
EAZS9u1zBrYg1eprlvTxRAAqiURWR4MtCT27YTdtp3PZZ5SBj7BHSWnDrzWp38bJMtw86h/gAFNR
HqY+r+9AkzrU/Ig6COeZalWOJC7AL9zF0a+VPblwvuYrRQESDtzQN7xWQs6pNWA+vCtWuKIHnUOv
V24q47MmPUHqpiiPnRyQmHmufAldkETKHwvmsQHMKPwdSbsoiH6m6peCvjdodrdvEKFkWt/Km5UN
svKZtE6IzxVwYZ7Iu50Y8xYoac1GKcMtEq7xKRibtXaQb06D65sd9x8ALjOV6Vxso54QoGBL0hhY
VneXE6TTSnKU9R8/foj6j9P+9fX1/f394eFze0aKjfzuSaJ//fOywD7yOOjvm3l26FbQIpDlHjSt
khvsgbMgsj1YkgVGpINvh3azE2zPEp5Se3LkDWfmR9lkbSUiyTY6r9J2397PswqZMvOvQ3bjpnU9
1HxVTqB55koAJhCrgeCUD3Ir5r121iCKC6lylDVxn4CBZIYK08ozXBApYdUqsstug3fNmhyQujxk
pgyO8PsTzM3XO73AM90O6CXRs3KTlhtZIRLGVpPdnBxHHczg+tvRJ79EUhqn/fs2ID15uW/yG7ty
YxJtUuCQmeM3mpRMQWtEAS5y2TV2h+rkHq0P62Ak+qhrIflhbY5onSauReBWnuqT4zi6szVNm0QY
vPG4W7lXFx6EmOqLr6Hin2BC2ZzNC9lVSGjmnVGfAeQL3cjR9XI/bBNkk7Zr0KY1owJVVcaOhhDt
gCnAg/NF/xh/lIkpvAr76QGKZt1LAyXpZ/95Zd7na+rOvNMATjaM8AQPSsy7cTA+DkfreMwM6xjo
DPkoyY950q0UanMk31QPBub9OSL6J0/yo/MonVrirGwEWlcGoec89SCGwStFm7nxrm+fKktkfxxq
2fUO7dPBqvZJaO1feUszbfT96NyvR+A7f49bZQ2euLjpLwzPXvaidAEVIKSHeRieOIPX84P2XHV2
GeP9bzXC2/1pX8gyYZQgiPruixbREnRtbAB9Rx6yDU5YSqZ9p537CeQdp8E/eK9KqEdPAYTHVqb2
NgQGNBgST2CEQpsBdIiubYKImOnDwVfdAisqmefCzp2VYd3ezdcm5lDmYg6zEErKvecpLmuLWwBu
zcgKTUbvyOsrqmmO6KxCMdYsUicVQIRWSHxGcQejM3rdd5iHahefuSfeyC1sUCc7eCvu8bsqQZ0Z
ELkC6KlBYhicC9QWlbly5P2kxijBkd/tAl0zS/1HYICvXE8Iyv9WbmXkqbTLbWnXB6AhrHkOUtsn
rPWUGKETGQM5SXZFIjN6BEs2icn89S3+VdihkRBGfwV8Ue930iY5MJtG9y1PDzYlePKfGUtdGdHi
zrgYELUb5bRKQ0apFNcoLP/xnB/X+vi+CwTUlAGRroKeEQShsyLt9cZQUKZv0k5R3MYQdWHnnZin
wooszJg5OfFHYEyOv61t7rW2KqLucivYBaSxGzvGInpPPOYB5N6O99Cv36sLLhC1GrxegK1coHuI
1C7M1CRUXajMma35UW0Ua9rzJvHdJNS91/tnZCE1BmzEhTnqjMBcmkxZpLqtif50QPMtxUQeiGjm
Z26EVmQHJmJqohj37dLNm7NjvbJLnRTfqwOxEjBM2Va3zSZ/CMlAOtAIvJabzu4ePPO+wQV/+o22
1iBaAVYSundzqiDEHSWD6np2ZAhOs8PCWqxTrvicNTNUMCpANAxZU5hBGOgMG/9RsyOn0JX3+6NZ
AE9AmwXg8f8/HOrZkUDiWSn7XnXfsg0acKz4EYjYJ/8g7ye7hUKGgisSSc13bs3w/IPpowPmOeim
o5UKfK3UAGWE8nkijarb7Mut/ClvE6MyRUOxx+f4p3S6P8x589HGIL2A7IUIzK9Cs++wkVdyfRdo
rlCaoUjgoVBE89EesKbPsRTNIvv8H0vUfPqNEEAML9JcLTB7XQqAa93XghG3z7LZczq/EtLNLux2
YDLULcAuBLc9b6OLm6lG60ozpZnmZvvoWX7mjTXJs+WZ+2uArvZDSJAbvdmAfGAcIMOf/D1riSub
fXnW8NCAVpYElkA6fQ9QiqZ0cqm54oH9LLf8V/UbRGYm/8SvvCkXLSFKmME5aFJFEut6wtrUE1ul
6TUX9BnlU/RTgXyahWIm2J2nT2Vl2y06p0trVI6jieUulLxWQ3puhouhSSZ/9B+5Q7VTHthYrz4g
PcmnZO2Fv3DxzaHQ30FSN3mEBmaP52BWO4LX4Fn84n61a+zHSw7q0gZ1uWp5oXBh3GkIaIOO9J/o
CDtWv3OrWSHPWKg1qLjD0fuD1ygaj2jYARd6UGFKM8814pokp/684U+joUt6vefMbXhMzvd9xUKi
CAYB4OKQi0GTMc0imbBdxqgNDLJbhZR2gCeptGtxfwaoCoNnnvBWCgyAoEOwVG93/Y9VFpTFub34
AmpuoT3sQ8wKX1AZaOh6JIoZWMKP2pY3rw+8AXKP9+Qc2Wviire+BDiIuXgGTAmYm0TqoTaqVcqB
DMpzFXayPH5TVtx2+s00vXV/gpfsQC0dcwumxFki4foIVnJZ121RMy6rFVvEoT/LyVccUL51ZsEP
7EqAMP+0Kw8pIrnAIYuBFwLYqOjmsVGIIfNRxLybMHDCcV9lRg51BpMXWmEl3hRv1g1peFDWoRwF
9awZQXs9Mj4APGacBMllpgeu3LLFTo02hUYUdKJ5zKvnfYVQMokOLGAm/vM0nKScSPwZUZquCPbw
xfqfraN4z0WiT2cOFWz8/av6zHNHU5/7SmfR8+TvxgGKY57l+UZbGw2aF2RIJ4H/LyXta5yQpjPl
EoF5ihrYeYh3gr+C0Lm5EjBKXKGIK2dhw5s7R4Q8S5rNL8osUD2zrEcInSpII0YgTjCTMCqdgC98
s2xHb2XnLFlWxZn5Hxo0IDued9bFbSdKA9gBmUp25YFBX/cAfnlf4ItNPWCSQ0lLbaWOs0dJG9cK
/UtLO3coITGLUAnFFure6Jmq9KGgIAN+A5wERxgPGhvxVsrOAkeKQxpYbb4FUbocHSZ/G6nHTIv1
kjuwvc5yTsDoE8iSf2jjbpqsuiK+fOJaoDGLD953YtUUQNVcW0z+kvwOy0PaeOjhtNvk3U/1TiJt
rKs7/i3bSuIjq05WGBGvtyp1L+Bf9w/nbRz/vYPBaiYh9YfmQmqgsgjO0mZCOg5Stie8nypgj8El
2ZaF7xR1MxpVl/BGXAndppTqxyaRwdU1ls++nLYGz3mqLmme0afZ73QeIfRicr0RUiUkvJAKpAQf
HukyZdjc/+5bAMiMtdOATEM8iyHQ8aQQ8L08+WpyFmo12YDiL33gGXkTJNA3CAFg7wYo5gneYGkF
zhpC4sKS0uhfxa3hrhRJgkwxHoNzJpl2bl0OoHxUTZ5bRJByaLj8McKRFauegMKElFjJWG5OgfIS
cive5zb5AtMqXu6gGocoBkvHgqInCyVbsf45zW2v1wWn56yOtfvGCM99swUcU/J+iatdVvOGuHaw
MIsxQzYH72CJlmSR41xg4zrzz1GrqSbLoFzUe6xnjnkX2HXIQZS3q2tnCjxxywdMZ6GvhLTRVBgq
hNtNrS+btXDy5m0hglGF1yRou0IfBFE/5Se6BrzrUe2fq1hEpi2qdZmNJX0Wy7YqIR+tFpBCI25K
1dZ8doImWp1ZTRhFG3Xk1xAKt0kCfA3I5lFWh3ANXAd13/kRGxag2PDP3LMa6Gl8GH+zIOaadDSU
RnhniUbfm1loCt6RE83atwDNycWSsOkxyX/yex7934WTQm8rIRGqY19jZ0vRNpdMhdtJgqFpL8rZ
F3WFWZvHOTyllnZOVqI3B/c0iK3n++7C36YSxBnytMeOevFkEvh47wr79LFVHkpRI3Xzlve/xl00
2ak8rfih7wztjW28PlGhwp9gErm2PQo9D22Dwj/z6gOch2f4TyMDaBwJim2r6nznxOKpkSzWM3ij
+kwe2af+RTTHwZCiHacrpsgT4SS5qWr0ntExpgb+/TWnc3vhY2kvPpK+kNpSUoIy98+gS9SOTG0P
gikoW/8goW7YHDlT3EFX/k3wHeWRgdevDE5npZVl+i4MUVMFZgScwhnEOuM3rqdKQGdo30qqf677
2Mwfx/IlK83Bt71cl71fDbPvCrts37MpIoK4D8afFWvInK0AFzRIhMts5Bg6E/qIUNYmbGEmnSEy
9jSiNeEhSczIO0EoQ6xMJnZajXCJKT0KX6iQes/aUxNtKlBJNEjuMr9E+TEABUHLHdrt1LwrGhkg
8xpuwud4hBxLtm2kNQznN+35vcFTeQSRSTsxhVDTWT7UsoVmR1IPT6F/0Do93obRa1mSzEnjV7Q0
4dJGc/57dopyJ5aMKdj7jSVLr/xgjF+yv/GZJxHI8HyrjEYLj63VR9lLiFA9wduQbDijDX2cu0f0
sD8psgU+e+XDEzdKd07iTZkdgTIMZg3yvaxY4nTIil0CXGlIOmbjq3qBwnH+klVGoZjlsKvsUHks
3tCkcv8mXLjBUWiSAdBHiIbcikQlxEelbnyWkf1zE1tyqQMbX/obMOF3BsBaCeFDW2308ZA3aFcz
0f5W6xn6ubayqsvjQVwT9Vi6lq4+Zw7qLpxIkkHMqK89/zweUhFtv1YdGz2K6AFL8uClGXVRNEU2
NlR+jU5j4XReWabcV5vww5SKjH9mMpKmCXiOCl2rFSLJFpiVqiwl6Dhfmf3bJz9iY0T/cPYzhzDo
qa6Hi/ZuQawqPzg37AODmyeahkPgq6QugKfIZppEM65HAuakLYeguVNxHINxo6mrtHY37yx8ifCn
EWnOr9Et12lU8KXYCsE5V6UeJH2h9iC1/GCXncLp/Vhn+1pJVDfn+pPfsM0u0/zByNMRpGABx7/l
cqvpI5vEBl9y+VfBeGtQ79unPb4QwqRQGeBBggf6veu5Qj+SEqZ1EJ5bT3CqMDI0pdIBZa8Vu6it
oO3MmtlkUQcluaeIeUmqvVZZsQK48o/7Z+a2SIliN5i3EBZi4VRFphy5XIjCKKd5fJbtGJAm7lWx
xgOcVSzqvLfhJaci/Ht8BFXQ+b7lW4DQbBlqvgJuWEAYJSpW6YDF4GstSM5y+ZBpVuWDk8fJ45Pi
nQX5Z6Qc0pp4aLdgHxrZrNXayDz2reDdAYwBQTZLaeQAmr71LJDViaerRbiFKWgBNrogfQUquGKC
lQfgTXqJ+uQ5bLg40ZyYiAzirvjMy6lwHuCGrKiva6B4EkiIVFGmi0MerNy1C7sZRThEItDXQBKX
zk4wGTC+IVsl5wqQiH29Rm4zbzXqGrn68dQ1EvJ9BZw6fjw3PijjS/+lCNvioVP1tcT+d03o2hKy
EOjXARgJuW/kmK5nT6lSLxeCODmPybT1o4M4brlKOXjtvjyXk2j2+XsxOp2O2MJgRM+9v99uE6BI
7wDhAi4XiA5yUGa/Np/yjNh6gRecK26mwYp6Eo/o+LS65JBVEUkrm13rXbndL9cmqcOVjOCK4jot
OM9iIjHfkkTg0ID1Pk3SLwZJpvsjnAdAzS+SuwpqXiALAqUedaCGNB/AVKmEZyHoEyNop5qwOasz
vRLr9y3dFvUxl5CFBLJPE+A16Mg+L2t/4JQoOufZbpQf/W4C7Q96zfhfyOhIn+ArTTKztLiI9HtZ
PWqNNR3Az0PammT8Ll6r4N4CXPA94I1ECh3s07Nw4fXaKk0RRTyTROeGOfQzvQSvp8yT9OhZzESK
bJMeVZQkR1KfhLMmn6rB8Quk+SArl61MzW1daf4UEekDwEVngnTqPBXskFY5uLLOlfhVFG5XPdbM
SUghCRWYfkhkD0390VkaDAG1YnHrQa4P4SXf8lCmNO8v09L2mx0G8Jeo/eCyuZ6VOC+HnoMSx7kV
BIRDWpvZlRA1wOXmkxMpZWIgSFh7vywZBTkTOH2wFrhZKKNSXAdcGoTxOQlU1RG7mt307TvXdDug
kCY88SJt5cW0kAH55k/AykNgfOaKuB7nWHoQ5xgxq5P4Uxw3o8JBkwHvDbEm6fOAYLwOTa411TVY
8NKBk8DbgxZ8ds6OUWEW37dFhEd4dFbkbjpwYDiJU/S6NNW04rvme4U+2QoIqDgkWEDiRzfbCG3P
jooaxEhwQP5ICOG8Vi6ZJefMX5qYl/XiavPgm9HlH8XnoOYIp8aknRC3fwmALryw2fsoEGhK1fE+
GsiwUppa2jGXpqlgSPYFDeFQGZ/VQlJAzTIwepRwgCQVCp67Sq6CdipN7X8/Gwpe+OhdkoF4pCOw
KQi4idXq+NyMERpmXU8o/x9p39UcudFk+4sQAW9eq2DaAGy6Jjl8QZBDEh4F7379HvDbu+pG922E
dmOk0EgTYqJcVlZmnnPMUApoPBQ4j9naFr28ZWdxJBkBj4I+Idzki+llXRJODGMEXFWwWa+LUFEf
yt0kTI8QPZ+VHLTEDBCrboS2QGdYDKiuHLaR2XAVqBD0KbcS9Njbba1+afEogdqKi/bZJK5C2mcH
dbHZUG5CohvwLjD4nH9qA2KMIpsELEe2bxWkXQHVI7p0V0MPbtoBmsrXTrLG13N1/2GKwKsOBTNk
PhYenGfKKMmjkhyNrDZB5Q3d8yduoln+jFy3VNktXuiDvq95E5hfPliLguajuhw0MHRzbdQAqcaS
babhfbGYxCI98qyLPI7pgFDraXofy+ExAY39IZ+g4KbofkbHov/zr/ci8heou6FDE+ryvzH6ydlT
pCAphqJJj6AmAtp2LylmX1pyDkqW99uWLqHj2IKnphauEsyqEICS6vQoesBcbt+01G5867V9iygI
BKzUBghzVyRUg9Rfdoih37UJDupqNfoypkXHrw5nBinKWdB6ceQhxytNSZRmR6Sna5OJAhjHEkhM
//sL8MzMwkGXOkuzuE+yYzbFQCnvwDUVinuwxwxruc4r76izES2DW7EMQr7VYUp6Ep2JEe1V/wPx
ZB0qMLSxkAKL7KEnqH09rayoeLlz0auMJkBEYrOS8iLeAI9/3FVRkR3RbmYh4f4xHmsvtr/jQ03s
2NTRXNKb9b26h/jruMf9sRZ8Xbmczj5g/sDT3TuqEdoU8+xY8blBRtVIrSAZc/v2OK9kUzDBJ+Nc
xBWBzNC5X7DsWJiqf9/2JqjjRKj1ggvT5sRN/SxWOzXfrFi9cjedWV04Q1WvKyieYHDa4av6mxHU
phJTfhsoMsHbiko7ao2fD7eNXrkrYBNU2KCmw4PvN9FyMqF8IAbgMGiyI5fgRQlq1E9cGlCyaLuE
Rl3EOW0vDlTO2VpD6ZXU8/wcR08NGsuQU13qvqOCE6BQ1KbHFOx8h7gZCgFXcSC3NCg4Ac1YSjnp
T3Pu7SXgk7EhQ8oqxS0YaxiNxiR7CYO4+0o4o+6+8N6rR6Siu5YDJYehVyHgIyWYZCtBLiqTj1Vt
8gJlAo9IVNWFimJEb/zlIB2s2EPCZIaUoqFYQjqEn9IQBZHZDnGVeBDyHnLKchU3gqw0eW/env6r
R3kmAcMtjQsQRaXzDS2yTlHKokyPyCQ0XGfqNREC0CP4D5pBe1dBwVqnSQQ2qJ4C3wtk6+0PEK9c
RlBp++cDFkdalvk8higWHsrxplV4tJC2EaSpk10NNXaJJmCc/Qt2ysHW0V6K0ogd1kTZcy0Ylpuf
insLXzDLafPYBJjxiBjZU6l6qLb8Lz4Trc6gRwXzPDI4CyfeA/g6FvGUgj3sO/rgN7HLhTJIeSs7
as2ut9WKdDrBI4mWQUsr5Y3z7zJ0YnfUqFI6IDhPtr5voUyZiLRKtt2wrSLc+KTUCL+mo3BJ7YWb
T0b5HD2+6NbEy+x8VVskyLlpENIjGzelum/LhCShjfygBCxzLH23fWQ1yO13sUC65G0EA72/i6DA
kgD+gwJmudWlF2Okag802+sYP45ob8jMquRIv1Z0v+YB8IbCQx7v+fnpdv6tXFhF/Rgb6RFV/c4M
WrUwy2z0iYEpt1BOVUmaZmxTVdwaO9aVJ83cKQjepBmQA4Wbc8vQVvLLRJUxSyofbOpBqtFoME53
SlYWK5fztRgAhUdIjyD6BmfZIiQutDJQqimCQ5cEGXzW7WjFBntBmWfHJ+VaueTq/YGgFire6NHH
r8Wh4hBfRi14XI58BpiTYNhxSxrQYjXP6mijHhC9JpM5hmvX1uwsFoGldGp2cTv6ehj5cdlmx1Il
anmvKV7L73UbB5RL9sXgjNXKw+ayiwsbHeS9yCyj6IoGssUSDkpZCyEk+45jhxwEOouglvUpolm9
Jq34imKIfh8iGootbjS7mmo2j5sUTf0GuKynH2Hc+fLKJ13zZ+iXAc2thtYZVKjPNxVfClzUchxi
o9DoduChRetIozyJXK14EKEO9wIrA8pzWURbdOyuPC+vpQckuCgDDy+UxsGVdW4+0fwQnOZJfoQo
EVHjN21EdU/ecNpOkpx8aJw0eKj02orWpN6uRtswKsqzDgRyjwsPKQsZuog6WO4VMpQPNZ+bBoRB
/NhKuoxWPKO1+to1LrD8JMhsRa3hGvEWLCzA7CcBhbwQIp3gFbsbohc9NXmfgoXvthu/cgyh04oQ
HKlB5KyWx5AbGyUWMiE/QqmactI2qDtwYnjGWn/NlfoQOpjw4jbm9KSKJpHzZSjLVtWLRMqPqVs9
cduM1BTiWeTxUXj8WxFxjcvxWk7wzN5i1/VT3jVVCHuMeKEt/8ygjcfv6e4+cVXyWkDP/FhDLXH1
9r5y4s/sLi6aPBdqfYrF/Nj9xTsgkfd5+JFrjsIKUGZAxanSia944Ojih6ea2/v4nMJME2sAdKjd
s8Ji6Uon6ZXzd/ZF8xY4CSi5SVZ9PDvzI4rkM0qgMDs+w64fiBB+18MqWchVe2hV48FPCVDnkl1o
HNNIqwvYGwfAJzdItpItc8KnAWuOznrKE1p4M0rG6kpKNz0xv7K9X5OX2zv7t1Ni4Xvn2OR/vmNx
/LIOkOPQwA7Yg4aEGERCQZiAzhX77rv949Smm6OltSC741P/+fCwln69lgo+s7+4xuu8k0qhnOed
oJ0VHISVi1cLi51hx3wMP8SjMDIfgs/b475W6Ti1u2QeisYWLBMRxt3SUSEA2eORTVMf8haOKW1v
G7vyQDqztbxW5T5K9RBj1LV9BxbYuLn3x5ch+F5tjLmWIjoztbhKMz2R2ShhWNIhA7wGmRggg7t9
3eNpSyr5Ln7v0aLo+WsZ7eue6599tCysKEGAoCLEiR6FDStJyyjv8S/8tEu+0ZkzJSYH2hVmlU+i
upKvueqcTywvfBi2T9+nE2aXlx5UAa10sT1AeG41OL7qs+ZUNkhe0TixZNOoepWT1QA9nQq3n3se
FTsTAHYAA/6Wg+6wNtd2Erv6EF95paW8bhvxHfKTGYqERrXGXj5vmctj+8/HLNxV3gppOAhY57jw
utAa8K7hKFQXAINP0bezz0xuLS92fRf/Y3L+8xMPOT96QS6DeZYUV4jtBryo8hv6ioVVKpHl4URF
CGz/J/pQiyWthqE3RqkZXLG6Q0uNSvGo7O74zMMjjussbgUns3RCF/YW11HvC2rfKxCIYlYHUH18
YEfkLkyfNEQA+jAkX5kZesbmtltYXAH/bRU9oeDvQTJheWQqAQ10dVMN7ljuI78CUTByYeWfqiSS
/6WnttyGK3HMYglnixrQR2CbnztAEXKfL+FUVkna5j10t8zSK8jHbg3zOC/Myba8MLC4TWpJ7Tgu
Gga3lzymhKTy//2cnY1gcV1ISDrzcosRqMlg9UlM24KAfSBRJJKKGu6LIijM28u0eO4tx/S7WU/2
/QAakqTlYFIoocWneHgYQIxjZWWWjvvCyuKOGIPUNwoZqmHoArSlN8luPl1lN741lo9sJHu9Pabl
tf/f5vDggEgnEvpLVcsG1MeZ3GPH9zS8h7TXFrKWRCaKU9uKI5sRsqS1A3JF924aINHGAYuaAVz8
dfszrh10LOf/+wxj+eyIAfrSC4iZu0m87caATJJKS8AVulYlSWzyQUu0iUq8uhL2zPvwcp/+Y3c5
2ylfJUGH4afb4rm3/D+tWzzyK3t1eScuJtngF5cxCFbiKTOgpqfXoMg3hZaIfTQruL+X7ZsUMYtH
hyUzPuVEISPSQCh49claCuH69v1nqIsnhQ+mXhCeY6jP93SNRHBlGyFtdO5QfJZXYLnGDw9EmXDQ
LgYZi6mGXoOhxhytEcdPmulnj2VogeZoyu0aWiolSdGpDGXv1ulKm3X+Vk4KOk0O0AuNcVdDc+P2
Prvu95BFQwFpFqda3JboT+/GxsARbnmnRhsbYNcGaouWL1j/N0MLB1upsV6BKA2n2Ibe1XbXbtaE
nf4/m+qfsSxcLDdAsyQJcWQaMDbEOLWCrRHBDD86UBo+mND8prfHdP2QIleC4hu08dA/cr7IuhC0
sh/zgxsJaFGE+kLVVCTtvls0bGiAU/t3cWO30VrLwiKu+8/pOTG7cPUTKDGULMRcDvyTETCSvgay
T7hg7ZRePSD/Y+ci9REaqs5XMuxIxoeeOuk91znjEXDCeQeHf7rgvTaLTiJTI+KfEV1DBV8JA5DD
5BEAIBmFxq9F6kUslCAGTgZeIuKB2eGsvviBBoc9gZBejDqbG46cv11Z0/nUXzjAE6MLB5i2fYMG
KBiFVvODzqFLMARGi+3Qy6Ao+wBke+KLrKVbHuc1zPEqYisx17I96j/LC/eO5JUG/MOyhC5Ak6oX
JwGuX8lyR2qeWymxGr9+F0pb5jur1cZt2ZdIrZohqOtySOEkwlMHsJQYsm0SQA3pXTO8NvV3WbBy
PSzTYRcfN++Zkzu/r6AoB547+DVVsRU/Mxvj3m8daTD9yusxJY/CuC0geH97WeaTdLEqMxccnDIi
teWjNM9Y5k/9bNYP6BQ4jUTTLPAqzviYBsXSde5f5v3+M9ATi4t9II2hWE0tLCpP3ObZvxd2w068
L01jG62EHNcd14mp5W2YRWlYDjBVZ5ZgP/umairOnQXRVye9c9eYGK57rRNzi3svL6M8Rtvz4HKC
OU4Uip6qy/1wmVk85HQtnbNsVr6Yx8VFGOpGEgFuP7hFrmynqd0EJTpsRaK4KsgtQq+WBfzRi4R0
Zo4MQAAxRBRzJlxHlfS/iVdn/CNIswwoby+WVIWCGCsCEZ/SOmLnKeJzIa1sm8t9qgJJB1EeHa9h
ANkWrpnVxSAFTBjdN7RGWPCIa4HFpU+EAVTqkQPFb1BvPT9/01hL0VjAgBbkz1xFa5DQIZ8RyVZZ
MihH/xGLbiUWvTqmWesMPhjgsCVOxgcTYzOhjuNKbz36t2IK2YL7dm7vuH3Gf/Fl54ccQzoxtFgf
kW8gmTfCEE63SJtPpBilzfgimQKJdpo1WNG2tr8rCxJoJYAIpnHffz6taWRdHy2QeSj04TL5rQSd
ODgAAtRBqTDBokoDWlF5z5lrTQ+XFzgGCmXIGQuMn7fkbTD8ss7VVB3dTKc+FD/00hJis14lHL46
lhM7i7OXQBpvqmRldONnXiV55XAZqV4r/qEV2UostKz+45yfj2lxMXBCGhUNr43uYCdEtxob3D4O
xHJ3Oh3vyASKKWP+RSsL7Cg0cQr4t11OdhWd2W381Qj8Mng5/55FZFsmBkuETMf34KmUxrav1lDo
Wxn1dSOgmETAAJKFZe9oOXSpFPQwosp2gzLvOGEVmxW3dcVhz0P5x8oidjbQ+leoHKzI8WuuPfZO
DmFhxECp9N4HlqFlVBqUlZFdPgyAHoTYMyj/cBRwDs79jBzqI7R4YFNL7Nj428eO1twVBjUARr59
7K9sUpTXZhLleRpR4Tm3NAqZLBV1Obh+QqpnH9SMe/9Q7Yz722auLBUo1tSZFhrvemjFn5tpBH00
kjqZ3CLmMWftoTDcKSqt21auxEdIWqH3Y75jYGR5AbRF0wz9FE+uxg7ssXILjCorNlJL0AY4gDAe
BOcp/m3F7OVyzcwCIKDAJhTUi3K4hoBRS3KMTvc4csi3jc1bzJrwCOKs79aWQjqC9mMtqXW5dOdW
5z8/8ZVA/kx9ocBqLStUZPscPTUDVaTnII5pE21WBjkHJuf3w7m5xU6RZ1iI0sDclNh+6MkV+Geq
567f+Y9J6rQaZ8mSxc0syyHkDLvP/5v55Q4KEhX6iU02uc1f/dij44ihCmxDM6hyAhuEEhEC8LXq
wcq6LslVmxLYD5bnk5tHBZX5t1J9Hd945IL6/uf28K5bgrwrENfoHdEX/lKu2xS3BYdt0j7F3JH3
38PqR/K/2RoDzpWEHpZx1iRHfwE266+o78mu0Y2ujYoxnNy41cwyjqykjAguXA6JxLqzS0YLPwX0
2B0F7qF475p6hdNYuLx/5y+ALJWozD3Ky474KUWz7tikkxtumdWEJgs36FWrLP8pfDR2Pn0Cr/FD
+J283p7iy9htNjtjXtDyD76FxRSLGd/wRoD9O6KbQ0U/hSNM0EMgTZPSUtuJj7fNXbk3zu3NS34y
0WLWNlmlwxeNvMdNT/UHo8ifAsQc6aSYtsiXrFwa1ycWEwp2evQBXfC2giIiY1rBwGFpg7DA8qoD
mg7nX1uZ+OQrRvE2WLkdr/qgE5MLp6C30lAHfTG5PBX2IELbKVuNrGUilm0x2CuYyn+sLNlYKy1I
unCCldbKDyJ9nkhIp83h8bMjfwKg0/FOp6kDxj5Toivh99XNemJ6cRNrwJI2CQ8X0EwljWTUoKcK
pCAHoF9X9svlFXk+SHGxXwy1ERQGSzIIO8XAVLPJVCY74Z9Z+gZapSJUQP3tiHxAi0LY4qVAx3rb
tCuOdo5KL9z8yYDna+Bk21Z1rteDgU1k+H8i4zMZVs7FVU938vNn+yc/X5+AYgrDcl7LrHjU/ZdU
Ooilmchrb98rmRwgU9Cijr/BYox357mlvFL8Oq2wawYblC4v02YgxabZpKZmH3Ii7QQKR2CDnwbg
mNdV69euy1Pri3nsg7buuBjW1Z1io3pAMwpJBa/aaFZEB4oPoD6tTNmLwSkq75FiJyuprGUXze+x
QSvZHEfi0aoaCw8E+jGBBTWmurFrizug59QKbMWsrWIrjsjNoh2y0QhSzmJqQw+U0dVkxzX3AL46
wOogcoPS9GISUP4a6y7sJpe9NC1NHqvn/F780Dozv+tfxT3QvpAegzbpvj+s4bTVqwtwYnux0TQl
1XOZbye3tEoyoge42lb3w9b/AdPnA9Iusok+IiegH38K+qLgFdTSL5B9Wkfn7njUSUQN+piSj4D+
cZ5rsgXVEeHQ92R9uAEdLPeuuhNthTbO07Hfq49rMeU1v3M6c7O3ODkm7ZRqIsswc2BVd5t95kKM
Y8XhzPt/edLRLop+dfBZ4gG5iB+LOk/HtJ7gu4PUU1iYgfKo1jccz6foPJw4L+uB+ZTyuqNMBcGG
xsptVrUxykOBZN/+mGteB9g4vEDQXQZ0yeJybvhOGMtInNyo/KuFhzxd8a6XXgeDBOsqmiTQtcov
Y44UDX6+HCq628gUTWStm4M4/PYQrlTr0fgvgqAR2x3Zp2WAEYm1nGp97Lv6sXzhwX6HFkGa2gPl
bXE7mioBC19q9a+3zV5xczAL7j/0uwvCzNl+vlOUENR/tVj5rl2E1vSalWTbfcrPCKkgkusUZNzK
r2j3B+UMqFS4+2HlZXflcoZ9FZEVDjjczJI+m8sCqW9B/uXujZSqO/GFu0ve86+BiFvj3fB6kz2X
9w2IYOuNQqV7/m4NtnvpZMBEACp+WefRdS0tW9bQweT7haj6bpCBkAMaCOO9wt0jQYaEZi+uPDF/
05Tnp+bc2uLUCE0hGEzRfFSoGeEO0QdHZhod0ektxY4ewfZoJ45qDgRpQfL8qJoBub97RdfinUCz
+347WLwp2p3DoylgsiBEY97eD5cnCVrPSJ0B442OXTRsnm8HI5wSjSWB74Z5SWQAltfEVpYYC1wr
5xYWGw7EhKnfDJzhyg5nK2+1w46FVR+7V+NY3bGn3BHuw7Xs5JVo+tzo4jL3M4BcQZjuu/Vjs5/A
yzxZOU1ITtfaKq54CqRDQMkGAizIhS4vTb0vwmzQ8f6BrDxUq+4yS0oeZCGBp7+9UNcOrsFDvxPG
sE7ibzh/4uJ91vQN1MA5NwMrkRfed1tpnz4xr+CJvOW3/ia8G13lKO+Dg3/HuWvMmcuBoqI4A8sB
oTVAuwMA8flGETK1G8pC4lwOKbog+sqLjqTQ6KykmrJyZbDXjCEIQJYOY0Uqe2HM50dRZVMceE29
ze9xu2yyYCJ6DuDutEKlsHQH87hOTS12SjNWFcCgSeBJvr+Fqh0w+iVnlzUSdQE07WJkCfhg7Ymy
fFwujS4CnWEMClDzYHzV80GPzchTtwm8Lbbo5+1dcxHU/ceSPLt71CjRoXu+bEhFSjmklrAfIGbq
irSwUzM2qz1SuimCFuirWhVhdnYw7tdEQC8O4dL2vMonO1atWzlugQZwDegPtcGzOjl9vwm8aDsU
P8EETsno6/Zwr84rwnd0naOeA/D1ucWRib5Wc5hXoXFExSwHnvBvMQuI5j+OWy36tyHz7wjhNFHx
hg/FtXJujyW9mE4JNs8UpU/pwMyyy4lQB0irbaVjmD2J0THwZzRzyQ5x+pBqBa3B2D6TaAF/VHyL
U0RuT8FFXLH4piWJTCoMFeQ5MAdGSJBgPPi71kuOYw8vkbjMBSDirt3OQrdktQHx2lkC9wTKdQiQ
5pzq+XSETZ+3YVKAGg7tlF78t3j1/xSH1tFoAOmVSbLrkHCudBxtbrumwbKkBMPtBcsnxhdrL/Rl
O+oFjJdQAsisYd8csg+VMpp4kauEFMH5uO8s/umOu++A5FoD/i9DcNiXRXQCzDQDBuLjRQjOZLjH
FlLOXpA7WXuow4fBvxeFNdjWmpnFgZbyfhTKFmbqn2430RVvuAwHfgcB6lvA82ew9u8r6eTI8ooQ
5QiQ4Hj17o8fVdugTVYSer/pl9OQaLYhKWAyRQkB7F1LeFYInRO8s7vQAxWlU9j6bjKzXe0pG4+z
1K/aY0A07gxz8ooHcMAefGRpNhuUG1CkSj0DNf1/f2DOvmdxA6S5DrwKeFy9unrp9HfUAQkDRR44
y/7o5XGsTWyeCrLB1VftJi3pwLWaHRXkdm5/x5XDc/YZiztBNyKNi0RMSwraXQOt7Yb0IHNg1d9J
iRMrK9Yu6rdYBQUFFqj1zCpRePafn9UqC4HKY0PkhQwiUQkVXpucjCMBhy/UA6YMTcOFJR8GCwmH
n3HPm2FJGKAbdHN72BdFmP98CNK7oOBE+uU37jnZcr2WjlKo9pFnDE+iQnLprg8gnxsNJNwkByQ/
PWXtCfCLxlpsQQUhFJjA5z545HzOBy8MQJANxhiBeMzV7HIAiN+utF0s29HDkG8kw5ZLYM8hIvIV
2BkJdRfvIaavrMFFcn0e+ulnzKfxZOgctNj6QJ0iTwo+eqGmBfpF/fqQ3fsgOxv2bfEsFmYBnTDA
sjnl9fbEX7krgfyce6jBGo4a28JfDlUILopAi71EfdVBV+uDPFbwSfLOoLgWQZ8vL1ZZdC7iOvQl
wLUAkisiQ3sBF4KyUVkkaTl4GWFIkICzltZEpaLV3at0esN/fv+8/zOaYBCmE3mtSGJCSwb5kwJ9
DBOile9fRaKJThQNxZuWGGaPhxE1eQT3+8AskCgDERU0eW7P1TLZiqeyjqc66p5ITKkgyT5fqKkw
krZFC6zXFc8RFxDoOyvhykG4cL2zDUT4MyIfLE5LBGEahl3gs27wWq0gPcgbE8BWbw9DWMIUtXkg
yO3xBiCjEsaxWPS24frUCMPRG+m7t+/MDX2rzOkv6CQ2yHqK9HMgrxF5zzCDb7JFDnZugpEffb30
8HwALyoh2/fn7V+oqJivswDN08ODRMyd29E/PxnZ9bZMVHKP1BAesCndzE01d4KD31bmT0c/flor
gexfSnv6ox5kQLIk/OtXZyv4f2llP+lkoDpJtim5Q5JNOSBF77iS89qbf3JydFNitfT2nFwcg8WM
LEI4veLRiToGmBFnqp8VzuT/Djm2Jg+Okq2Rr+QDpHmCzzzPubllXZLrWN/KGsztvXePp2ZCXhjZ
el/vW+fRM73DtrLwl2vtdh+O+105bxvz9nh/dYdvfcHibZVFQ5z1Ar5AfW/MylXp9v1gf9v2vWVa
8PnkyeqIoxKHWBvrzqUvG9ci5J7siPNh6nRtS17zCCcbcqlYqo6yHGgTviYhpfWm0VVq1pX1XXK9
d6EaxUYPAw3ELdCvgEvup/3m/qqtBRRmjk2/nax6Lx/S6AEIUd7M3yBnfnvOL2PyxaovHH2t6+AI
L/ERrLjn0ZyLXmdxBtARxOjQUQ6/OH/PwN8AkGiA3h+UjpMc2OC14G5tshchat75fpDL+Az7Jceh
9t4OjPB0nxAPbC70meDwUeyBN9t+bHD/u451v3Pcp1eJ0v3xASfwa235L29iUKqDyh3lBiSWgRsX
zz2r33XGWEQgZsxE9Mds6/pYs9ws36P8FazqrI7NjHdBCJKPXu9Tvka3fQ0wPwEQwYjXpMiX8qiz
e4SI5cynjs5DkNsuzobGaXGvcFPqvXFQdTObbbDPTe4uPQxmrhMF4m8QPDAFp9roW0xQ44DR1oez
NMF7bZb2T+w1x3yt7f/KHIl4VSBOA+cumox/U6qnYULJ5bWQh7UX5QxNzEDQe7iMEtMvfN4xRL+x
RCUoHWEcGguMdM1fOReNLTiJs7tES1MzHfPQznUxsnJjzJy+ZpzHa2pgTRG/hha5vCnxrTIY8uf0
KrJVi50+iPKkMTGuvYL9aSUIK2dP8bAG+L50orMRrNRMZKviqXK+aUrNCMvOgBF1zto+A2g/gZRG
J+oaVxjIA+afde4uUV/AnlAlNL7O++Pc1sBEVkoVNzwjqgHnSYoWvQnSJFBXl9tA+AjkLv47hUPK
U8j6AJLKcc33OEJa1gE0yYfe6pjlbtWDL9WMID7zXuWlcDeOXPTD0kSdtWd7A09jCdjHtEA43hvM
P0xI9b1UeV+Ao6tXQEvSVR26KLuK64KNhKKK03NiMDhCO+XPIQjTFBqr4QDpCT9Fo40CaUVnnLCX
iD8wTtimSpe+ll2vgwVbqgYAsnu5+SqHWH+pWBlK2wLUsy0FdSMIikUtnV74sq5rkIOVGRsLVylq
kBMRENrx8U8oaX4AjJ/uQ9AKLaZ1P9lMVnK2jVojG+0o0XsRkOe2jT/HllMQzElS1Zix0k2IJKIR
ZDtq0ExjRcZEikAdUyQyiHfUUC3NtI5i5U5mOsu2tZEDECcUEVjyfKkFEZSqpJNPxylG92XS1RJv
dbNmGJXKRM8ccVLbaINPQfsNF7Dmqwmwe9ClLLOUoroLyvaUR0ucruEHg/1FbV6Z7g841EoTqXu5
58BnnoFSYwuU8/BYpkkFnD5TCjdM1aYzu0KoH4aMD16nOGs+KzkTecpAquuJcWI06GICZVKpiUbp
xDzPOJKOctObwtgppsIScDoFRR2DQL/QE9APtn31PYDsSzAVjVWpCX2oEheUNMaxPUZS4uPtxyvb
osnE7xKCI5yTyzmH+nPOgcOE6cNk59q83IPUagrR06wJQX3GNYEDEYjs2dd44JHESAlAzRSHFWc2
AOtPyNgmvUwbI+cza4Z0eGk9M3P3VVIc8jxMn5QmZSkJgCuP7Kwq/IZMY1o9MD8S4v0EKUKMqQgb
J+oLX6CM48Vxo5VGs+8HfpwV4IXgO1FZxG0lBrbJbVQ1Ym0zIE9iMjJe+YpZpUE4pGepYYmclEqk
GgB7riTwZdCwU/xh00IuuSVVWfOCachJ+JdlevvXkDoAkmKuboDNVgbAaViuNy9cLXTgDFQnrFcQ
NC1EzVWxAv2BPnWZlRYgyDVVuTOQqZaT6pgkosZDpcUABz6X1ZFkVoYaQOCrQ4YQnFnCSMexA0dI
HPLhjwKYJChLqlFxijgUBCpxGoNJHo1QeoTVsJkAxIPZRjo65aVJaMddD7VnztOAjdW9mgNuzRLy
iCGDoUyySFGJ6T6GvjKeB59XH3pM40PLN4aT5uhlpiADH746ECNCNy1CipwK/IRaXMQa6WWSo/iY
caATDxQ19Ik4GMhltV2A8TMfW4xoQ6u+8lmvYUUhe/gNbESON1IFQscgjnD0G9x+CZEaYInQvd/U
0F/yweoF1pLCSIlWpwyYoaFPXoQ2aRKKXHX1OeTDsBW4bIxAXqKE+1wLjdIq9C4w6IxV2/QxBBpI
DzhOANlnn6dVHMJttXqhvXGllFcbIW7TDnnY2J/Myc9Ciy+r+YZnCueNsYDkAyhVy2NRKFnrdrqY
YraSiJvVdMTsK236EpQxbYsPjSY11WmjZEIETo9IhDwt40Hn1EAR7hmdHSUKIj7AAyDaVPBWA6Jd
+VIqvwchRR8aGLSqZmhG9CvhqAG+OJpIQaifldYg7ptqBtGSkI+S5zzKho+iL5MQ6NxYgzpJOC9q
akSoSWpxAVKrHqQj8yaDQzDEptpxPlAoJMlVOKxGTJXcmrSJlzYxcJqfLQScNAC/fF6xJKEMIhcN
sDUIkEYftRu8B3vS81IiQCtgxEJ0vdGrliDEowLJIaPHO1memoLyIFR8U4WGyaBFb1lHjGrkDSsf
AhHMg1GtP7RxjhgzToJ2m6th/BJmpcY5Wptnr0YucdVWN2rmTPzQFg5o2phAsCZcYqcsM3QvDI0o
foDCSyCaXJ2ByRqFmH4/tEE854cA5SJVqqZePZVMdaaBa56MIuHukBJO0qceTD8gB+NbJqBTUJ5F
iKQAMDt4/TcUpPuRSMLUfNatZjQWUgTRx4C21KeRxbVExE5XHsCO2pRUz7XqeWpSVEWkYlAUClSx
BPySlvGdoyNonKzUaJFRjoKhzbay7Nfg3dGDIne4KFU7Egcle64SFN43gtpyqlMro38YBNw0VE06
DJqTM+1zqPMyOUxK2TU0S4ExeOKVCtUKWfLLwhvqQvcKFTJH8EQaC02JpWJCe738L4rOZMlOHAqi
X0QEM2ILb6oql2uyy8OGcHtglAQCBOLr+9Sme+FoNw803JuZN3NZT+GW1O6B6LiG+GA/IBJodpFS
Z1UvOWR6xdOXAetzLFMUTLzGrhtwM9yJWKbSIF6L3NrkeJDNRBpBbGKBRXm41GMZhKDIZROZ+QdC
6OxVt1vzg55t67igAyyBk7zdzad5q6b11ktvf+kRaXaXqfWpgYYk17A6h/POvr8Sj4Hn1oYNeiNC
9ngvkruwXkaik8LOz98ZFTm8QtTk0JwSZVZbCG85ftaJz0uoeNH4s3lb/CuyoxeViul/khBHGV4a
BY5bVIFf7XfJZEgigR5sWyr01dVvwPB5f5LrjG+ebfAi4ljS6XBfu77OXmybs4pG6WdLaUffYjz2
oc4+cZ4niJz8rFFM67G4yyqfx3dRpz6e6vPuIZEe6qW7xssYq7Nfm/rfnvT7eJZdkj0hKPpATqJs
60/D5g1LMafbxAZtUYudKsBQc/I2Ha4EPWeeTzBzxP/lutYTeofQo6TZjWmWe76F/+Slnase5mCV
zY1ECa++7lVu06sN9PIla4XqSluNs3+ZUtlPD3Xbeg9eVY9/VJcMry6xhPQszYCsIK3HtT3n9bLh
BTbpeL7LjziWn7TnPtwRaoUrBDYAQJ86Cm1wwW7dvgzxYus3HfWTeRLj3NRfkmUJv8pFCzyu4c7m
h3QJneU2d5g9MWU3+e27WnYfNDeuoJmoPDhuln1yG0k3VKmlW44FYccyrt80ZuH/DjuMCtuYONxu
qGDbuqBwz4NLtUwDtR41KEoeGdmGLlmn9rL2QUu6DdafZ51NYmT0eNmSWx3iiPp6qDxsTmKcFL1a
j6/HW7VXQX3yXYVVu5/p7VT71RB/ymx2dKdjXsf6ejRGowDFBDG/o6GhCQ723qpfXp1n9VvFHpKF
5yELO22r2HwqrJ76iWpBZJt707224WfFU+mTzfbo28Lq+BlWaTBeqoN/bM1Syxfd0mIWOXLe71Hg
7U0ZMVDzOnv18TtZfNGcyXOTLxLm8F5bQa9i26F/q6ukw/Zzlf5rtAtI4I9Ll7JyCMUfAIXmJ0SX
c6+y6kV9UbKeKB9WkzQXv1HHWDZr0GCPP+q6K1tlp6bQVAyPJHHtv+PBClFs7Tzl5HO1FWK71PAN
DZdYVJDCF/OnYS3/NCQKTBepV/NPDrr6OmU2mM8TR+NQRm0iyCwWzOvBNpm6PVcyi5rCHhKa1ymL
x5iJ/Llsu6z+3KE2onDxp/CZOyQdil449UM7ypxizi1NhWs39tHeH1jny5q3XIitbXL6j8G6v8GS
dS9BXx0M+y3yd86p9pGKaDkYyULEzoRSI/8WqiSlCPBStTJaELnHvJ0behc/OuQ57LgNxqXJX9Y9
k+/jHlTXXoUwOl6eXPvDF99q3Lg/WU/ZFyLeqqoc4oqwsMia4Gfe+CA3zTp1fI5FxHiKJnF/I10t
44PqNW2uWe1Py7mZ1l3dh6s/2nObENJW7P6BAwk8fxyf5ngx22deEfV3Kwyw+oALG2zTNHr3dUJj
fE72fnqvwhUQvBGU+cUxEEJQeM3OPN28hGI/L3ufZ+fe6Ib2bsJ7imKkittTsmpfn2hmDkXpfkAU
AagzxTVkzdiUXpfl01+3ZbzzaK4bfDK7VnZX2+XzwrHF9fNI+6XN1XSJvEtq0/a3yLNxeAp9M84v
GdpMycbkzhquce3Z7sS8N04v2RANpfJXDF9sDJTi1x+VRhgN1Gj+TuJjSUB8JgodCGI1uTvT76tS
ybdo6Wg4xngjs9cT3YQ+ZrHbZ281uSy2tO8TOACkduj97W5Kp4keLHQ9HueEk5qgZwPhTpBOooDf
N4IiijSM1oc6YeJaJpJflceb/hSurcyprAJxP7XrjlIyRWhbHMIbj6L38x2ysc2+12GLa9es3Irw
dne4+iexyp/2SMdjMUx1CjG1Jn1axLPsCYscPhw7YUbc76rOBh/32XzoTs2SWs20x6hedN97f3yx
ZmBsuZVYIC5mUCXedJgXW9aTplRt8SpLTPwyD9sizvFssrmYvHqvCyPD7NFr8qQtXQxRUjC0DT8y
LS2V6IaM/Z+BusEHIrbxw8SfEXZnk+GJGTPadhn18q8Nt/5z0De1OovRsCW7VIm2HKia6nJo+yjD
Bz5LmKHoFM+UxNY9+37TmYsfctBwokzZF1Ze82a3RoDV+U3tnYJ8wNt5UKF52nddm/NwMJGMLRUv
gL9Db8+yjv3uXE99SwtlBck6R9gPpZ+OaivTbVWf1xRyoQ46TFEp3I6aNna32ITbzSfDk1mEb0s0
dK/Y6qfgTC3lsK97svzkR1AI8XT+RLwTu4HQujjgZclw7P920gQEZyc1x2BjRe7OeXo0v906H69L
u8XuFFVAHPwnXffAmzV43Aap/iwTmlbeeua9uXCIfwU60v7ZN13KnGXQR+kpRHNQFwFhee+c1rs8
9XXXL7cqa1x6EnR2P8RQxT75bql8ku2xp+fcG5ofjm4VWGhNlqSYRsohnHwH8cRgrsKRYHCcuqHx
2vx1S9ZIX+O2b7BeTBN/PW9r0pKvxxF8kzCpKOuNHoIijEX9I4hjq+5pJnRASbiCW7bCo11FWHkQ
ZlANkz5nLqiDcx2l/W3cOpedsfdqfk+Dlc8aPLq5hVMfTbdJztP4Nub1wGW9+rMuN6sQkQyTlDW5
Vcq0F9EcS3wSupf2bgmk+Y5nsuBmnBPMmaUcj/LjCs2K+PBH2mCSgJuylvEY3I5hn/orWcBLdAka
6l3R4otbakxjDi6PKCBh2guCp7TuOLl35c9PJgw0xXXvhex70qJws9Ne2HzSJjDrQ2JWGkZGBOFH
EMjm1PoA+DfGjpsDn5Rg/TgpQ6ZkxybGMLlZZDQWKUsQqH3vKl5XGI/2NDd7LErT0gecwIbf+ev2
K8M2IE5NnazfDqH1Xi6T0TRjHlTlk/T8GQRmAY4q8p3pjvsoCfaWimox4kSQRsZMFyshLAMT1wH5
FcwlFFnWkWVQ0z5PnFBzqB7SLqz8k/a34XOUy3wsaI447Q5fxVG5RXXclVFWo3fv51pn50ofPR4r
Uk3oMwkeCTj62ui8BV1/vKlNU0uqj6GWwkWVN5XzkMIhgLBD3Avak7/+ob0fx5QswSWlul64NPs4
IiiZ6fZCpeuSP41NnVeA/X32NJp6y4EJ90BRXfb8DFKUcCTRpg7FbYgS+TMPpuM99ELHxIf19n+h
PHZ6mWgNMCuPcasWlate88ljxW9hz/2XRTXX+Iqi4JvXCUt/kfTAXzmQ1cROVu4yCo7oIscAh1Pv
YM7yQj89Ig4b4jl9XDH4wgvdDRkBIWHLGbsS+S7OQ+eRENK4bJ3Lrdt9UXYV/h9ls6fLj2hW2OQ1
XW3igvYatKfZ1uOX2Nboj3JRCnyjkvDNTm7GmGymNsLuNGYz66zREdbyuucOzSP52/Zprsr0o8IH
HDSSA3yuow85hl5VuSwB0wBDPnCObS3NUyWd59F32YwJn7DXT9XmxHEW/j7WJ8JFougp2Kt9KXuO
g7/D2Od+YWNfP2qjIqDBVs/fwiAZsIv1j+VRiEm3J6fBaYq2wdX1Me/7tLmlmZ2DS+i2KLx0noUP
bnqp2GRBFdkLXM+GF0ny4f3Wh8avT54Nou5mOduf86QbvFPYpgBMQElZW05HotunxHld+7BFnaqL
OQhwUDEb6UZEV4k2Lt20Lr+jZgnGUzL6UpzzEEFoOQayFXhrxuF/gkFXvs3RTxaDdhOH5yOqZ1Na
E27fhM3sZ0lcLbcA1vprGdaT+emtXk71Oq8JLt5qINBTNR2xTlswpt+35AOC3FFC3unc09vdqP1m
KkcXRPrsqTW55aA57iQZCwgKVcvglq00IOc8H2R7VU5KUUD95JyltSc+T4tHANLUUFXpwu4cDSfy
BSPmQx0XtufAZ9baDK+T7Acg402n2bVbcPUsOworUVgndgPcryMGdBh9IqOki0VVBrL2AZclzOol
nwzI8ERf1hD3iF8h7tJef0LMKcH0TBM/zPGUmVtdf7QWU7+zxSquCMTuAJro5TJpljKY9mw6rSrc
f3asMk1G+dBT9I6iBfjMm/G02bC799ZUeohlvAgQhpeIaXvPDUiZFY8PpMAA5eyApZ8xVifXPKdr
uxky42ciKnd/A/uW+tPSrD6PkKwICjCRwJ7n0O1v0QjOwNr574A6vTsFmGFSMCmGPillJk3QJeOW
C7F9VG0gRYv4F7Q5JuyetrN/DceMq7VzSP1PmHj46kYhInUZsEZ/Wz4XVYGLm+yaOXDh72tkql9U
ZK4pm25vSfccpzGcb3oPiHLPJl96912gpu1yWP5VwCTBwYlonULcfcCmPvxuBLCQW112Qt0vzCVR
c/rWT0F/v9VDypjxGE8J6ZTMyL7Xdu/HF2+wdeAX2+G3YSG6nOyXvUdAPe27c1BWa0XoLqhKCb4S
JYU/aHucTF9haZsBEX937U6FpHW3vRLLXX1PmiP5PVXdob73ijLzeeYKSb6EXNru7qj6oHnmKXey
wfw54WrDpy588JMqrH5u2hx8MDWNn4Jxk7ZU+VDrkv1lMTeLsom4HpxCfhgGp1gMsRJfpk0wLlD5
VlKc+Hul3tzYbxxrUuKyS2nkarGVw6Il5gliTrGzrHwR66ct3md9V4eLDjC60umk3gbnBXyL0abt
U991nXdKKHP50ka3r8OgW1RYdEv2z6C6RQCQQxbQ5iPykOknEymigqrm8OWlqhovL7n3NtxFVpvU
6/3SeVnIga0a7+RRrW732IMEX0HHl8cpo4G79lQRxJUZ2yWP7tjMf/UgjGMgXMXL52jwcUmIGidB
sOkWab1zLWDp+ZvkneytnW5Luu/DaZ2z3d5b2CqO6Q9/CSq3YH2Us3Hj++zSoQV50CnjuyDwTH7O
Y3wb9tWXt8Vq9MlFIvaluiLs7YPz1FUCHz/MEhoSag4+12o9/we1btoVneh9nD6ETOCDguj4eCYS
2Mtt9LFYkXrj8VaZZg8AdvN8pjJNMEJXazoXcWBQd3khkEfZLzYdXw090nBuBefoiWyearpgkV1X
V+ZDoq9xRpXCaxOtd2qXwf1sSDSlhlzHqrLnAw0Z8bKbHbq7JZ9j9bAHYk1PTUda3intF9l+2w6O
xLuuorypwPhc0AQF18SS/I381EdVdwTp3VLHS1rkOhI/mPINvktvHt2fdqmz6jdI3Z69cL1GNCFO
fSgTjaRIagICpWKtM7irdqCKVSA1lPaNd5vjWAN0mUbjb1oBbcEKIFZ0O+CYifPjxkll/PLISRX5
Z6w+5IOXNHK7NGOmnggzn5DFeUdElWbmA0fBxoRD2U6jOl576pB3r6PAK12aDl8g0aFycGzVzrvP
29yKb+MQ4oQ0HdQSB8ZYw507+DzlKHw5nurZ19k1lZtOnvItaPESGfv5v6CNUhS5bhv6YiTIK70J
fI2fsm3u0sLNS3BOO7KGq7BV4XmsKPnOkZbHw659kxZ1lSOPjEl2/BM2vZ89Wj2tPlgUQBhFarqn
JQfO3OABb415TXS4w3No6TNg2fUUu3UvYyDpXUgQzkU0tCIhUxVWyeMunET3pfkwuT4PXor8c7XE
bUyrdq+W6rq9Q9IAvKC4G9NiHDUdUVP54TsvUzzTYeyP/bKlP23Oxyp03Nhr1h6VKLJUzj+OJF+i
QiYDJVczpVHNKsgmRPpjuwCQbiZ9CcAxJXhBmjH1MU1iLwABHKkGW+p96YHcvQIVZ8VxrwgfwHix
pn3OR0deBSxGbHgazTRKxh3NLppCd844rb9sblS/DPDdc2cX6jDPN7qMCau8awewp/Po6PTKoF94
pjYezER+oPX/KRlESxGPU/B9aDz9qw57by1Gu8vXmAIrPq003ft5Do152XAfIc+LvLxv66Ao1Uah
kvPRuInUxo8CE/4i7d+b9KApl2kD1ZOGTfXeD2QFtOoDqF9ovM87ooeWWnbqtlOz23Y72X5Ic/ZD
bN5yOGgwqqV1KAkBUlQ5N2P+3TUoK+8Giv/PB0OEb3Vr4fCqYCKdqdqsexo8AwQduMb+qquMcr9p
B4QbAcjZ/ay6Pr1sgeruqnnDH5gBqQOPCqBMviONPGvUi/MbFFBCQdPJ9NmBAbxzOUS/0fnADAnY
cDi26oi/eB23Ox3TOr5HvEi84CV3euEZSShDotrwV7rO4vM8TCMMRjBNfemJxXKIRaF5X3K/egli
/BfEcuRfnKh6H2rHYkYdtAagf1gHELu9DcwLY21Jd+Z0pCqRdZ18W8Otaa9Thu17Eyc+cTzwUJ/2
TRHA5fWOEN09X2BndNxZU6ZUgHd7HkuN2WW+/KkzOJAC8FN+TetAAYQBGr5iBaG2M9L/OS977Xxs
7YJmjspkoIimh7AVX7px0X2G5VtXTHtrfze+Yo6SSxmgNki2abtRQ9oYkB4qu2RaXkKajfHeXca5
8p+navKzYtvBuUqhd77vGvvbcjUjcT2ksDMTtG+hhEu2w/61t1X3bxvzSZW1WjJYpG5JvyhP6QiL
tki/w/aTSZ1v9MClmgehr/zq8HPdxO1RzFubX7uIigEOomLwWbbtq5mOcL6b+oVFFZN1pGkScX1j
kzt9G6eOuGgiWvq3ZpoPScRmvqtzsmISVfqRE7+PLmLwbJXV9opAoH+WPObTWicbK2L+YDVoipfv
2lv0J4CB+o+zzUzrSNX2a5mi41H2IRCOcOm9DD5mV+ySJ29R0yRMbKgh/af2I8zPtltT9bZHUG2s
QTferQvLyvhx+I3e4gMytxkaM1sr/TCtzTADuIUz9ZAf3jWDq7LzHCUOJVraN7/yYV9eSKbjpy50
y+4CPrlX5b5F+y8vVkpd3GrG76gkqHpEnbTpibLSwzscPOB+Cx2WmttW4/Gv/Jb8nF66bbx0lLxv
WRMd0w8kpysJNibRs7xGHhraUmbedPH22kwP65zDNKeR+1hl3WSPW7qFTXyDrwgb6HJfyrt1tCSN
7elOkkezeEd464ZcfuvYajFIrUmi/8Bil+ArQ7WR+UFtWaOu2HDxgf+OmkvodTooObiDHwDwKr0u
+9z650FvCy/Q7KlHG8X/GjA/Q1y2rgHODUigl+TZRxdAOdhW43SfHFSypxBG+EeqoMZPFWeUf1ZD
HyOZgN5HSk730d7oy6qtFPtW5ZfjWHBminvgqWveBcPEfJmbACmyTf8VOQQUyFu3vGc0ZYLVnvIi
LcLFvmRDLL8HIaREHH4wzpSvmxfcT9T25hLJFRC8kN2kvqoakua34I+zh7H1vbY0IymjZxLbxAod
UcvodBAe57WFg/rITubgL/zEmRbnD2M1dwSBgZ9znlTZc+LS+N86Ob86LyIYg6J2bfZTEHcBFuGv
PmwwTPwlTTpvu3UNcyLIoWlIETP5WCC7ObbkappFAxmQZerN52TbOWR3D3jywnhyOp9ZdqACcNUx
OrrDKQbqrcdGVc6Tz5Hu2/ZpTjTYaAp6ghIiRl1zT90aYxDW6grD1jZGQVRx5cpySOJWlZEJHZXr
JJI3P8gPwqdGRyuZzFMPby+zaaPZyxugtMjvhwsyGKbkXYzkCNYzU1B1qwi+9mHwwXMMeOzc7W6r
skILmwac23mylEOT0/ysVPSi8DIg0i2H4y2B48V/7OMd0ci4LjCS+zLXJ1xKhPsa9oYbX8ht8c5I
p8bu3rR+x8I8Gmgxi4wiPduUrrXkQM1WpqRqF53wTW95Qa6T+tTLMNqf6m0OYHgN/Nxx9sK5O87r
KF3zvJs6xdVohoF6TiKEfw3nqc3W5w00bTupRB/NvR6t7J9M6jf+1cZDuN3lZgOul3Pne89Iqvbm
1qZDntFu7upRzLpeKMK93HZfAfB6S6MzGv0aGdf6DsYnHtsvQZX0+Z3QGaTLOnhJwhsGZv5WN2Mw
XVUgwejzw9++RLRnadHgsv9hvtvMw2l3+eaueaUz8LvOY/pce+P+B60YcBgBwpm9IPMjAw+0MtKX
vj/EfKkcZKuO3fafjbx1vQRepfRJaeH20jsMwRtbrBHoOZ4LgoXu7lk2dq1vFgNX7ie1VfsDwruF
SAkBM1s2iQWO8IGgQC7lpvJy/QhfLKk/NuaQZMicnFwOEFmxmHF8rWUDUs9Fux3noE+Ym5ja/ENY
5G+pu/aTWH7Q5dQv2V7Dh4RZO4fljI5hAvnAfuu89Mo+Gnj+4yK9qa4xUaCw+N7ZbGFCrx1FdeEj
I4RTA+wvuWljvZzGbdQ5qorwyIE+VDV9yjtylwviobbu3O6axSSXaEdUZia9fx+QKpIcZ8LZvh/8
Sv0yVyjzzmsio+bVrrDn32vh9TEitAoD7yTQAzX3Pkj7ZBgbeJwIaFq+BeFhR/yW0ondZrl8y2pq
MY+tgxkr27HGmzQvKoLh2jcpYWjKKma8ABgYchdQqzmqR6d0DF2UZX1TwGOk6g6t5B7fqxmZ7RnA
ut0v45ozC2rHfA8uVKgiPQPiKEYM+OTVnWtr8+RBYumbY5yle1tzwKx3X4xNeK+4epo/q8rE8hA4
xpaLLvOT/ea2Pv0U6GxprnW1y6NUjQtwKU0RojxW+8CMNqpKvKrW4wCdazxx0G9DKrRfPT+LZhIb
Mp1/XnJPrD/iMepYXXG9hfcHdQ6Gr1VsTGn4sfJ0LFsHHYlgZMUXagi4tfoqE59wV8ry67rDL96G
Ycl7sNKUaq5cZvbPFSZ4XotIhnFwwcayc+cpSqqcVbZkCDKSOW7uldhYlRsiq/06aT9Vf4PJP1r0
WhFCt2XMcwknNuvd+yriXibnbvWq7opKY+9PXmKD8YlTeXgeZcA1qINs3J4Hfl5+U2YfqndFXKN9
9fF359G5rqrHfqsob3dp69+Bx1z2p6DPOJlTMGrvAfaQmIIBvBeThrEJuj/bnoaEPsw6Mud61zHs
KTh8dde1AAMoNo4dRoqDex/Ox74NAfljIlm+eFA6ywdtA99HvSnQJAJSV83dSh7mb5CITXkFopvI
nZRxVVpYOLzhboUJgE3OpQkvnsq97ZL4CRbsLuxEfZ96egmvCSnLXzJVtcfNc13YXK2F/y5mE1e/
+7RGnrMydT7AknBt6wIsBmAXyQvNBv3xyphV5o3rCWYcNb5nl5TrI+eyRpxmwg8pyZwtN0+vnnlg
myNkEIeM+//UQD9WuHAKkvOW2zA9xXZNgImCcEyxTdtV95DqzD7kU0cL6BYPW6YlPuKdKMSOtBef
ePb24rkewUiU6DguwzlB8cstybXqj462wFTU0lMPC3vVaI/3QlL0mMK3YvFOUilMr9cqRIDXAvpA
YyDQYsImh/o8d2pKux+9XvyfKp7sBOZg0OGhu8hNYbYs+wFDHJNcJXTwRn+Ex5Gbupijr5un9jOk
idyuu4LquetU9LGXF39n73dyT6Gt0p1r2sTpVE69MeRTHr6/0LgxAX7v1V7IIjgSwO0w6bujGOOP
/sqsYeTQrahA3CkGANzNO3QHJStrCjIvTqKPCmKmF2X8OslPqkI2QRs4COyI1qMmfnKc539Sk2RX
p12XniXcysuhU9CafFU+Y8BVdrxzcjBpNNGHvkQ5ZOh1qub96+Y1DPjnWs2vAPrjUy6mtqIFmt1b
i6HHdm0nZY7LQHN/oCacor+K1ZQUwDxUNm0QuRjK9EghF9MtQF2Ui+Vf4s0uvtXpGvDj8fzoQYdc
i29Hlni/IFGWFtXdmL7ODqatXPPOyLJSC4oyU/v2EY8Mi/sKFUpwC1ye41W4OEdk5r403/w2D3/Q
nY2frUTjXaxb7velRW0c3Ay02x8vjLsR4XgqTemTrl2f4F1nZgqzbnrE5LhmsKrpEPk4iIOvGUJA
fcscGqH/DHD3ijQwY9miH5ftPTBFPOF8Ka1frLsWqMpq1vwZzdi2UAGGLLjeTD7owpzufzM7HAQL
kuzqXZbaoqrYiZY/rijJ/E+W3dOfVJ5slLB8C5inJKJ4NXMbXjEAzZEGKCHDs4rA1k4rkl3umThy
7a3ytdHAD/2irkq3eP+xXZmsztKlA9IRjX93RMLj3syiwWLXIJIH38/RKZqRIBLuAi4tFAZ7U1/S
tRNhaUOKDjbYrMbz4ofIEfcUApcW60M/mIbrzmiaRrcEq7AFjuSOigVeWUfDQ23k77dZdvZzg1Jc
AcVRQWCG1eGEYYCWtzOlcXfz8jwYH6HQ8y85/P9wzuLVQyc/yzQpV284orsOOep+D3PAbvAOZNVn
2W7UAls0KXSsHbBQmbb1RHDgmO1fRUp/VIJykk27pQMcfj/npj2bVMZB6R/Wh+WT6/RqOuI0iyQT
6seWJiOSWmer9Baugmc2+/w5WnrxN9Gd94YkJ3u2lUFrMM6o/e55GPCvvQuHoRzTzaI2nwReTrQB
7veSTYn6vpvRH4tMuXAu+rSrk2fIiqjBSE96MoRmqeMgvBvg6Fh2kMsBKny0xmfjz8nxtRHAtwUI
VIsl9RLhctrH4zpc5vRIPgd8nbzUiWmnTx9aml9A4nIo5TG1cxkpXb9WnaGil6yse4gS1n6U0FNe
VDvPbw0hPaS+OMjE67LUHmjn7FffOe8PcaEEPaqTrEagOTOzw8vsUL3/qLLI3aJjrtHaukVRarcL
8DK/vPe+Z9lh6Dz7lqEZu0Vx9XOBCbp9hEgkCDVYwu6a+HJG42/6/c3z4sWVVgB5/FRLZOhXxgkD
PnxsvQD3fU5ioIzevcjKKTReqSF/IhuZK7lEQWj2e8kR9wUeRvw2CerGu0HM688JDUVzmpKY3RWi
L95urckkI9LZ7OyLJqaIaKnGzc23LN6a7cK7VRyDS+S923nK0nNXcw6X07Ak+/2m68pkaDvi6NPG
NIdFjGUiRhzbJMsLUITDXrK+ytOLbXv9Acv0+c9sDMR/ag33ERWwir540szf48kj3ZIQJtedVVqt
rlzbQ7zMY99x33LSmMuQdoHHAHuNxxQCjhF6Vok+qj4jyGzn02IFVmWUHcn0BpuS4rGnKUTLbEux
lPfHEUR7cdL/uca2ee7mJiI+K3JAjcNAu/Y5zA9ipce63VHDbN6Eu7haRHj6mPSYQDB28x5uKpxK
9CHVl41grBEBbNvWXAkcZGc6Y/kgs0VwqcU1KDR1FQMYwMnDN+WPyx/q535/1L0Bs8k2u4qzZ0Ld
3LV8hb9LMvb9z9hnHARM6n/SzqS5bWXJwr8IEagCCkBtOYmURJGaLFsbhOUB8zzj1/dH98am1GK8
15sbdwoXCzVlnjznJDfPqu8G0AqrrnlCdUnv4VWjgrBdO2ETJN9ZwBBqNhlqtxqRwON+y2ucrRzL
Tr6XPI8HczDHVzi4iVp6s4K/VIleNcu5MZ3v3WhVatNyc0Ykhk5lPIvkpJKj9MwrnRe+nt4sNAyH
pIRr9lbX8WjsGljR5gq+XlTdxPgKzo9zQClzGTkxqAJVXvDgNSKaLN2BJvvNT8Ig29y0njPK62Qc
8/JgiLrmXhvnwVr01kB9RNW1JWA6CD+xbtpJNf4KgmDn4I/T9vaDKkcbW4+YS2A78y7QfCMYIrh4
pezDq3puhmQT2k2VblUTZO51zxNt7MCIKYDSFZY6vCPsVqx4HUNzE0hFfTwgGQPz8IL2IWo02bqp
7OrLEJbOtCgdj4qvgDP16Og2EisewxTTVImsHWpFSDm0zbyKy312yrtyosU64VRt9xso2IJf7U/Q
4unCMUKwmy0uDYrhfX5V1UZh37Id3WA9tuTxy0AAhC8qlBb2Fffg3C0z9LPGVpsCFl8LK4zPm5S0
TjcH4xUTh+oxrdu6u9dNatnrYjD9N6eBcRKlKvVXQ+6HP4PR9q1F0FpRtB/dyQCQQZIV3koskd9A
NvRbX7ikwMloKu8hJds3oZrAaEuuEsplUIypFHaPPvonqBhh1hB+KjVyFmfXNzdN1E7hblDQf7mn
zHBYmbVVTZt0aDz/1jR9ycs1eLI80h4lpN963Zz4e7HjNt6rbZArsEnT6WUo2kRcCVFDePf8Uovb
3pmp/oz5PFl734YAsxGunAk0hJC9W65zRBZVB8MnheAGCpaPZXilokmVEBoKUYIH2MrF3TGeJ0Yy
IBnnmbaNvRDAsgGnVyhkyBSiy6eMkmO+yQAE5mXV+JK7QWfJz4j9Bp+S2qlL+iPabp0ZeWLwzp2a
MMVmPFjf3cRqEANpa0C9Ro/3Bv+KJpzBn4nFhqGv30rqYL/0ZOeICCXGhg/GOOVBuCgNLwXGKKf6
KYlbUxOEG9IoblozSbii0qB8qRG9UTzqzeLbXI79U21OnfWgx4BWUEXZ5V9lnXX2ss/awVwo2sQ6
X+ksUMIcjWDzLmQ4ZmzAeaiAEmOCKbkcRjV5G8vDCAOtjjsXm3Fqxhtp16Q/0NTm8DCAVAlS5giE
psOFuPhhlzPAcesVLY3VUW9Y2boZvPnLFGrvmCFWqomXZezuTeDKjGbPfhvc9jKMvTUsrijZ22ad
B/ejlc9WTfikowwmA+HVBIGyGL37CYpz/0xhXHxrTCpEazw8jHQdtnBduKZDl4cWfGFYBHmHb0gu
VPiE21zSb3sBy5oyzzhmB8uXJ70NmruBBJBeGWs/NXg1/DSMf1BYN4H3IA10+ujUmMU9ph6GkUt2
Iu8L9GrvW9vE2VPiUuNBSZNlwLLkr2LTJNphN/lhK5cQYdtbSr9kr01hZ3fwn0/S6rGRw0KKSX2r
XXPOjtQ/iZ5GjJaDlSua7BXcyuIVoxYJ96dTBcoJAfDeOzFdkdUcOWgm8hPB2YzE4N3CR6DUlnZu
AzuKJCxdBkmUaN7lktq/r/ivv4F/g2DngCIVm8iBqkTUAdGeW6wV1Qrhp8j2Pn0vxToi4oUE46U9
pMjUtLLhEBAxRrvBjefuyjTz+jWmeo316mxNPXm/6KOFG4fVr1GNzmtoViXXRC7iZdx7ybHwB++r
QAry6hpxDRExQO28Eq7XqFXeFchDa1Ekr/XQGeImUgKdBFT2qF/LQDe7ZGgV/Yrhyqlbqx2i7mtc
q85fcIRdenpQTK1XrhPBcO5sA/ZvqS0c+eM8taiFV6P3QlhNA1EHUQIuT36ALg3GP3xI7U8jK+R2
/njSbEzhgk9PvNUnraqWyL9bkyBd0X+zbDIxfOsaC3iQrvdjsPXs0kYzqk/KO4pJBPRLgxJSiP5x
yiT6OK++V3Vv7UEr2g6MNW1/5KPnordRIKHATcho5l/ES+OXkWJbtwnKknB0E7jwZ/MFudSwkk6Y
4vJGfkfybSdjt/Qin/YTTVXkcuWHNTKL3A6zx0I7YQl1JHPqZdvHFbb9ojcK+Bp+fo9uk82mZW9e
E6j73so0qvCRDge2cTPLTNSreOz86a5xwozYty61vdKA/AEhmMNdxaGA3FHXon2hlVbjLDuXip+P
VU1Phc4bX/yoC4eXeZwBo2vpRB3UrtM2HYLE/gVcwzrE6C/9rUmHU2JvjjWrNM6WXFI8VKyk3dNV
xIaZtXIr28BrYzgBHP58CpWqwEKp22iqmhDqI/NmijTSdplF9lMVVBX9Gz0JEccJggY8LTCMjoZE
XfdE4TeHk5OiQQD/j3x/5cp6uKE9TAwsypc8kJ0nB6f1kRSBRBXZUhXd0K1pnW32i645qaSVYVLS
jZB72gvKmvIGbKR77RPRD4uxj6d9RtIX8QD6/niV9yfKJlVo8340+Sh3fUvFYkdZrS8xCWzyH5Dn
S9J0pfI7PmA8gtLBbaUMEln1RuikoM7Q2wKBEbRGNBLFXB8boyvTVZAWZPyG5keslV173y2rQ24A
FAoLPbNlRygeYD5L584ZzTfHIatgJ5yonYORkT6aXm4i34UkuATW1C+Oq5233IwL/hlU+6VNTfOW
NDaalwVVpy+BT8i8tIe5QDrQ+cl9g4hNLDxYi6C8gHML6OTgKzxKcH5LYOYf3L5VsIFJj2SQJRmt
zRj5o1goK50474HGCpxoqXP30Wy2xyAypmMoRW6uKFFn1ZWT6fF3VqFIWcSqpX7okaI+U8con5Eg
8Ux5VpqorWhg4d/UVC5/ZImPamFOrF6tQydMHrBV7Un5K6u7UyVl+hMdgGd4bKrs0R7rVK5xSYM5
GcxjfO3Tpw1FXm7i6+KUyiX5F5af51zBUan33MEG5C9fSQ8ugTCi8tWGj4QDDiqfJv4ewYiEsMiO
yK6FbVTDqlZKIxwJ6Ldwb5rk4Ue7yr36mrur/43rgF3dkmh14VWVqfxlpAuagt8VF81TXNqFsYny
1LuLwCd5WyOThWUikOp6E2gEKwELKkIZ2xT0SFNb+0agiayQO6WjPayzHCTzy5yp4DiMFPZugTrN
h8T00vom1g6odmuVVnQ3uI2qb/zcOhGzOy3CdToSvSNESuYfyIipH5HnENiQBlJ4plAcfPMaYif+
D1/9tlxwXVY3LGiLyDCUdltIh9t6Hjy9zFPpHzCXirp1P+rmfjDoorxTVIvFV7/2rSe7jZvvsy2G
Cp5SV4YLOy1JWSEs6NaFQJElRrjoEk0fQtf1nWlXm6k536CGKbx79NXTo5UnECLGuEJ2fwrM2uum
dMORZUyR+aH2oJo2prFnrOKyriBQRoPlr6WZ8VhApPK3lAr651bm1gvQS0zfoK6NMVZvHM9bBmFQ
v86eZ0Hy7s3JXCD6iL7Xs26/aSI5DuBoI0cZIZ/+lERIlBEbcJwl9OixfxmMpKOU13Erbqj8WPZt
I0byYjRF7W2K+BWJnA64jkjik5WeitFeBF4GZboHiCh4E2ZKhJ1lm6gmcMd0NrZJnH+vh0Hro4tq
CJafOwQPBqhhfxidQWPOYJHa5KDuBoRbBJ0+tlRGDqkmQ6TaLs2qqK2tbYUw0RJyCnc1UdjTy8oO
mqc8UT36uQ6ZEJVf11/3tmXau6opSko2oVt/K2ujaa76LEXLGnZduhJ15Djc3n5ewc6nnyDhlvmt
7GeTenReFgCusZVtBXjvScZWZ2uQCdVwfsY5W/axJI/rbBluh5TL4ho9vA+/PUqM4SvRTobtEsWu
6C6BQNP+Io3LMdFIfcyBFmCkqcu7Hk53JSqCL4NsIc/mLbHEwpJyqB4nW9vw+WY4pfxcT6VfiEm7
aIe3V/8zCREoLSAsVdwPpWt9U7kx3SXmxCYsoqJMNn3Vlc9jPGaPbpTOQBJDNb12PNY/e2gqzkko
1R3zMDLKFR7dk4Tdb8Lqdb1RPSp/gkOoas96ScPydBVMrp8tEd3lKetBqAcPEG7lIqpanHRaG1rY
SvM73cXEXfRF4TUB46qOgi+tHybRowWfi/o/92r6WMkxfE4yb5zgKrbdEXS4LtmKM2KaLjC9fktB
CCBeBW2mNqZArrsoASB/uRNx5qqx5viunXwUuijOGhgvSOOeUjzofDi6EusWWo1OiGymKH1t59JD
cDkY0FV5Gr+bHO96BYk0f3XB33GfQovYrxBz4GOQD6a7pEQ9vOAQN9loEeP4gF+/pvmeZxrmVUuI
uYcbEb7ARoJRr8o5xl4V644XJF59vcGiOKiufFhPAUTxJqm+z7zjxGBmYj2SZ3rhMrNyuP1m1NT3
cE/G6BreUsC/doYx3zmYyxS3c5p122qua3YJJaWIvWs7EKEpDLzg3M8SuE3b3yVzYb/WEtLpwqX3
MSa69QDUbWgEPRCKHFhTQMPNk02S/gOlR9ZeZX4tfuPbUcn1SO8nugJRo6drZh+cVqOTEQx7TM3m
jgqfOSvEImVJgbcqZWEt3aScsE9nAsadW8/FFwAySj+BP+QvXLr53UhMYC7BaT2ipSbqTm3uw+gH
N0AnFojCRn074VpBwVjG+hq82FJbqLBZ8mDjCtAzzQI0sO5ajzBRJ8PetWFnceWVuIhGFSHVIkpS
Lpw+VY3z3OPLFn5HthKEV7nTx7fQpywNvoizEZsWbkYJYDluAVeqatuEHbYKKoZEuXRkTE+tyTZd
uZxLd0AboHL988Sw2vdUEcyrufEGRcBeTfXNCUv+HmFYkUBRcK3nREkNdj4OoXcoxNBUD1Sr0Jhl
3snawIgSUd+lVt4m687N1dc2DiZMh4nODj6VJ2J5iE9fSzEhaullPlM0N6Ipp8XxRIqs+6SnAlAE
aQ5ydOJugMKzETgKFRJHs6+J991qEnd5MwcHnHvi20446LAXXHB18pgh29N3jjvkgiitjVF+L03b
NIR5hwkLacSmiCvle1B7O9W8zRn9+OoV6C102UXm2e4wbuj32hvdPXR8UYmjN3Xoq65EKKMMTQ96
wCx40BMOC9WNZ8EMJlMk37KCtYOiXrkIVFCHRzu6+XkGfZuVSA3i1DqsvjulM5tkgLCeVknUlwjT
c8f1N5FP+5x8VdRSYksae0TfOED1Zv67bIIKZiZV62HYG4W29SMc9dlby2IYiLzMCBsFq2hdf9FZ
Yvpl4d1SXM8+AQclBrvMn4bIz8rrkJtQrTq6T7xqzJvMY0M9/6TW5pL3fhp9NgRH6U6ayo0nE41D
5Ril3S4xMne+yq2B/s8nPxGAlyHIgu/z5NTZbiqH0Nq2YJ7BXg+Yf17j+sedKZs5zFaDGbvjY8uZ
phFx7joO2gwcEb5UnYznm8ZLlL9HYYTeSpKgouKiJgoZQnD6W7mAkIcsa5FzuhRxKxKSNchHbTwA
niDdGRMKuNcGFpvjwsQDhtMz41GAj1EKOSdo9cQfSym9X5B5Dyegr6If5pDlUOK0EEdMfBOY9d0o
ZqTEmjIBvIv4WfW1810iouG9KAf9IMo5p6GxBPKcKDAiFkqzmMiGdycnEde+WiSuPx1tX9n9gQIV
bxgn0n5uLI8WnAFn/K43+h7DA5ZbXxuq1j/GsAreEj7AvA4hhpsADSA76652mh9ZOBA+DnYEEOpm
VJF8a+DPjPx5QDlny/lbOQeGv5VJadRbinjjlz53h03uOLK5aht/7O/yscZ6xYNV8NhrgD7IEyiB
t6NfojrF/Wdgr7gJ7qc9O/BuLnhhb0IXAhDkSW4HDINif025u97O2dxW66Ktiodp+vPeWWJ8rixK
catahtQyEdDkzjJkXHcZDlqMIOUqQWtSdfa49YskfMF0JCJr6DJ9i5wVx5PBTot1agvlLuBbwFWN
FGT0BQBuV2y53kvuLLvH/WcOw3vALlEvSNuB6xqTDOwEXAlr3aDEfKSQT4HaqlLjMIUhwG0dZEjX
/V53v4fBaUlPOUDlOoZVQaoOXlwAEqJLuwuQiPoYPxSi241gKDfe3EKdHunRTgNVPHzkTWeVHmTr
oIFBYVKgrThQ2RivQ6tsmFrgt/OtdAFDEafXfr8cGrBp3EXETELSYD98TGtrjK68xgtPMq2qMm9l
j7qAAoIBblfWYz+uzIyMa0n+a8KgmGIYWW7RICgJeowWqMvFi6CRVrGSSTD8gkBP7udDO8UkM3Q7
+6po3AAhCe/1VYG16LzGHUw9hBWeCSucO/p7c/AodHe+T+IES499lsJ6e279yqZkrJtm5dogzhDo
zPoeA5gIPAvhQn3rYjT2ZSqG0b8r6Dr74plTvUqk7Ppvk0XhGzR90jFxL1V7zjfVWuSyGILCcqx7
vaC4Y+ZLbEIxeBExUOQa5glMVwuLAWgXpGYCxWatXspT2rPyFT7B/GKnzHbanv3n2nRRPVO+VY9u
aU4rpOX9oerrdDNDdw1g0zvtT0T8MHjQh4DC49NHsjED/pprsnjzgN2MPumVqZYuQCATFOtIuMXa
QOWEdQdsZJiEMCcQl5Yz5XaZ1elLkg2pf+OlqTHC9E7NVRY72AVo4fH3ulS4nA1qmPcVSfuPArEB
UnVjiB/CuVYSKR3imAU85M6iWgnDeBML6vzsM93cFKbwJZ1PdJ0/lHYAjpKbefM7F335VgAN8wvq
3CNJBzGY3nqV1e7a09V4yIC2hkWU+5b+5ZgGhSSLCv1VIBJN+6ZJtI+YSDglynEvIytqyzyDL1BZ
16NdU0lpchUGu8JpvHmlKUSVa6+T9NXx4N7fiJPR0Hoqwv7Axdona8pNcNEE14FxdercZt2VWTcN
N+gBkE0MOJCIXRWhENMk1bABzaZ5c1xXj7foRrRzBL/WNupYhB3uqDGU6o2UI4fWMDTirZN1SMEi
2w2/oxuI4QU3emgPYTA6zd7qxhM7rRfR3kZDER6SLsvsvdn7I2UTBC1RsoHN4LFxhwRhoEAD/CMC
A/6uUV4cYQ/B+Sag6F1sgjSKR/5eFnsXgYOxI2vpJergtkjXFbWoAkcIhDSAEhFMtYVPLGUsNT3G
kk2dkjhxsiJqg8uotgy5clLf86+55XDyVJZxohJhrocbTT8P3RFaPkbmbPzSw9IkmOH9tUsV2Z11
CBpqBuECPXE08KiFKDTqpeCyzh7AgGYUmrQeU5uh1UGx1SpBnkjJrbM2M96c9s00UHo7IcGSzcvz
uyI1ncNllIr259BV1jGz8bVOl7oD5dlPNBrEiip3TJ8rM5ja6gaqTWZ/FRhKUApWhjHcA1GF9Rc4
kyGCahcugb2KIb3AiZEUCcEG8VXJv0Ru7/xIuWjggFjUKNy5t6n6DA7mjxDb3HQ11JDR4YRTft1k
ZdL6u3RwevcKr566udIDAQsPIkwOvTTjOilhPDsaR82xjrvrIs/QJId9be3HMTADDUodCuttzu36
Vuag+19daF3i2EJAxOZrnlrvIS7byr/VSCVBL0rDwCd9ZpirCtmt8VXYTV/Qz5c/7TF1wfu3uqop
6aOBkZDwEIkndraSflDdt0aby10HtuBhwSTlYyyjACt4UxJcV8kAv8c4CSJzihHmNTFvEO/GgBO7
DVmVh7YWZJm6brEayFwvfCXBHJsrbDO7Yy/dqllHg9P1kJVbI9ihLA7MZdkXE5oupAjCuPEA7zHt
8nXo3/tJKX/EpRFUu9KrSg9+uiYLQeDrvHKltPgLtZTscHMKvD4BbHAtjxJaAzGm+lrMPIAlKros
TK7DMDbbV88k3gYbQAe/LqKpsu4U7nThtojhI2CMhnvUQgHk0SA4jYPkBaOWITgxdZX5UFRNWRzo
AUyLidqym+bY6ArS28ySmTvUQgExuzSUVT3ZXelQqO4aQI9+wPFtlTWhnR2Bzcfx2nIg/xi95aAH
cO3CR8zW9TaR4qiGPabT80/b61UEObeN3y6Y4L43uJZYGMIlUabk+ZVn5qpJnwkP/lO7hz3cRY8y
zdYZTDwGhOJkLmYjeArmdNMVYudt2+WSlbrgviw+cif1JCQjk+YgdAk5+wmVk7vlqPkJdLWbsLsO
1hiJrGCH7LMdDSuWweZid4GTge25fyjtktXJ0ttCsnhmiGowrT51g24/pNW07ms6oNQQsagKD7QX
RE0AtUJzqyVj1W0Mx/2WI1zbmX0oDwFCBf+CFfG79hFCajil9Lt3TSxUz53MVYebTlgU3Z7yx7qf
tnH2Swdfsem6sNjvrYZP42D2zsfG+8c7+9LzIDqJQqnbe/dj+1Qsp3Hn7pWxbpeueIryfb2ygqsM
O4ZlQTfHQ3apM8sHK/3P+Ge+wgAgocRjAQXqdzLqsqWjqVoj6pt+qv2wgWC+pXISik2oL3xg8eHM
ATE13bElcz+fuRvRis9sO/qvlMu5u5txzSDZCcwrHAg0D6Uq0RX8Ju0Edl6XJ+Jxu5us33IwNmWR
XNjy778DAJxpnpb71Gn6Tyf4v7yD6xaZZ49z2Z7qziGoNpTQ9nH18PlqfziIoHkD+9t1xPmmokZr
jSkyhr2ws3sYfTdW9xDbj//FIKSqlAGIzOR56/EkD6zWsf1+j5ntF+2IX2jX773QumCSfT4XjgUh
CKJAV4MrKu/svDqGbkxPlXgpRS+1eJDus1ddGOJ8hzCEMKGY4CasiBnFWc81UfaazuIyPsBGLdt1
jajU2dbpFo7F55/s/LCfD3S2FQmhVesRlR3i8r5NHhL/t9RvdXf4fJQPvtg/0zk7ahE9C+a0FvGh
qd9k9NPTh/lSk65LX+zM8FmFSUqtki+W2sumO1g8XtMaGrhTX7g3Ls3lbPVLY/TDMbLigxs9++rO
t3/axYU+D5cW5fQT/jqRWLGNtu75XIN/VMEdi2LGD1PzH56W86U/a+8S9hZSK5NRcBJcpgKzDO+r
7dz//1b+tGx/TSVCLWBDA40PFgKUxPiFiSDyywvb6/TJ/35A/3cmBJaWMCUn52wm8ANKozSd+HDy
IltQOLs2W+S4n8/kw0XxKMYrHkUHrtu/MyGRg9VMQ5RDWB48HGVjLEdF9LMeygsDvXseTtORigvG
cgFSLOvstLh9LsxwStJD1N6CbkTNrddh5wyLcC6/TQrUjjoXLpmbWR5892uCwbeVecuRykwIA1Nj
Bvb51M/N1M9/0NnZGtvZngyfHxTOcp1ighYpSak3WNVGibCOZiovnw/40bf++wucnTFaYPhOAyh0
6PWV/J7jL5l51DUvfunTmp1vnL/HOTtos1sBmlZBekhwMc1gLqO3gx2E6Zu+wlRPI8BMxo2LAuLz
+f3ZkecDe5bLq2cJyN7nO7bzEmGiDkkPOjcOyCfh1R2x2EMPgH2f8Zg8uG9kiv1tdu3cZpg2AYNf
6jPy0Tf2bO/UzYBgz3bOvnFshaqbYPAdylXYrUODXiro+1V+aaqnF+TdVJVwJDoDRWefs288Cc+H
etimh6p9APJd4JmWkqSJb/7Cvbc32GpB6EuXFz7weU8PV9K5iXDGMQmwHOmcXQkJFK8agGk6Suw8
TPLYBm8IGjTH/YMzPIniBmAwBrDp3CtPvo1VejytBQSYCZOwcgvqsVF9duFXvXujzn7U2WXYRtE0
Yvw2HTvkl9P4FGGHoDEY60AvRLH5/BO8uxRPgxFbW9jraEnvjH/vqxIPUJX5fAE3eAD5WdT1r/98
AIc//9QaChum80wJyBKKkSqn40AVz7Iw6ja+fT7CnzDnn73DHP4e4mwORj8qj9R8OhIPLRzvNrR/
Muc7O1kPmHdTFt9hBNJX+sI6/R/jkom5riIA02dnA8wXB8S8n45JfteX3zBFXBkn8Z4+GB5mSG9j
h+nkpe5u7w4kk+UzunQIpNEJIey/C9YgaKmo6c9HA0vpNkMgwZmEubK3wwtn8qORaI0tyDZpkUHj
kH9H8irfr4egMo92gAE7xlJ+vMM9HKLUhQ7WlwY6/446HxM7SM1jh8fAHW6/BnAl/rkc3HTXTtpb
fb5hPhzPleDzf5IZ7+yNngAXyIhH8yibZJG2j5r4CY/8Ktt9Ps67B1E6J4zAlhJ41JXybKlUADcJ
3ouJDN49tCq5aqunoKoxVrIpz8hjX5iPn48o398dDOkS24BKkHScX2gZCvfGHibz6Ba4q6a28db4
jveczZR6Mly/bpRtFdcNZbtru5nFT9C+amuDgq5wjG3uspiS1ixQCS/8IM5uxhauOx5u6ho/kUXX
lq8tuhcE2qrd9thTLFpKH0tjMO4yT8U7nD3DbwjNwwsn7aMPaaGFwRaLHS/V2U6ETFMgQ5HmUQyP
+bc44R5czv2qre/KC1vxgzNNbotTJDgL16E4b8RKOcYomlJzvPAOT0qxKR1nHc3XljcuSzx2RpQ6
w4y70zytP1+790t3ukboae5xSboEdv8et6JJJG07xvnoOsYGDwQ8QIxNn12H8Nca6/Xzwf40Q/z3
zvx3tLNPithf8PL187H+ATG9/Tb/FI/mtd7EG39l7+SuD/BBXOjv2W3w1D2V1/Xm8x/wp93Nux8g
Sb/JW5Vy/jSY+yvktw0MfCCjzsfhOnignHBDs0jjTj04q/mq/HIXHTN6u+pds433MLIuDP4u2pDM
3rY8Woor/iJPN8RfgyeYI8EQdudj0GDhhMLqJnTU1o6zryKj9ovbMw5x7VuBXhrl2Kq15q//zS/Q
AK3sa2kBEvz7C0apYMPjPnJsGoPDVX8Bt93542qI1Q65+itiabj4jpcsOuLazwf/aKcR8dB6W4mT
N+vZvdRFwRw3VP2PVt48edeNu9R5/pjNv73y6v810p9d+Nd3Dqm6I19x/uzpYmGjnKcef53N6c4Y
0Dl5+ZfPx3t/s59gI2J1gE7F83i2rrkF7UkngXlkhted42+wgsYZonzw+gsjfXhRAP+i+uUx5vE/
GwrQOZxtM+NOOlROgfDjR9w80RcuRvJm+OWiSs11VbiX7qcPZ/jXsGf7BodBK0tqhjXcZlP3V1Fb
I2Ap92nsP/m+hFO+DoNmH5Q1TtErvL46Y7iOdLIuQefrS+3HT1H5+SHmtQGhdBUWbc7ZThpl0Re4
tJrHfEijK92Pv2k3NGzHBJuAz1f2oz1LBqRMLWhkpM53UiZzBZuVedvU35IZm+YtxMlyeFZomD8f
6g+UeT6rv8c6Q7vmeiwrO03M46A6VF90lllSft7aRv4MqeJukJaxjO3xdq7qe4paN9lsP2bpfBvj
abXEZzpeNxlkaIXJ/sLVeHblwkLSZR4CzKLDub0PIoGLoVHPqwIEEYcLCjO++Bl66kpCb1xW0l87
/QApWzYXLn7xPuCnVIv3hadNCfqpzybnVnEE/bQmKJEKX2OrveuS7sVUc7zM0rxcwp98wxB5V1T2
K7XBfeSF12ldSHTE1hZe9nzhbf/w91i8AIClNBHWZ8EYoScIuN+Zx5ZYYjEoGS/h1toXRvnguHoE
CIruNxbpHljlv/dt2Wn6bSWGOBYLfF2vh6tiWMcH+MBxtcH67vMd9P6Q/jvYWTJbo+Q3LCuQR69G
P1HK28y9m2mxBnPb3H4+1McTo3GAQ13IMqU+uxAsrCCtEkHPEV3I4Gzilfsa3mHHhWD+efyvJqYs
LaVJ8KzNs4lBiJ6jDkSak0E+iqdiiH8qRAOkOJ9P6/3FwhckhOUm11S8ziM+rIXS2ZkYaO4aXFtk
NV+1dLe6CgoruBClfziUY1I419imOPIUfP71RhliysqOBOhYU//+jWQsWgbRkP9wIufH55N6f4cx
qVM6ANVPatM7XypsqZUOGCmHkAFlY5n219ApMpy0ivRCaUCcArh/LzEG03g1a8cTJCJnV3OS2klD
2xIJaaLEEhjWnftMc6mt7T617msGiSCKvqCCxHB1m6DztMIL7dnfH2zK5g5ZCNe1R4nwbK/kIQrC
aqBRiDdBZSfEyai2Z85/sVHI4lybUEbA3TwbBYszQWl6kEeCehNmjA2fUOZL+fD50n10ov8e5uy1
t2sE+bRulsci5RK8NqJ7XF3hgn0+ingfl/LNTiEMM2Lfn9d4y2YuDR9LumNs/ZrgRhrJU4uhap5t
k/QXhKWFndFdHY73/ecDf3QG/h737CtOJfi75U7yGFDAtTP7xh22omw3n48i5Ad78u9hzr6i5ZTW
MGdCHvMCZwPPt1YFvcjWTQ36f2KF0tGj7XdkQfUdZt7RNQaU2T5xk+h2wqLgwq85DXZ2QGhZr22b
t4dnwTk7jXabI/sfAvc4wdwBayDzxWVnEdSutcaCuFt/PvnTeTsbTrvk5prnh5U9H86njOIkNiaA
ffxq4SoOVrYMxntZsmNblD1BdxNWzYUz+H5QbSK4V7bnAO+RZvCj/rrbkNL0yNgS9xhVYmvki/kx
tY7DJG6T+MFzrrVzYbwPVhjHClsTCloksrRt/XdAy49HOJWDPkrRrSscQJrovkp2GLljSVcvqh7a
SfdsW2Lpovnl8rjwlT/IayEpe0gyTzcfcelpC/41Y42ExovtKbzPuu9KH5CsLuz4SkCJS8ZlB71n
xIWRT06XAyO7h784T3sX1RSGUBXmYZ2T0Zjyp1bV6vPl/+jLuB5ZibZoJErOe7b3C5TTUHmEf0yQ
3EClMhvix2uI6T3E+JDOqgBDiI2/OpvoUrvmd2yV00OAKbg4ZdrEU+fN2vvZamHeBsH90MkvZb0r
k2XbbQAYccHfu9241hi01gYmVHq+KrK9io7C2AZRc+HIffAoQeAgiCc5I2QhCf93dVDf/A9p37Ub
O850+0QClMMtFTq33bblsG8ER+Wc9fT/kudgppstNM/MNzcGxtgukSxWFSushSEpIfZPmJm0JOWZ
n5BVqR7zTxG9Gwc08PK5bwJrx+qLN81nuN/rLNKlcMrRF5nSdMDO8E9xpjvlCJhzgC4Y8h+AvpsF
uv4Ej8X6O2v75Z3HZgNsX4J/4oE4Tt2GEGQmGCeT/BMgnDB4GKKrDXCSxhqgKaw6zcJNn4MLXDt0
FsoaXacBf9c0aqPmn9QDwCXlcJMNR603SKLGdl6+cTrjorHkUUuTI3CpgKrNPxXtXIwCuky2b0HU
h2l+C1City/PdVpTQuMJeo2QrMF7G1Hupd6gl09UgYMSnabx6K8TeTP6Bzn66XCAcfTUyqiyAxe/
cEbVPyY9UsimMHxGFrCZOFPkVga3qwGK7AFHtSw4s+xXmBQMgGieRCHroXF15pefKlHvGVAqAp8/
bqNT/hy84cD1+/K7dAe73SRbdKO5HlrVGdtzFWlRIikr34M8FuyFfXSq+zcJlN7t9+3tv/KU1N+n
bCrA5bRa9fD35Q6gI3ppYlC4DN+79u3fy9FFFVleFf5RokNWvauabJzG6NT0L3JVH/UCJilVx1Po
9xzjnK5icaxJl3FfEDjCL/PUMWWl0jdc7GFNWpqt+CFPAEFa4g08Ffm6Httug7lPRpR1/VaT0A6E
aAPmANYYKfpLNeZHPEwBIDcdWhNcJna/gnZuMPsQMtvWrq4nJCG5Ks0PaiRo6LA4VTCoGHY+f0DG
2ho23DE0dYdfhwyvdq0Zl2IopzYaWpBGHNiu2+1gxWs0r4qs9+21cs8iDBQ10FUxx0+Xe2aEWspz
csgfmg2y0xaGl0htffr35haQU/uvf6uBF8LoyhDyleDNm7Bt8TqwDFPcC5vbAq7V7lIAdVWTOT4a
+d9z6e3A1PdoH2CciXhtgS5lUNe15A1AJPUBf9AeMReSYqgF8zcPwx7b9+LdhaaHlfVWeI+k97H/
NE4e6TeYQXG0fcu4ZFce91cL/z47Xbo8uwbUv2XaR/yhtg3UFQzT2IaWxljv9aOJkjJr0FnI12O6
pgbQKDTE6m2g1jm6JX8SkSCXxVjP8q36Zz2U0wPwWdp2EdaD+bNdZHGmdhLXnMUSs2gnznRep64V
IIwxbZzhBGsb3TwWEoKwE9l7t2Kpo8A6IcoiARcDWMIdJHknY93a8yXGfMkpdoudcRQ3klk64gu4
vwxLYjgt1k2gojEQ2ANHTYRk0QzMYifZPnsfWaujbMdUdnGJeS7+MDmGkw5r6QPht5ntZCKYgCs1
1aNxD8BWo7V85vqW1RIZTQRkaGZF1HKplmUWyaESJLNatra3TSxxU1roI3HA/cSwKtePi/kKnMmi
zIooeiAiBGHDYT7E0Y7X2tqzsnWwluzcSuzbNmzRvpwJo+xLpujSNA9OHTYPa5aHnP/tRcRMLYSy
GBWSVqWEVoBDB00M7RR631uDbeJdboUvt9exfM1UVUP3CJIAqIRdnhDwcFKOy0oePeTxGogtdrGL
74uDZ0YMu8GURJkomQMifSBB0nzBauJZwP/aZlvPZN0qpiTKRAkAO+bLeU293W1qEtqIBy15X61y
RoProi082zzKRhXgpkn8sZht1GDJ5uwutW3zv28dbaGydsx1BQsCOuJm2ERWQ4QfE4BeD/+jNlAG
CXgghhBJWFDlAMeB1MQ4xqZggl2KoQ2snaOsUgvS+8yLsaIWXjHB0AhiQLM58YwFLRq/fw6ILqx4
BddKqoH1DNbsfMUNivgmy/IsWHF0BSJgF2DkUMumTget+iiPYsAZQgIzgpBxn/6Ha3ohgzqYKZJB
QKb/qjRwhizSEJJvuA3L6y7s14UY6lgKAwRYGDSZjwXMvSYP5wdOCsbZX5ff0Gh3tmEq5RV8YCCE
UwgG75JgfN9s9uAZtSLY6hDw4xgmSUydJVK6tqkXIinnAJIuGXBTWJh0p55mu8qZGZDkSWvx1vaH
ZReW/B7KwQZeN8h5oGuM2kcB2IBR3mmz3xs2xVuxG3CLtPfQAmsfY2nX2b55N/+RRXdb9+Ae1Yrm
V1Z67IDc/NDDGtVIR4BLbC8+eneCmX+JJNnyO++BaWxns015qwvx1M6Coq/CbOSv+NmsJxbaR39v
c+mAm8EM8M5jGKn5L15JRLMjOjWxv2gNxu/PYl1RUIUEEH3Y3JBgvnxX2DIZTFC+m8A4Zlj4RV3F
axV9oUggKrJCOfqmRvq9qWPhkKYYsg5Q1ldPCp5gr1N/UvxtnZ5EdChJT6DIJT1GvjVOZa134YE5
P5j//oRZt8/WKwRlGANrVoA7E83EMo7ZBwas+zdvjbqqqR+5vWfmHzzPkPs7Qkjv87lcymFPg8IB
EgNya5u7A7J4ZYWWbk77/gi/uhefQzMFhDbI6yzvrnkHJpVVswp4C24ChTNDxbsXpdCrbAiwX7D3
6PXE21oBt68VPIUP4cNsZcG45KR7cLeBeSx4yI4ViS2WoVq8WmfiaffB1QkSbqAePQR75a6xDtVe
3jb7cO04wnEFct53sLr9TFC9bMXQ8aVbpRiqjBFPDDfgJ3XmSp+L/FjjzE+trazrQwCf761nMyIS
ccd+J/zm5K5O+0wiZbJ4tRt9KWyEA7D1wFNs96b22K/mkCZb1+Zo42GJhA1Qq3bDpl/ND1lvPZkG
AN0/wayYkNJhv4/EhVAYrS5/b4NCeYqICzFcPGEbjLVyp59Q3T+128kBCwyCLdDUZx/1J6joV4UJ
Xgs86Es8LBgnsRDpX3wCZd96L4yAjYZPGKzEAjeBlR+8e3EzmdE6O4CY2uSeWAHF0lPmQiZldPBc
q1UO/Ng4hqIg8Vr6fWhjZt5Cu0r/aKwZa5y38cbZ050GWiUpvaRXwuGPtAsQlw9QssI0LKYg1nlS
JqUBV3ya8FiYhOuUH2uTM4EJawIcpbfApb1hrItxixTqIVABjMWb5nX19vyu9xBkpNsOy0vvPdgL
/z89Qi9OjnoR4J2lVWk0nxwuy/wMHfa1qT1k69FCbzorimYqChV6zvwwMudBOYN9Z6VHEBr9nl5v
AYtoW7AcAms7KaM0NDNqvAYT0cIRdRuMqYGNzWosYFXZ4sZbezAC3ElBiF2YGpQHHOHIdTFPddEp
nBkFylLpPmAMKhWnCkbe37wQUKbM7m42VrIF6Guzvp/tgGFxzGSeNPvaGzeFDl1VMBeC+wnnq5+8
bXmEKbTBtHn0XxoLbdLY9Tuk+e7Q8rY2wCtLum3yrFbWZIKrviPatrWSY3IEget/zAGe655KWSrQ
pOuG0kEZcvu5tmvkOO9XyoknLLe4GN2ia9gQVMx7IKymlBxT9nHUxr1wUA/Tp/ZrMcBWbIMjZM1M
5C4Fe+eyKA2vuLZXa6Cf/KYBhcfB6VfdBmy6sP/Z2r9viLZKjrNbjHChARlDbpuQWaWvz/ufpVIq
D+zwFkwHEN9ugYNpInEMpxexGlpZi6Q0OlIlLwTUO+yUicjdzO7C02wWQWNw959eQmcbSrtU2HoB
ePOQhao78qrdk2d1s/fE8YlE/m+PPbRZYmQBLbJoLqO0MpESJJhG4a/bGu31A2DjYS9weJsO90F3
Avv2kS1GbQgZVeAxyMC0VKkzS3vNTzMQOx5AnvgzWOKz1GyeSktYlXtutAG3tC4OuRMccjw0uZXC
ilmXDhPWCdAQmghgPnqD2xEwSCn41A4GboYODUXfqwmsLAtROut1suS4z2VRm1u2Op80wJ46jCu8
2A+GOTw0JNv+f7yD5ntGX4RzSVRIAlDAoZYjrEq7A1j8e/ekrSM4VH3f/FTv2bF0ZBQBPHN8uH2Y
120b81De2W5Sjx/YGYDmdlghyEFP+bFDTKrsPKv60ba+KX3zpAHSCEPm4gmij27uigKtJ23kPc8T
4kppRfg5jnR3+da3cYorzEnzu/9iYIwzWdQJCoCQCcupgbas52Jo+F1v0NDOCGKXPOa5EOrwOkWp
hBiAhL93fjadCOtXCgK82xvHEkOdlVLV/cwIM+9bjNx7twUaPEEXN+OCL/qf8+XMccrZg7gaCxEF
605EYbe7q0/SzrdzZKq6lfwSMublWUuiIshG7EVtAon3bw0Z1Nq1Bb5kaDvrhJhronxqCB+noxwv
wqfO8b5vz2Z5MD0iHMqX28e0lB/HjNU/+k351BhcmbngY1GVhWGbY2gHKC8EawRv/6NCUJY4zyYg
Lc3KDbj+/ZyTmu0+FsUyg/MpXBmnswVR/jPPhVqdGSXhpWefFq/l9/E4P1IBpmgBWd+a8pXx9b/t
oka9TaXOE5o6gNC55MojMZOa0xYIfqbHsEe/Y2DU8gDVwktIVeugBaB7prUUCMiJPIooE/bHeI1m
hr1kfTboAugtzIa/u7hodvn46FunE2trFwKgC9nUEdYA1kwxGCEedq/FvWjHu4kAk9vsTAhWTKDX
2qmTrFh7O1uKWyumDrTRSqkQB6x42qPsC7xcJO9Bg7NP74ejiiBTemIc5kKO7XyZdKanBrCdqCRY
pkYOguXvCuduc28Xx/reXX8x9nTBplzIokx+NKH/WY6wuNYGZywebPE+Iu1aYVy+pTjoQg5l9Y1h
CIHHizW9Ajz8jTc5tAVMm803Gn3J25voAG0T5H5QV1armrxwesJvk4+qodOfbvOsw7gRjaHEZsrt
MS0rN07iFePAFny0KKB7Sca0Aqbd5PkbznxAiL4fQRrr+cr/VXaJD8WuOc5VemZzxfJ6/pFFOQEg
fEuAWZ5lmb8p2IAA+nqO7ObUE2qylsExH1lLCole1blR2kC/H0+trw3Hqm2FSjxEao0RSJvj37T0
R9WYoBNLgkQerbHompRmWLXLjWzTNk6FSBYP8qrDSx5VTCTXNg/ojrVFB7lGi4cLZxzeklE5l0kt
TollMMAkkCnceaf0oX3ONrwtWU8gTDIrO3tOjulTc5Tsfn1b8NJBnsulDhJPkZwD05B4AMooCBuc
Wvm+LWApXMVc0D+7SblxMMb4mhxDAgcsxhkPWbO8Ysd7oGbJ7aw71t2qKj7ajNsUyoteWhUogFn9
50v25fwbKPcOAE0hazBhcOBNbxvvPmLbt/nD7J8A3gkz2lsoY4B2E90mrJu/1EtzsX7KXXRiC1K5
ThIPIIy142O3kfYCRpo70pGEAEN4tFRHsisT5u6JsfUspaJ8hiwUIoYIZk/1cfgAMC15elit7lEY
GFaPPWFVoZaqI+cr/bW+ZwYozaFI4JbB08tUV5P1UZK7P4m1ASYKnKMKz1zN7+ldT77+103+/bQz
0UEDZGphxCaDzAl1Wo5Mm7un1f2cBXkHfxKStydW2oChU7+J+jORciVqA8qns7ntITJyACyKbDvr
BXEN6AQcUqBtzBgAGDWSaKRDreJC8EQps/6ASSLad86dcxeS7+/KrmxQNb375g9Db2Y3SMca5yIp
Nyk1wEEPfewmarVor8i3JdI8zbZ6UNeFyaxoLZqgswVS5haEaE0blFhgECAj7Rye/N+rIb7yn8qW
swrr9upY4ubfn52bKHNamIYQp8Q5mfijnEcMCb/e/Nb+UUbV6CKwTnj/TxtlU7ZDOzdxXvMNSNaV
+QMeIobMxauOKVYDdGsyhgsoC8chxQLcAFU8ZK8+eAk7q3hB220p2aAQvr1/lCSMRqFBWlHEuYyP
KUyFsmeiCFBYIxMz1wEovivAot6BOW59Wwgdqf0lZUaZQUkbg290QrXnk0KICzlzn9F2E90FqKED
oQyECOYWuJoEBB7rfv1o9kTIWG8LKo66Ek1tpcFpvp9oUubuLKf9DqwJ7VKZMxG922RAmTbNn+SQ
f/SF7TtxbTLOkQbAuJJOba/a9n2cNVh49VnbRYhR2pS0T6b0jK4Mo7Ur59ST01yoWbMky5e3/i/J
6HpDgRsD4JJK3fpQ4gLQRIepm0ifYKsagD2vlgGJphB9wrr+XAdAk0wAbrwBoHU1c4SzoPh+h2rP
Ls7vJ8DGAVlIFVHipdNMmpz0ABOvUncAn5e+qkFWDdACW7RHYKSb43caOyM4ZOLVJG+MVXyo7qoS
lWbZUUHyvhe+p9QW13Wzi8J1ptzfVkkqKvzr2zCBqesK8GYMmVKLPvI7kCfyqWsIYArncl3EtFAG
0VFhgmqQVdOZbcTVVmA0HXE85vJ5GrJnrAS5VA0lddNhBB1DkhG5AnOOLqxuL+sXPJUWBJOBKw1Z
GC+l4jNpjHO5U5vMVVGi+gDDXc7dY3QHWDr8M3DWSsJ/1wUw8XvQLW3jTRU4XOVM8Aefw7DCWI8W
WYlnTymA9bd+CMaobfwi7uUHjPiCkN5D4fTHT+0ptoL+dPvT6bmx3yM5/3TqSMC2EsN1tJmrq1Y/
pJjgAWsmSfoDj3Bqx0WbrCT5ur9jJZl/gWCu9kybx3ElDGxcodSEMVihfA020FNNDRwB5ClG82Zn
3QMEzwTu1rhqQF1Pyq9wVbsz4w44MBskBz4Bi13vQ3nTKoxjpPsC/tqLs0+ifA46/oKgG/BJjWON
tmyP385GvV9l8KWfxY+8hudOHYw3rTBx9nD7HKQly4GJtr+3g1KhQGi0oBSmzI026il+f5V/7sIH
badu0n1oVjs/WjX2DxKF5jZ9DB1lc8SM6x16RPD/HdFiJSjpxOHvVsB+GZilxxjvFcAWz+VjM5Zp
7soAwiw3oPsCYD/oIdPXrhP45yYEXaclASIdL30xzB7bKeWfgTOfvuaSkfgMf7JkN5CkUiTMuuMN
QseJY4DfgYEhd9smmBy+zjMQ06efdcMrj13Fs4bFZ52nVBN4zEDxkSWkMzFmj9+fhTfGoIH2vNZy
FxPl8kYPBdEp+FKwNA7cTVIJjsekSmSG9tGPnHnLgbqO1zI6PmXAsFMJHHEUYqFom9wVE0tVSBXZ
uJJVvpYeKjTprITxQbbKQ6XuJGGtoX+jQnGEFZDTkfJfH4H6lgwYV00CjtHl0qUxGEWlaHOXW6vC
QQQ7sUzKfQkwxpFg19HYuKllOwOFUusADrT41Da3L8KS5sGIYhoJuJGoKNJgXXLgi1qglLn7gSdm
aaZ/8qcGsxLhB0POgk5BzgwkK4Po98o5FJkoTXyAlXroE8FC6+mpDMBMD20qY3DhgjQD5HSCAqBX
jrSVb06TrTzHAJ0plX872vi77ehEEwDmMMMeXS0aVJ2JL2c4+8pp8q27feSsrbwPCIKUr2dGpnDJ
5mNCGCA1vMSrQOubbdGZflddEA6+MuZuTBCYIATYVSA9yUzlCArZlmiZU3CEFRpRRcW/lghzAthv
QJBjXPpSKPgXOKEFE6jb80VvceWoEbEV5HUBvkDC5dlItA40YEmgP/WG762mjmeV4MSFi43LhcNG
6KHzV8j6nVBGHm4+vsHz+Jch9LmvbJAMycpAvQichCoH1jwCqP4JPJMo6Rq5XmtHL1YM8JR6XRxb
MUZzQY03JD7ozse2jfYYbKtjix9j8SUrJPkFVKmYh+eDusd8vBYK8BlaLuz9PuENYoh98OwVovJc
ZXWHXkONk12pywrWEPGSL8OcJ/gxgcWIMWm61S8BEWrlGTNdLPoaVRt8bloHUKSYgOHG5MoP8Q2f
w21FieT3fQmSI8FUP/rX0lE9UxdMgKURlW8Y7x6673VWAoAl4HswoI4wkAaIF0F8WbWB4LszB4+G
vr9YRNOjqq0GcIhtfUyk9CBjSwZ7ko637/vv6+3SqGNeUwE2PZo+Aev8a/nOlL5sfVmPwS/tWq9/
RjvboGOg2XDkT07+YCPIXY1RsNLMUcbUN/D3hJiP1s/pZG4xxGft9zCDKJ0l5M001yf8tx7J42Nm
PhYmSNXRmbTdbs1H1nvi2kbhwkjoiUGPKr6d9ntAhUxLyfC8J6F8A3ccqZtNHNwHA8P1XF+LSzFU
9iDwckVvATD9hDSb7SfHGhAiABDCxO5OApX77YOghyihA5fSKOvj5yUcTwxpfm+NZrHRCBpvfor9
4XBwwEKx+f4cDTJsB5Psp5/4ntVJsXAzLuVThkjomqoHXpX3ZKkr9HofnI/aBPEQ2cj39y+8UxAV
ARXYjkxg/jPimOsHyaVoKsjTxVjX4lk0aAvl4keI72KQqd7e3+tA8lLGfNhneg5KGz+FWfGegsQt
25KEDeMm0amZvw5QkWY4HaRKgK5yKYEDq1k/STn3lK69++/VsO22RwBafqGavVOskaEv17kSrEdB
ZAxxMycDtWd8qfqdVLXcE6CzyNBsZuq1ESSi5UejvvQKozK/eEKwTbOb0kCDIV6uzRMreeLGDtIU
TB3Uq1R7ltAOfvuIFmIcgwfEF4wgLjePsPZSyjih/q9nHPeU27GdrvS9TrY/Prp+WUndJQOCfZHR
5w4ICzy0LgWpaN7T6sHjngY/dYZiG9USqetD2fz7kBkrOhNE7ZtUyzmoYSHIyHq83dBCIfPgkdVI
yH8mycTawCWLdS6Oslh13cq1Vxnc0w4ckphMEU/oFiV4X38Kpp3Z5lbdMR7KS9cKISmAdxAvAWCM
2slKKqVkkrHAxOhsFWR5Ct7tt9ViQfcQAApzbhAVTuB6Xx5WkdQNWHRT303U6qUKqz1Ya1sShKl9
W87CjUIdFeQpWA6eHL/tv2cWQteiPuqm2nezOt8COOfOU+JXIws/pHIkZdo5gsgzrtVCVsq4kEkd
2CAPQSDpue8enDtg7QNsAD8GZOA3ZLUhcLbmdu0dE7xpHxnR7u+kEuX4L0RT5kqoFLVueoh+feXN
Z9V+7k3wPa4VYjnOxrDxCR9Il/sE+YYK/G872VIxwGU2K2QJ6/WusKwfRmZ2QXsvvmhWhLMD0DjJ
iJSm9N0wNNbqBK5xhd+Xg2ClVWPWtcjY/EVxMDLzqwqkUiqlV5FQ6J6Y+r4bg1RZtMNWASbXOm52
RZ4yLuaSc0V9WZAljCoj/fnr/M+WJnZx3Qyy7rvtttTN2seGSiTTCcZL75r7zFI8s/ZIg5Ft4mMW
1COy9wT42ve+rEj+5tWM76Fb2WdfdfE9lPcAWy/gtTnRdzEpLrweIrRGOKDN+4nQNWR6DM9IlbOu
hFGuFwy7StyB1t6tp1X50O15YfeuIJGkHMZ/Czz1lyyAjWKGCzUEZB0vdYgbGj4t4yRwdyk5TEQQ
7PHra/ecIDf11a8lFjzlUtSGQsI/8qiceuQFSsejT93to03X7AB5GO+CztHAuMyT0FsjPxBOwLJP
rCSQLEnedeGdwL+mxkZsduhk4knBbbXMBkO2NWT72NMYcc/vA5K+5+dfSGVtxiCZPL6LAhcz0+A4
dFD0AFIsQXj55W/No/BHnCecG/v76e7Oedhz6PA2H0/W62G3fpQ/wrvQysy1Z39pVk96smb1xy1f
jX92kO7gzSStmOQgDlxR2UUiaV5qEMBijlw1I20LbOp8OwLkWKw2opWcRvVQPtUCGd6bBy4zR+1U
BIxk/ELCCXfj7IMou4DcSBj2NY5UAd2B9yZwgq0Ya8krrL4xXCV3cqDGSsg98RUwu7d1YYFf1/iu
9AOY6knisapiC69DfBBgCkAYgqwE4PYvdRogPkMJIMvA5U19K9v1anoR70OTf+2t1PI8DGLyjBu7
5ArPJVJuacxEI22CPHC1aq2W5lhjajwb/yA1H7BymMvbjUKEBEKLGayQukEtMrydMmK7S9mRAL+Q
WvJjdQww72jY/TEhmaUFdzWPYsBqAm00STAH93Tb8y+bQ0WdeeBAfoeQ8HKH25l5HBygOPJmNakV
+n+kbeS/975ZisjvZtEm1eOV6Glgi69NhVWSXAp8UaUGkCEg2yS4IspqKZ0KiuoM8seVQsofENRH
BMzRgmnGDsPv000zvxYSm41cD8gGAA5IqXc3gRi3zMbAxayt49fPYAxPvcDq+JMY7iJ15rs2Q/B5
im9lQXzO4jVT0Z4ZG74U051/BKXSU2HMQHVT4LbaY6ubhr4WMK0wED23xlMcnMaxtoQ8BLCbM25E
PPHVSmT4wN/GDdowor8TlBUw34Bzo74hLiYhmRp8A0qhTppYQkPeMFx6zI6u66ZObGFsgfzA5J3+
y+LnTDLwk0HnSc+QD7WiNz6vwuKZqa0BYorDoMuqs+13xfzKPxRG6njRRyHI+VsedeJhrcnloEBe
u0Uza/WU3cd2s9fW+UG1gvdqLR2nLbc6gvUBrFnbgLQfmCUzWUc+bye93WggADoN3qsKwHEv71jl
V62YJnUIDtdH8F6HJ62yQe4m+lvNOKbx3v/ithKLSWsxyj2XSnm/MFCAG9hBaiCZzuufQ/DZrmqz
Js7sB1/xMs82o6mhs0cN7XuVqGQMUUw7ukfwepGKuI/jy65laN6SddUx3w4+CCjeFbagAWJjI9W8
wA2LVdA8Ve0uE980DIMOOWHt+myp6V2fjQpye5oA4gkqpgb1ZDElEo/0Xm+HxN+Oh5DoYKg9ikQD
T9x/8Z0wLDNfLOY5gAR7echGhQZUKeZCN299W5E/fY1Iol0MwDYxnFa953MzxIB7/tMAo3CfRhYI
vE1VNtNqlRisx/csjFo7dhfMeLKO+uEVkBvKYGUZ+mLkGs1KTdYCf+q9VaQwAqyFZwSGxpGJgYAZ
aJTSsEGKJAl82ZHbNVtOMhvJiu0xuNenr9tmY/471GrQrqLJUBpEAohvL7dWlFtdbxQuceO2sNBt
DJRZIreb8FBJ61D0CbqcGQ/vhf2TUFSUMUoGAAg8zS4lhkKnBvFgJLBTd812dJjjRgvKeSGAssBV
HY1e1kJAfpx2mSV+Fzv0fiDeQ1+x8dR/cM7tLVxeEDLdiKTQCkKDepYZQoBGhjx5JF39omjHbNpG
2fttKQvlFCSmVUmFbQeOwhVLl5CmlViXUepiMDSvSGNpJHpq9t0eYKx7vKkn8tCRwr7PgCqTZXbz
LCBN/ri+/RXz851Wl/OPoC5+gAYnv2vxEWCMt2VMU+X+x20JC7uJGiG6B3nEphIszKV69GKrCX1d
olFrgOOeNiEQUfvy5DO0cGEhcBoyYhXAsIKwZf6Ms6dzlXlJMeZYSNWlzxrf6I5QVYV9ey1LEdiF
FGoxQGKSAxmc525i3HXdVtp7YWKCnScRDmP+Kk2regADIysWuy7+ofJztjbKJ7YVqJSnIkgR2cfa
ozL91NMpKo+Z/yTUeA9top4RCywYEUS4MowIIC7RXEJlWKs8NLosjlO3V0jbxCSKH8bhrWqcQUTj
YHBivcevdAQGEYIASoykMV4u1OF1mgheQTXP3HCMgJCbFCgbr0CTFJpJLDIU5coQU7KoI5T1Kh2E
KM5codasCMR8Ae+kaAEPQXLU8p+3FeZKKyEMQfSclgQMFRZ3qZV5po21FqI/CFxJht99dFX9dVvC
9bNvFjE3PmBOALl+ulRZzLg7gtChTxGNFQFqQt3rqwCoOMXx78XdjmMp41VMjrkHXC+0WICODmyy
1FlJBYhaQOJQoPwNg4Wxbw6QZD75VjH1PQHuA8Hw7RVeP/0pidSJoQ6vDjEnFe6uGHYf4IdYdegG
/o6cjoDszDy15Gttxp9WzrrtC6c3J/3g1IAqyKMjkDq90AvjyA9LF68b64+xA5SQ5xBftN6blRFZ
zCbyq2uHhaKZAgjxcKQKHhuX8vwwV3Vv6EtXXuUodtuBAy6OKSbF98BIal7FlpSk2eWeWcsoNZBm
1CCpDb8S1XpsefI4joybxlrOvL1nQpSIE7NuFpISeTQzea0axNU9i/FQYomhXZjKxWLlCaVb2nPj
cYREtGHHARHelKcwdG4r43X3x7xzwIpHkUGHwfr16meLQpyogPxWLaH+6h/9j5P+MepjuwEG6mNP
ko6lglexD8TJqPfzGHqWwWBALU5tgrop0Hfpou9VI7vwvcydWrZe1IxgtFBNmTNO14mWWeJM2yyK
CCRhWC5PjffkogaudeWiujaSCa89cPaAUOdOQ9YKQwbyE0YMc0vzzC55bLiH5HtiRZTXiRbqGyjN
6UIwsdVgEHMxTdHOwOFWkZImMIHRsd0OCkNP5z28iIEoadQeF5rWeaUxVG7lAMN9x4IlXbLQFztK
WUy+DnQpV+vKLcMN7jWxDo5eEr5+G2JrLd1rT0wOwznkvrUiymJiOC4Wc7+t3Mw4KOqqe+VEaE+U
nkpva9RomyWsVCBTbagYJdIKJW4kqI2UHwTOmlK0n77IdpE60WeBoRuM7AOEPxXRLY3GQCJwsSm9
oVVGYV6Zq2gJxzlP6M0MisiEKpTPbfoYHYhcWruC/5ACIErPiCZsJ89sAJvYnyabVWO/7piHFwRb
8y9/Eu7+by7tzCYghh/bMPZqd6heY7TDucmLgpRkOrepR0edaIdsB9K0aas7EhJFty3SQjwDkijY
I9DPycCnp+4Kz3dSlBhG7Rbta9SanaV2j2lBdJkhZ8FlgAptbiXQENFgyIOyC0Gb6kKeNm4UPUzS
WnP96gBF6kkwMNA6pPlCUOoLWhgBdRkD1Rlwnl6KQk6kBDug1Li83SIH84E+I83xt6H7dIgqTFi/
b0VkX4AuA7CxlX+Xmab98Fh97zBTi+k51oDiUvyBz0EuCkxwgEyheyimcjQUr1cbN2nNAOyfTlra
2T7cacMPTnYNwMrVZOziZqNMazEgPfLtnCUf9Z/ktYoZDuE6HQldO/8Y6mr7Uxh1faU3cKrdFwYJ
AfuHNlcCIGmEYah4EBKjLy2wNdIDkW7HSt3M2kQfjSJCBxBoggWHp45GqAu144qxdSsVrE+eIU1m
WoDQ+rZOiwtuT0WnI17Fc6chArxLDaj6VPJaoK251VQRMASJz0m1mYkcSZ3aEWA71wGgmzTiT7bc
r0o0U9fgf49I9673L4G+i+Rd25p58Hb7u36z3pfLF9DQjHn/+YmJn5SrwGM+arVUHNxKIOqDBz7o
VVfZ0idgjtZg65v8VSCTsTD7cj+JVp/bgnSXRCTl11pm9fEOzeDtahSsov7yLNBJywZ4OW1v+orF
ybz9rQt7ePmt1B6mSZzHgs8Pbk0O0EokGP6gajB3DsxwAaH9lO2Ko2I+JiYiiS+G8Oug7FI4pabI
MoZ6Xk4Dnqx/EvMw2shZxqB8+JiTp08Hg/x5Ccnbu7ISTNc8vrwz5F93Ys+0azMzAx5H8/OLSkpx
hjxkeqkMCNPAMhDb0zpF+2FcWRkIBXxLIT1m7D2TIfbacF1KpW5HKhmNLivG4DbDcVQQnyU1mDTX
qcDqTJKu7+GlJCpKE8FEKYc11uekxLmz/ozm4LT2hFGxBu0XtrlHlvoDkIwkXWF8GxPjFTH5nQlr
TVh56utZFGqv5289c39Glg5qKXiDmz5ne+lFBoz4tH5IICqAPSrNBgrnfxkRsU4oGwAVg+GZaOwU
IKhdbgZ1KycBbUdCiw/wyy+h2WUBaeR93MpEzN7iqJgbPwEJThgqfm2jIFVAXmYm/gasMJUk4UIf
cKACh2UT4dMJHu//bLjPZhM5Kine3yUN3bDenXeUSLLifTKjUjI+4Noj4wNAlIp0JNw+LNLlvit+
aIiT7o8uxI8JOWAm9yne+uThW/5aPWySxxVmBTF5/CEfv9Y/gOJlFeWvJ7fmjUdrEtiGMVuC1qvL
L+C4JJK9NB3d593r3SHcfYB/53iHUlVIHordarU62o8j2W7f683R3SZ2QND0e1o/396I+Xhpo3z+
FdTxC0kj5p6YYB+AgFi9aHVMgBDHOO6lC4fjxInP2BboC79cKloPCq2qi9EN/4+061puHVmSX4QI
ePPaMCToJQpyLwhZeO/x9ZvQ3d0hm1gi9t7xMZo5hXbV1VVZmaPpVooZc5p5fxhzy3lpgTrSZeVm
sl8Wg1MloJyTYiIIOLjRyuMUQ4rw3BwWVZJvY8epfP/PoKj144awB8dyNji58bzfo1iQke3w8Pq6
f/f141Oxf8IVb6Sc/tgTeyS2a3vkSdjaib4ixDSdjCOOD0pLwFdP63NINmZ6QHOs85vq38b9yZnz
rMKkzoaWTLSH0hlCkZkKtAkOW5dMYrwP4fieo6s5UReWedYOINZ4OwAuC32062UO3XEMk+lM5ciF
T6lPFcEVKwNAUf/eH9Hcrp0K62ihAdALgo/XlnJXyNtBiwYH/1FHJAkNgzLfkRYZ0P/I0A2NToe5
i6dDqiVvLr+tWUfgXu+bmJ21f8Zyo93cFRWkasMBMtRgfvZ2CR4GXPTi5Uu1uoVJowHGbSN5Gm7T
wWnEHg+sFOcwhRxpEfn2/RHNHfeL1dGowyjV2cAMCgy5Hd5UGur8Wf1vrAv0LxHiwnVOHUXXG6BR
eTFj43Jw2qgxuBjgUe8ghQvpWppC+u9uvLRCXRKdAg3aIoUVpIp2yfQ4ed0fWfNonfJ1Sx777eMj
eKNa8+1D5MkHSwz0Z9yfyr96Ge2fLz+Bcp3ATrSuWGID5sbrNiOKBjezt6zjI66q1Xg4CQ8p2X1A
EOa8Bo4i1hdcx9xS/jXOCOgLBL6BOtIDj87Bv/3f9ACJZylRo/f7I5zblZcWJs9+EQBVeSh7YY8B
VhEwC74he885t4TQ+z9WEt0s/z0O2mFICa9UMawE4Tohz/tsQicc7UcJGXHnsTt9iaRD7NGC5AEE
K/o0l+jBWPCPC0P9C8Uuhqp0IYRdVXxEPflH7UdyYs/6/88minh4+6GBEnQS1Lng2r5oFG/AuUD3
dpVKlluodqEt4cVnXtIoFgLTA7YqpDXQKHS9anEUikLDtyPwLuC9xp7sbTSfG3a0Jybkzzy93Cgf
ub5eai6byW5eGaaraxBzS2VIfo6OQEp/JX8E0bZ6Z09FS1w0yolr7ZR93p/SudACQSIUd3F9oqZH
bVCWK8NayKrRSQBiGlJTBCggbB7xTn6PwoXszTRt9GmHHfTyowWVxSP5elrTASo/VcePjjqkpInP
DZcbuUDYVyZ80IR8kxRLPTuzj71Lk9RKhnWaZUkljHjsbQdwfAMupHvrd5BXWZ5DkkZPgXtYwgzN
vjqQdQOXLSRU0VY9HZWLo9DxaRSqrTo6Y2RpsVX0LOmjzEiEl4AhHbtrGhPdqvb9lZypP3AIGf6x
Ol3FF1a9RutTrXBHp4XIg0zS1gSIWBH1tvnldC05QSEXFADJq8uv71ueXdcLw5QbLeO2YPkchnnt
FGw4aJdEb2z25gurcpMsMaDNBaaXo6Q2Uaa4kqKlkzHvoYMkvPSTZ6u4f1jCltDc4X/X44TsY+EF
FMSQ1D0fobHWSwRpdPb7St9ayCKt26fCYcwVuhj1wGINh9O/Bsv8eEjgIpp1vvoNzWb7sHBJzQ4Y
3MQiephxUP9eWhfLyhWuEHSaNjrI1AuqVa8FX4cG9FJlZXYRL8zQ81pljagNMJPm+/Y4FKSDI0jB
8KZqzzUETO5vmdkUlAzaZyCDEFCDDeB6s1YNB1nj3Gcdjtg2Yz565tPx811C0+jx07YfbZCrWB6z
iEu+vfEVgNlQMkOODmVUWj+taJq0aWqmddiRdxgp1yVhycsJtxfhZANtpWBVQKDIUhsnKz2/KJuw
cxDR4CaWde2T2+ImJunR/knXXy8QNQd+blPV5Lx2XOKvPzZrEOcohveyMMu30ff1p1CzDIRBrsRe
1DnPAhGOIP8gnIUHHCBEyWoSqmPt1csbeuQO1fH8UCzhVG9xTDiKlzNB+UGVAe/vEMG86rwOv+j9
148csSbjiO/k3deLeAS35eFQ6wPx339Rrb8//vnV/mclKI84RmIlRzVWIh9ekvpYKAu18pldfD1A
yvPVXRcrnogB5gb42a1XS9THqfuq9sjJTFHm2W309fpbNRelOaZNdH2XXlumjqvasJ1SZnGHwLIC
9RSLF6mheUaiRXoMIhelWmvxyueOpXSK022SL3YbL30AdbOOtcqOXYS5FchrdHhHMcY3noS1bRPR
WJmstck3Z3jEpShzJja7GjgdAyr+2EfcZHfbIjQDz1dsPf08hi8gxN/ovrlmTms0y97fRzPJ/Wuj
1FMpYZQw4TMY7XSpISCee99/tuen6OEp29j2SjJfYiSvU8JabwgOScNNJfiOLPLDzVxK1x9CPZgG
qUuz4M+3FOZ0nDvz/b1+0kg7JWj2sv4UGo+rdEuS3e4tk8wDfDg5T203IP1duPWXTvdfPHJxMfFa
U2RZis3PrJ9fwXdRILaSdcsGjzOo9B9/FHNnKujy5wnnbB4042HhdC9+wHT8Lz6g6dshSXysykQG
CCYyRHe4PzAJAQGx4ypfnxhFfzHNDWYg3j/4q4UX9O3NfL0YlHsbBlVKWgb2fbQXut1WzR0O1CZu
qofFwjvylnPu2pX+9Y5fjDVUtabXJldamAlKenvRPNpQcTmZ3Oag87hIjKVNvzi9lHMTqjxvmhwm
gUqQLM6w/bNH2ikuwLvyEXCn3S4x4Lg36Oh/+X4QvuXHpb7+mTTy9RRTbk6JXAaSu9NpB6nBdgIq
AK3AbsodFnoit+63ka7op5cXSFOAQsIUBmJCJzAl7jEngKhj6dfrhWWnCb4RGV5/FOX6ojQpvLKd
PgpKRUfkGnG3I/35uPoicHzBCT4f3N7fgn3fC/09G+74/L89crEHRs1nkmiyGxFxnxCj3u0tBb22
rvH42D/uCPOArQCUHd6lC0dtYaf/OeULyy6YddyIhWWhKGzkq6whz7ZB7elhNFpZy5v3RzoDm7ia
YRruVpZV5ic57JXGa/GxF3aIB8mqs1CiO2GIZ88yFhZ15s12bZKO2jSfZ6IYJnPD3bsryQo27lo8
utthyW8uxId/2+tiMuPkf26wqVdrv293Y0aOxxSEvx5xd6sTUm6pTMCnfMY2WlSwWFpKymnVWl9l
2nSi5GRVVysXHfcJpBhHm4kW8yjT6by3Yan4K1LdPC812BpWRhiQV1xRBbFQfsJA7ceTon+p57cM
fsxwfh9Ab7Bd2LbC7AcoICSCkM2k7kktqjrEVRimiJJEEOI3SG0WuvUY7R/Vp6DTIUBlRw+2b9Vb
4RFViwxHJ7D09GG6rNbqOGH2FoGcM5AR7LOLT6IurcIL1LIO8UnDgxiBCGUPV05sZQR+1LW+yAEp
urOOt8DCVMwu+4VZatnRGpgUiYClAD2VIeu5+pYEue4Wq4TT7x/ePxTVzapfmKJWPVMkLW413Bvg
O35ov6bHMYvgn9c/U3SBYunxJ7d9KrELbJzqw4E3UPzNUAFEl65VPu9eBMB4WZAFteSnrMkjb780
1lt4kDYmSIKMB7QJgLF7Jw9LkzTN/b0vp248Pvb5XhSTzmlc/tBErMNwwlJ9fqYmPm0AoHkBYWKn
Gul11FK4aRFo6hQ2ISOlTBELslEuTr9ijgcg0tDVYaKHZZ2ieLb1PtfFYvvY7V5QWZ7VZEVADnVq
WL3+grHgq1apUbBs2NgI69puXKbUWTc58KpCUlaJjftbgpvGdD2xVxbpQlORtlwX+ungGAxPop8w
hBq2uH1gDGzGBVO33vXaFDW9A3iqotHH4DqdXUnH7VbVt3twYSFm8Y1i4VTdvq9hDEVSeJgp/0Uj
7Lg2q8u2x7hcXw8Kgn5XY+E0zaAnJxMy6kBYLdAYUjnvoEK33zCiEAt6janp/v3dW4OWYCQvw1Ft
yEF/GFPr/hzO+Cgg50EiBmZ89Bei3fJ6g2io2fVh7Y2YQyiLAjD2eXwc17JRWcD5ZjbRndDsyG+4
qI48cwsDTS+iMQI0QWhboPuY3QgvCqaRBidsNkNn5ooMaqJDVQPSBd5Xpf4CYQNJ86Wk4u09cW12
+vnFldzyvM8HBcwic2riV2cQZO5CT2cWQrhbLgXp2hB19MKiVFof3erOM5JsqXFEPiTaPoEnDz1/
2rbSP6vVMYAYIIds46TNfLR3Jr+F/KADuuGVk1nyul1tNu0KokbnWscfm8w6s4QlA3pvl4Asc9sb
FEdIl01dxiAfuZ4WuQ7HOJf80eGGc7otCkcLrKjzF7b4zEMDk3JhZnLLF7PPiVWhlR22G79pHgoR
XRxfMVmZ5mEqVP2eY1Nf19b6vP6IjHh1f6vPuULkA+GKRRXlHpXa6XyRJ3kipKPjuZ5ea0dXAB4t
3DJCgnZIdcHYzMNhEgjWeHA0oySuSNTrXXNDVCEz1AXSHbPNQZKHLcDg8fCo6J+o0b2oWEWIUu6R
PSlXS1ioaWvRPvjSOLWYvFuVZRMjwevFa/k5lxHsKMjy8r8V3FZZIACpF4kn5vz+pU1qZVvN11ov
wYC5XY8W3nytKHrAgP+4FMiAauhLoTzcX9A5D4IGJBlyfkBp4ClCBTpcl8atEHOto7zA5YPSOLMK
0RC1feu4iY07/b69mVm9MkcFO00JdS6vZ1tH3IQGeuLAucklOlOdPH/l1gusGjO79crY9POLgyLG
o1THFcYm6gpjDalRlK/FsfYW6nSzc4jIYELyomSLxuRrO1pby1AJqDunZ+P4JEvRXu2ygvjuIJlN
UTJ2FyYcEcFgnTS+tpLEYUmKjJt2BrVbcVDA4w9+tQlRS13jQKhCZlrQWifoDTZcSfnEZMlskhf+
MfssPoWOJJ/3V1KeiRyuTFKjTgKZy1sXJkV2lZdvzSfDfYqBngdbNiVcYQQRCTjb799YLHNvSPm+
SB9y8Nimq17bx+5zMhxrwCklcN7+RBq0TtONClnQYZ+5jyL+by02ZUQlWDzpYXgHdYHcW/5oJJle
QcRCXcXpqoFS/HncCKhK1t8hWHM3KasX9Ysff8nSV9o9yo0udLZUVXri7uTc7BU72BRhC46TWgex
qzws6dPMXAKYFjgrNDWht0+i/EbbN6iRlCiZiPl2PFeczliNeIyGqaUq8zdNDyJnU1DBzX5K0YL9
0i9h0WYu56sPoJwIEg9DLKQB0h6dIQ4k+R38X5Sok3bVyAs7f6a/ALwKEAOdmkMQdP3tkYsTJrB5
zde4jBy+sCSSQ6Y5h3ibFR5bq7TSVWxvVV/3rXGbOK41xkgrCrprJXjCnpX3P2Vs8GAwC/fGXAx4
9VWUk4nznoGCDL4K9Javkkv2gM1O8FnGfGVA1FcF28Zf6bmz4Etn3A04dVhVBl25BL0LKlhJ5FwG
nXDcO+koY4uyegqB8xQp5QJte+Hr/eM3c+AFTkE3LIpyE1kAFYKhAKvGWVf0jlIzwXOL1ykR5d5d
2M0z5QNV4FRw9IHwEiwidK+KpGU+76qA6SsQrIGOgRW7htb7Bqia8paUijOivIoqvYsINzECAaCI
To87RReHs1xuqgrcdSWzzn2TE6z7M3DL/wluNwU6uED94QIDyOXa7Yaqxw3RqPROiC6o3iqTnSjl
5KHwf3hwYaBYCUZhvKUrw2X0olh5LLn/ATNP0+sPoI96EgZwyICOJ89g+LLeO/PV8D4j8vC7RmVl
DV7XwtP5t5YlybDFv1nKwc2cdLAATIDpSYoXPd/XE8AXLR5bJZ5TJbDryBa5nQF5Tes4EvYoH7td
cKrscLNeGPXMFX5lldp5dTeCz4kHcGlbWzEQEyQ6FESAktHTY7L6qcmus3Zfig5Ya2dv+r2jL3zA
3Ov46gOoc4a5QHgqTq9j3AOcBUqf1ug/eA8QrbNxf7BzM4zCtwjSALTTgxTzeoaHjGVkb2ARgaL/
TEKhon9Ox6cxWQ+arahLh23mRhXQawcgMZQwsKcpzy0jVEirnhsdP9GF1+YjAowCybcTkY2vl5dD
a6I9FtSJP+cywkiXpnXJ+vTzC1+u+Eyhdgqs18UeHJzwmwIaf4jmjmQQ9AKhDIhdorXi6/yTXxyW
hK1n8DhgZgKGGpI1CihiaYhDHEVylNcDoFWKVex9jqjeL4AAWx8v2djdedJxbNceZAlZ8/+9yFeG
6YGXnQK+ph7vqXDNcxtPJry6U8SWZLzuZwuvt5nwAJ000BoBKBWd6Rp1N2lF3jBqiWdFLezaT1H7
LfsnTVkYkTRzFYn8lBZQFQmUIfQ7rcALkas13A4CeR4g6yi9ht/yb7/jLLDd65JVkPfRag1WH3fq
qvvgoNS1ArRh1PMP3NLFrjV3b2hz2Jir3c78GGzOFCHbZL+M+u5ts/ld0mGdOWaiqICMnwe5A1wZ
5UiVtGW7MOMHJ84fQFepFYYWodOmhuAMgub7qz1TFoKUyIUx6pSVaGpllQDGtvuj/BEboFt3iPJY
r79WKxNd0SCQZMC5zr90iw57xnVemaZ2WqsJDSCY3ODwqwJhUUA+re33875CF1n8rK02H4wtLXiw
OW95ZZPacF2Vp24twWZCimeFvIb2njvkz+GC+5h7rItAYCsyqEeQIqA3dizWFTO2mNYMCbDUyHQZ
bw5QSrM2HrAV4i/Xqk31NTGKI2Mrp2/pCbQXT0tyPjOlMKzuxWdQd2Lrhu7gd/gMEMZz4PE91Jhc
fjO+muKRcdpP9Fr2aN4D56t95tBPKC1sr2n3UA8xQNDxu4wWC9ANUEssulWGWcDJG7KfKjxU6uP9
7fsHpr01gMcFj+7sWwTqGI4opvZV7wDO8Q4FSmPcic/qBth9GXCCGKr13qo0I7soDWXlnFEa0Yzf
SSQA5GrMqUUDYw31IGhVkqVTPD/0f76MupfxBC7YpK97J1DYaht5knqQ1Ph8f/zT/N0Z/h+2++KW
qjutFri8hBGXf+N5r3kuUkSX6FpK9/ctzQ4H7W6AuoOG/Sa36g1oXGgKTLQf+udCRa+9sHThL5mY
/OLFYASpktrQbXrnuRn0BAIQWNJjbv1hgnaJjfZDWdDfNmfUqO+Pbfa0SheDo9eK75mR+7P8ym/2
1iQomq0egxUCd6MwzDce+2P9q9kxqipLmbXZJfzHNp0ul1NBbYum7Z1WltYd+8xqn6w8mvdHOHfP
XgxQoSI3tmZ68BNhM3rZT+0aSv/CBVboJ8a/YQYtJxO1CDoIafrjvgKBTyv0vZPnnq7Wn55gtfm5
wtP7vp25xw7ihX8MUVslGSPwqPBD76hcZSYpurUltyTYQRlJ0bjtAzgcBUimhfyvECp6Dua9tkV5
ypVEq1B62+PFZ61PFnbwZPXmNF58FbWNBAlgeI3FUo4oYj7xlRpZflwCKFkDf+L7RfQwtOJnyajC
ApRwLsCRJFQ90EOIvk1pOlkXJyeBNIgrMeiKrvL6oeMDsygehvFZSvktqy1l3Gdg8ajuoNWAxwsY
7aF0IrpPGbz6C+Rl3QpgmcCQS5JqQIyTCiJ647dYo7VvE7/UYHIBXUf/Kyf6KID5cCGfOXuXI92C
XoA/RUX65EhSq0G4Bijg4jfxXl1ONGLBzNp9KHwoohX2ENGBqs6ovS5svimtTy/zRGI2FdVUEfW7
69n2fb6FyLPHAuzB6hnSxHvmkJPk5L74CzmUuVwqaCyRN5MhcQAMAhWupEPfeimfjI7BvXAgNflc
NSh2p6R6aRZ84EwwhhsUQjwoEkqIkylLQiSPpZuilhHadaP3RgUEHDSc48ellw2Io2/nD+hpdLxK
YGEQkWi/nr8mqsQ6yhH0a1As2Wv96MpmVSMZbIHemFNJXNS8rxejK/ZWzCvMZ9GL7uuQ9S2zYtW0
l4k3PQxJ5ONI6JngS6CRbWUm++kFv46emhTChuiRUEWPsB7A7zpkwKP0UZG9CqCjskAeIoizPN6p
tRLIppyLWmZmCbK331Cvd1kLanKMigSrmgW6KkrsYJRiy6bH3k+kSXIMHcvm1FKaWmkDJCvhISzM
mBpEIQTiRcMQGH3nhbLdjZ32ICRtLBwzJevjrThkvLcv/aBkDNlnXIFAuztnV2OGOsoWxAp8eEzS
WipflUxps1MbBqVm9zXQkquyioUcV7scACM6drFoaX0scNssH4ZywyeyO9UQeFfe8xxboDmlcwXO
SuPKe4IP9PtzMgRxtfclyVf0EpzfULOTChDOZmUQ4pWniSA912QxqE9R0uWhNQIx1qySTFNLQxzz
Aa0ZQwL1u8BlIjDx8DHbmJLLC/6aK9U+AK1TwUZOJsZt+iVJCZDsxB+RJftM+JyHllnkZox/QH1A
zB/kpNPEtdKDmP9BKRofPWVDKTCEr/kiM+NKiQdMfdkHo652SZa8p2Csks0ACYPqq1Z5r/wSqybx
wF41Vky6bjJR6zYew0jhMxht/ND00QUbP2VRyEcFKSt00kHRIAnlQ9sqUuBAfsFDGxtqQGii16I+
R72nbDUk5T2vUaDrXckp9+hlXTMaMf65qEkhNfhrrqWpE2nQ8DW73Gu9bVUiMfIbe1wQd5uqjSX/
wDSNLL3hl8kBj0iUrn2vhbquIV+Xak/xGA8D6SFmyJtFk8SZ4RYgZDZ5zDS+SAuV/lCXDDSjmyHk
5ZWXxUG4a3jNh04YL7qRtEOChgm2bumy6Z6JkRBbwYGo+EXRYb4VRrFhSNK2WW8OQZZCED5zqyLR
qzKTIl0t0A8M+qsqHconD+qGQgjlFK1Lz3meK+MuVQoIjsR8HzO6yKA9ai2kEQ+5ZQWTxJEcyYrO
wLfUnl1DXzUFW3eacmbDlEKyLTI2xeT5XS1BLRVRDYfWtzpSe4JmSY0hbdUlhZ0kHVecwEAQK4D3
DsUwrN2AqdizpPaAzIyaXKrvXqco4eeYlbm08gZGrlD4kIPWbN1YG3SeD1rf4mQvErBUQi8eRhks
STgbTbHh/EEGaUUOgfpVXJVxCsaWgtO+mDSBIALrNZ5kjNB7+9GQ4vEtqFh6/tEvc585cGXKRWac
eEVtMmrQZxYX8GxekpZl4tHw0Iyi/nZpypigaxlfelD7eFA96vqfhUtm5koHXTIqvuBKQy8Izf0k
jm2EWzgbnaCGxnaobdvQYVlbCRzUKIkm7fv0vVWfiugTeBxS+MFv3+eG5v4ECXhetd+Fz5m58/7F
fCWAwQ0Fb+p6KJMxBdBkKnV7FlMTiNZxK6STVcJJhlqs7lubfjHqgkVVHck/1IwwerpJOtU4lwHv
KuuksppYAqM+S2pgpWwTGiE7JNZ9azPPDlx5kLFC1AJGD4mKjYVyCsBbNDEOoVQYaR14JnAzb/eN
zJUkQaeF8gEAMaBq+QMbXoRoQt2oIeujfTFm0GCO53iTH7gG01cjOS89SSMaMWqCh1dtxh4oNbTS
yFTVkBf7U6mLHukkMPBd6KlToXPUZJ0mFNBTFziSjLos4Y0c8Ab71XwHS8gYaiFvbFEBMSuXZcmn
Kr9HLB7uHrscyOr780qF3LQFOgasKm8U5QCjyRG04JkGcPO3qoGtkeRL2LuFiaPfUFLgxZLiK/xe
3gcJgr4R4ikDETx9WCPbfn9YdOD3r3FNRVNkAJGxpBlQBChFVpkUCvskdK3W3wmlAepcyx0z+N5v
LTiobG0IYMFbsDvlFi+O3o3dKXa72KZy1aVaosIuignjTkaNHiIUAVpTVPzO7atj97IE9KX7lv9l
E/A0FNVAgnZTI5bYLs65yBf23WAm604mULfV9OoLVxa4A7i99rZkcnYpRYhP4KkEPjiayq8Ckkps
wkjYI7eqxoQVjVQiwffwFDp9uLSUk/+4mVK8CsH2iqCXv+HqDSo1biBCum9+QRy4btfMQTj0z9FT
ZAGOdn/9Zgf2v7bAo3a9fF3bjFKnpZhKiQAiwD3JCEifvO/MUD/vW6Lup38t2oUlymsyHpRilA6W
VFWXWgvkj795gbBhaUNSj4UbO/z1iCKxlPlossMQdh+8q+EkTgLWzlaPTsO6dKpPxe4UIjv3h7c0
kVQOvipZVx2FRNi3iR4GqVkIPwmkSUEY4O+YEHHOy39mj3rB+wCz5G6MYYKxHZkMNreUkkSn8LHc
MKf/zBR1xNlAi4s+xH5kztEjeJ1MF0zwTwNLlniOl+Zwuh0ufInLtCzn1dnfmNRn7gU0x0GAPhPO
0zlhYePf3gPQJgAV9p/qA6IlauP73RjFIFvW9n2toq+EJXGcm3x+jAGsZaBW7xVLG/PWU4KmF0kA
sBFML/O/7MTF6KIizFVAeN295EN6uKzNwlXtlAM/4tAYKc4dADxR2RImjCBhfGqgZTMw4hJ91O3x
uP4K6njkTNh42Zi4e4X/GaJVlqJPdSEaWzJBHQWGB/kOM8TuvhF5K4xtvLM6calXa9YI8lcg/kYs
BiaC673CadqA+LJ195VXkTY/1cWu0RYQArf7EWA0/AamSxEJCNo5itLAQHJn9A9qtJFeuWMumGz4
XWnHGB0zVbmQDKTCSjiua2uUgxwyiNwBJuQfPMHT9CZJOcJUYqnfP8w0ugdmVNTHZQgUgFAfqbCb
je8nYa4E4aEeUzvJzoGI8rCexQTPKiPMn/EMJ9DRMLWRlKPdCQDiKTkB0/oxbHMzlFvTHZYY5KbF
ur7xrr+JGnrB50wdIQFyCEVtU6RnodNsL35o06XdT1fJ/0YPxVGQG4A1G8gfatvEzUQeh0bigxrU
RqG85CmkohFker6hPbDEP/AB6X80acGF0pw5k10I0QKaAIo+IOtv3gxjAHmXrIkPDZg6UawwUTJN
jdDyVp7JGYxZGaoBQBcpVwkqtwDLrmQoOtWWw32rC2lQGnV28y2UCxi1sAZfSBsfYp60/gn9YEGN
hmKhJWmzbblPLkr19FuQVqGq6CoUCYaaMPEaIECeea2hNP8eJIbabBnG7AoihS9xek58gwtD4h3L
wgiL4yCR+F0o7QjpA/ZFW1SOvT0r0BhABAg5TAij37QphGM08EUpx4cizr7BBozAqD/fPyi3Duba
BLUn/RxkK3WsxAcPeMystXvZQNbsvo257Xg1DmopRKX1QM0JI2gegdLTWBM2NPt0LexHU5P0piZ8
bg5LQd/S0CgHLbSBNPADrELEMWK3VWDy/MIzi861T5sMMk4TTzHAAkjaUm6G7TxPcqsqOzBlYVXK
iSvPYtToHYCp6WDEkq2BQbmropXfLJi+DTSvLVML53Z9I4xZnR0S9fwuZKWpxvq0fbslRbaZN9e1
JWr1Ko2X09xrskMeWQpneKpZhEA/kE5d1fuBdP5CCDE7Mmi/qipadCZXcn3n5UKShFqdYWTiG1Mj
xaQg/5m/IUdIAn4pQJrxySDT+McY5SnZXkwCLskxuKbVw/AoNB9KtirB27ZwBqZZopw/DAHxC+Em
lC5ol6yExVhGDdbL7wq94mzZ3yBoV9AewIR7zj338gmALX86hAuecH4BVSRZeKjLAj1DpTa0MW24
jCmygzvapc8YkNNhSZmhU9VR2FPp7vpw4SKga2HTuQCyAZzSqK5CaIbOi4ETNO9UX84PwcdopadP
Ru9OIuQLTRV+n9/qzTp2lGUFkdtw99rstLUugk+2ClQkh5X8MDQf4k/SAprlxogvzIpBQ/Ba7kz3
iw9XorrvjkOkOa2q9/2bAo1s2TPvLzhdPL+ZAmrW695DQl8W8gOzZnXBCq3I4cGp3W+hlhHrdQhN
lVEHUY1Zgk6iIwOKMlASNbMXcVFX+DbCu56W6ecX0zIOOeCJOVYjtEcwxgIFghyXnq7REPqq7Ytd
uP5FZyRzUk3Ovj8LswuC4uvE4I1+dpaahJAvVFZJ0/yQ5Zk+SHidDp4e9VbIIzkEIUtQC/wbBuVJ
VQ+EAugGogx2Q+35SBvnh0p6BbG+znb70PUM1DeqDFCjJXTvjPsA5zXeOlBBR1qa7uEvlJFxh4bP
D8ngHyI3XTFuQTK8jRttKaKdrhLKgUgiHOIks4AczU2DqcAmXFAGxUQL4xrRCskZ4nhHfgHQMhfD
XdqhI2dPFnxuDGGnteKn+mkEyz9HwiNjFkYLuXHGRDC3R3XAcK1e/xiId/ZNdZ0AyA+FyrNmL6lr
zARB+B4NyqiSoCrAL1xvXlZOQzivpDiUeahnWah31cLUzlnAwwfCQ3CRwo0yHJ83YS8JaXGogoTb
9orqm6GCsuv9nUk3gP45BGA5J022ScmJ1pbRsrzlyqIuDrnN6xMYOlqzpmhK257sPF1ej2b8mOtO
NyGyYn0ptzc/yH+sUxddpjGo+vMNrKtVCWxIzp14PxgWvN5f/YXepZeDpFZLlLqkbEoMkt+kT8xr
sMbzjiWhAeJ5cadaARR03xber7Mj43nMr4IdAqT/9QYp0xYCpiiyHqIRjFHJFlXLBadCVyn+tXQX
JqiQRPKkQq2jvjhoa34TfoHIzX2TjdKsdpzpbmUosy41Ts3eoOB0/N9RUes1VpwYZBVG5dvSl/CK
CX0OjfIz3QY2atPaJnxULd+cFBnvb9O5aAHpX0A4kP+Vp+zz9XQGXhhUvobzL6UZESodySLXYKHA
tUq9PYdXghoWCwfw/7AJnmkJHasqR4d8UgrNngjp50MNOXTetE4xKFU3SzRX83MqI0rH+DQNFbTr
ocU9evKFoStAEi+vonVsMSYiId/Vq50AeZNmK3xPjP2/4ZIg/dwLSILb/h/LfxNwcQOXoGxLuBGW
pWNvlCBSkh6BejiO+odmNFtlYQ2n7Xh1CEWwGkLFGLo8iMCQ/7sep5RnTV6BUOeA3qBMLxW/WcsQ
8zZLvMSM+9uFZmuDgu21LerC9V1OC1MvKg5J/5SE3z/Duw9tboOpt4PmEVU8ViiV5A8uqFhqItXH
8B1/Hz7LftM6nl0NVuzxS9tpafzUOndl43GFim+ShVeQEHOK7XNnxn8rRl9nfRLZbbQKwQyIntJh
NXa6wi34+tt34dWsIHl3vQKCJvQKL+AL6u7XXbvubwJFtuI4Cv9F2nftRq4sQX4RAdoq8rVo2kmU
1PJ6ISSNht4X7ddvUFjc283mNnFnMefMMQMoWS4rKzMyorPq0YFydz6+SOUapf20rmfrPmVdUBZF
hylCEaDkZ1YLkYctaRoX2BC7IA+ttJdpZiZQMOb+n+sLfzHHUEejuJZlOAnoMcxJH0OqNGVJSOWW
afJWxL6TFdC/aJqX62YmNzcbEsrqIPeAli8eg/N6f9ZrnZZA/N2tB9/OlccQTatdjpLYWsvF0nhO
Dc38bVxjatMGhoAVeorywtRT43ZU85VpWxgPGjqm5NjEbQFJ5vMlompdAAIUYjyFW0C8VA+eaeHk
xlqJeWErYCMgzkCQi/Tx3ItLoQq+5W6o3OFFTZhqVvelajeGc311FibtzMrs8Beka/VcHSuXiplZ
R/ehPSJnfN3G5VnSsKdBZ4p0oghB+LkGEnh9CqATotqViIC237ZUwPUpVa2Fd42VRxox49qLzaKN
S9OQ/ZL1tRDbLY/XqsBLc0pwwNAvM/1GZm5FTNuqKzSldEXaskRTN2L4HauZ6dEQvfBrSdxLz4px
48oArxGanQBAnG2VKIs6OdH9yh2L99H/zksZNW5LkVFoQw1a6fKtUNwnefDcF47x0XF/w0EdJ7mB
uNXk1kQtgtAGWE9QLt0ZPWgJrq/LnD0PuYzp+5CeBHMwikzzrRxXcZuJnV66TWVseZaZ5DtQJhmN
D2kf1Wb8VFAWKFtB3Cdx6OjKruhv64BudM8e1NsKSrDJy/VPUi+dBToqkCoF8QXIqXT5/HA1zRjz
XqeIcYfytTRCk8fqSrC5sOOpDFAWaiWKAWW02R5AN1XQZ13J3UIaLTnc92gEi8mKk1jYaOiV1kGe
ATGl6QyfjyNsalqOcc3dPN5L49/SMKwoMkw5GBlVkpXs7IJHOjM2O8NJ7kskIxV3tUo35eYuKL7b
4ickH9fXZvoxM0eONcG1pKio7+CGOh8TKix9WwV54xL+JQDNphtovfEhLCffyuKzhlLMdXuXzy08
BsBBgjSigooENsS5QaXzC0UlXeMG+kbhEeoPfmpp9RvnMlMMt94BLxZSe/jOn8RDvMufQFJgxHvs
VJccanV7/XMu942K5BsCT6icSMDGTlv3JABM0mQQEjVs3DS75+RHT28imq+cyCUbSC9Chwu9g6jl
zbZ/oOaJAN6Vxq2A6Qwh1Jcjz9T+r3lnDGHKd2ARp27+eQNmkYmkjpqicUeH430A8kBwNYKPdO25
fLlfzu1Mgz2ZMLSba8BDw44+IHsm2nq0idJNO0IhZuVIX3qNyRLONN7mgKH8bqQTS4HSqQWKRY3b
KCQwudTfyeCDXVmbheEglS2JCJfBUAaG7vPh1KXvj2gcaN3McmITqWamrqR5p/18fsAgtnFiYbb6
DSmNCCDm1gXEBZR8kJzb6c7DWr583s4Orw+N5olNQJQnocC5AwypkVeNErVuoqa33RPpEMHznVGh
VTF8ToOHsSnexD7dDbW3TyD+Cd7HXnVqoppQvPefAsCD0f+f3OaZqZSPeZjfkDFx0NMkeMfrR25h
XfGlFAGqDM2fi/ZWfWgkPE7K1vX0WtjxpA3tth5+rhuZt9z83/n4r5XZwhZV1VfFULduOt42PmSX
zSTA/ax+Bvdq2pvand+hO9XI73sxeyn+ksCJRtuXkxX/sjDYXwUlSHgAJSD9ki2fbOI2J16hZ/Xg
AhrNjLYBhf/1gc5JHqaBwgJ8KiJK0InN8VptpnRikbYDEhLoc1fe4mP01Lz0N/wetCkbYiWgEQ3v
9cAKRrveyewPsa9/wXTiZxtcExE0A/aLMBBtTudHSAjiLhZqeXBr6EuQNDCl/JDU3Lpu5fI6xDDR
lqmiYwhX729UdjKRJMnTfOy9wZWyfktAGqGBpyLLXuW1hNwlRAETKmMsE6wD4s/qtKQnljqeEZHX
1egO5mj1O+VQPPpgH+7Nzsrs4YAO43vf/BttxsfrI1yax1O705+f2A3TsMlEoRzdN+t+7eU97fb5
Gp3+7Gl2T362KkdcRifJ6BpM3Xy1Bw5uO818iJ011OlCdHw+e7MYaaioADoGWBrMr3QTWfmtvlN3
2Xbc1G+19Vlvh43gEBdZaWhPVpZn5ysnbuFAICxHgy2qDWj7goM5H+uojzQru1x2+6GLTeD7mSe8
RmLI1B9NtCGDguKlST3QZB9z+aWqnbwKnDjr7kIPXPJIUhZk3Lb5zTjY8pqu2uV1AwzWpBOI6gSe
mb9vqpN1qAIQL8m+BPg/4PlmPqIJbJRJsE36AoQsakocgYgNyvAK2VzfXcuWESODvQB0bPMcBNVz
ZGiRvHQrYEw6YC8yPWViv/F3ef0WQoH6urlLvweAiwKBOmB9EPvPvZJOxUgYo0h1w4rcakLhgOhm
JeJZiCTBsiEinYaAXNc0ZbbVpIGmqCkaqssDu7iPPFRtd6PO9E36k7jpTeHKAotl1t1UqaWoDod4
oHQvOaElme1qJvHSP51/zGzXRR70P2NPV93hQQQpATlIoL5CFBaaYb+rm60OueSn8QVybQPfyo7R
7K5P+GUSFSJOgFWhCiVOvQHzdHuul90ATgnVLVUBgE9TkR7Qc0Oz5yKSGWn2SXArN/tY32sSo6Nu
6okTaV/gluq+rn/JZaXq90tw9ULHBenqedZY0EpakhENlPRbT4D6Zio/xv6dYIb3WniXgotE2KTl
bXmQ98FedaMHclftk+P4I3m2zORXiW4BvTK2im6CBmhcuUgu4zEwLmk6iuAGLmVQf567h7iq5byI
8HUD/25Af8mNh1T5+1eFfnQp4Fn+en02LmsUmI1Te7P3jgDmuI6ksNe3G7rvblwDMgHPn+7jn5WB
KdNFe+7kYQl8QphzQPAvUF5+mkxiTLHmKncQ+9XRoXHfj45/RKub5qDrNdl0Ouv6I/B9Vc78Q/li
SI58276PH7S9FZxRtWXujPRBI9tM6M0CstKlI2xCdU1Q4/KqO//SWcjA44q3lKQaQDItIyU04ce9
pq6BHS4vPVhBNgTQbrgJtL6er7QcSL1P605zvcGMq5EZKl4RxxDdZH1QMTVgqooWljh21iKiyxaB
ac0R44LfS5pajmeWDTR2D6nQam5YfmsHYRIPtbLaakG0OWx5eDcAFN6IxzFcGfLivJ7YnYUu2uBJ
jVZzDZ7vpQqfMqx48U9rp089OVSfgs5ZwqDinTDE+ai5TcjdkcbbVucbRetXXn+T877YzCdmZvE7
ioUBMfpec7VE22hdQkw6FN8VkrKJ0aZ2mDTFypW1cENOFxVy5lg7GYnt8+0ipaUHNVtRc5PiPa7A
+O/UsXZEqzrrhHAb9IJ93TMsjRDqTGjZnDhZIV98bi8nMVVGn2hu12dM9V81udtE3mOGtsm+SlcG
t3QfT4BbpOAQPEMk9txYGqI3FXStmgueScKEEaxFeZbRFRe0EP0B1PpL9o1yIV53sys5aAQN7cyy
6hKQi2U6WJzjY5q8qBp6clSbYKP0tgGBOLsD7z8FN9VXnDmlMfVwo2XOUN4jgK04OCeb1F5NKCwG
DESXwDeHRzK6aWaToDXh2MgxUd0sSva81BlEmy0B64sGjYDIDF3Hpga+Oc/zcnP8hHgB+k4n0nhF
efKNbaG9GlD1foSEd9vcJOFaauyySA+3gcbXiap86u+bIxGqYeRKp+MKB/8h0xRThsZvVW89C0yZ
n54FaHSjHcN7KNlag/hcr3VxLW7IE/Oz6elVJOyw3RGc9mjK5AE4qcOoLK3aRwMZZhPYCGNQVk7B
0sYE8hyicxTgGeCizzcmOChpRwdcWp5c1xskuCLwXkJHcOWsTd8+dyfQxsK9j1ckYPUzd0ILBQ3B
nYJY8QkRvm2r7GiYN0efOR8Gc743IbsVTeg6O9QVLNO2b/av9g/7vPl8fmwO4Jr+E4Cl/hGMWu/b
7cN2+/b09+ERvIHWwfLdt8PeMw8Pa5CppeU4/eTZJVnoXcvrAbuVj9zso2c6HDpaOq10JwGucX1+
FqOUU2OzG8tL/bHWB1V1FUDsi2oPwKNMn9XMkb6E0lFVO31W9vpNVBw8ELFfN750a53ant1ak951
HWVYGyV5V5G87CoLXezXbfxqe17bADPv7ntiUfCequ4BXIu9MzH2gEANNEwyiE7ppOdkx3bPdAsK
Oz76+vf1DZ7HkBy31p7ISwGoTsFhBjA+MsLzUx6rjaIkMe4Zf/jI+2073dM+4+NdWB9EzamydGV+
l44YaiLgtYL3R0A02/sl10th4kxwS09kGlqogpUawu/bYj65SNLCd0l4YeANcn6IgSjIAONKiOtA
39DcPY3sh1gq+6Y2NX886+c+NEuLMDsCiuNxS3fJ20vKoJhx/LPWCLd0zk+/ZObD9KFX5bGdxqod
BtdTOrzAPgCEWNlOv4t0bcSziw78DMGQUYw4ZcMe/J1vBnQDvmpmsOrm7ct52unWz6/GjWWY99/d
G0SaWMGQYAYrnvM50XjFzsMhh4TmS2Ou0cYtHSgQXkoQHwGZNBKt58sxloGehUUD7ggwdjTDvlW2
edqu7KrFmT4xMpsBQeMVZIRq4vbwFToQlqBCacAomn9eP7mLu/fEzuyCqCmyxZxjMI3fQ3yL1mgU
KeNhJT5anjL0uk8XEToGpq84ScyIlZ4ZY9sTFzxCeCjctMNWAr/H9aEsRZgGlgS4a4q8iCqfGwEx
SOsHWUbcQQdk8gU9CcUz7dEpiuRE/nXd1uLynNiaOXRZBHdUFaXE9Y3D+C1GVlFWplSvBc1LzgyE
rb8lZ9zevxoQJ/MmtU1XkaAkbgEy70jZ1bVoDkFp9f0DgqkexUTDOF4f2cK9iHXC8xbXuAH8wWx3
62Bl9otEIa6hDcNBl4LS5qG0GQtyWyNLBCaecMXiwhaEWCz0sVVQIkx44vN1MwYVghwCnIpSgdco
QoanrZ+uD2phuc5MzLIENMxlEEbAn0ixyhTAelWkTUYnTdc0YxY2OkW/AR4B4vS3MdvoyRj6PJZg
qCz/ABkSoFt+6Fd6CddsTH9+silGLlKfVrDB4w+MpaFbqV+BQy/OF5KZqoZEh4bg7dyEQYY24QO2
d5+QDPwewxMheOKrAji+YrRxXF+dpS2HZi8A9zTwYeDpcG5N9rMUsuEdcQU5D+w2yMFZPeox8+oA
rVNpGGyaPFg5wL/657MrBmliSkEbh15JLNe50abwgkZKRQwRBNG3FFzNL9HmpbI6SD+WENIozTuf
QXhyc7y/f7/XrSMboBl3I0EzzuyYDAbAjq3FLosTcfJNs4lIBYAKwfWA3WPwJx72uhnrDaQZUIiB
oDJrtUJl16d+aS+dzoJ8PgtRBRYUdMMRqEU9KtUxkndJuFKhXTQBdwIqIJwLrPG5iS7rUzAKScRV
x7vOfxzRRtXpK+d7yYUAYPYfGzOnZfggUg+5Cj85dt+9xL+FvLavzxSZpuJiw5zYmJ0JrohVg0w+
Wir2w/6ltvGmNjn2Dl7T+BWz6g36UM3+TWGVgyD46Sc3hWljgcqVoXkhN48/uyOOz46gISg0oU0D
uUkvYD3+dSIlBVUVYpjX1oQ0ksi2mvXwL9uLKEiIgH4CYJT5qW5rdeiHnGKxNV91ZD8BnVSavxUD
2cmNnN4R9ExZK7O2MGnImUL8CcA/kKDNJg1xeix1NKGuRp+HZIcXUA7FLjmP//cAA+3+dFJXR18/
SM7PN1k6NENXSSFFGIMWBjFTcitpUX3var1bOTJLh/S/plAsPTeVZFpVapqA/VxXj5Havqi9/EpD
iTPQoWtmAC1Z5/okzlWNUISeWkCApAHC6zfneW7ST3TYDFPqvnEIBld4UL0gnWMlZoR3Frq9zOSu
ZuDTcril2535JtvQxibVFsWA61+ydJYRXEFnHVnfy8amTNPKPlEr6hrCXiAPovhjIPa5bmNxfgFL
IWjhRiQ3l4oQaKwNrZ9TtwzGyEQN7B568kjNaMgpK/djtLlubnFIUPlBzXvSpprzawO4NMqhx6kL
OjimoR8t1z/5+HzdiLx0oaJqijw5GmEAIJx5djoEqhAODXUrqPoE3aEDaxbu7eFvz+/FhLW6Y+ho
jhTvS4IMnboBY1/iHbKxZtk2FI59GzPUOVgv+Gzwuls/AHkSRL2ae3ENenzZlTBtNhwiwE4B+EPX
2Plm63pe1RUfqOsFKaDiihPwQ4eHnr+TuaVJJkF7hlnLxj+sA8UiqFOvF+qNMxdedYoO1g6FulIH
BWpK+YMAhraNh2TjSmXztzIx9+SnpqYdeBJAVR36BIQIphqzdXr80lAsH8Dnj3QFWpSAIjtmux4y
0AYigTuEAT2LTR/E7yN6FxN2729+fJvdhJgFFhhmsH94aEzjH6I8CtgHEJ3AHonzaxMJ9ExLwCDi
hiN5QhD0RCpaml4viyvn7Te8upgOBPuQZQF6FBKB59MRQJgNVI4GfDRuqmQXs9aSnMGu2R3KWFvJ
ugvZT8u+E3aT7wqQvIEkAlVfyYavYxj49ZPy+7649jWzl5U0UVYXPr4mIQNTG8sA1+cfodtofONl
B5K6UVCbCkHOzkB/DoSVAL+H/Eq9G3Jb7WSwzPYOSJagsgRYtnAwlB1wy1ZBDkO9VaKDHuE5HZuc
xyAIfpOCfdqHrInv6sapBVAD4/VrEp2JbghVMzWtrY5A7MHfacVgknZtsJjZa2OdwpqTjShEYAQf
ewqv0KLZEES9aN28Pp1LfgelYtSrpzcd8rPnFuo4LnDGfd2l/T0fwdkZPukKGBCblStqKWODpi2Q
uk/gIQAwZmcKRQs/DDIsW4Vzk7M3cDJZFLERanIMtxJoMQz0/hETm+kIwQr751tn398qI7+KCtw2
xe8p/BmYbj/EFjIRzIrMtQLKQoYAWjBQ0ZjUeohCZi/NtpQ5VYJIdxX/Uxw+s74Go9lnmX0aWmmr
erpyW16SccCVntqbRSVR2ZcKL2CP6l+if+spTgnBvLpzaYBbuyiZWJppx9TEMg5h1JlG73jZLkBQ
SIYHLsfgoenNRLKVQcEGhCg8UPfImqaPdWkl0vsgmSO0BlOBFeUxaV/09jH2mDbG21hY66xYvBam
eZuaOIAJmUM5+6bL/VJLdTfZ6f27B069AMWmnbptIZ6uuv1KrXUpZU5P7c29Eo2JEZSw14IqdczT
V814FZvAJHdabvrGQ6HDU4McYQxtEj+AvtDTxpVIby6Y8Bt3nX7D3BcFICqYuhHc3rsTA9PLHkEz
zkLozEiWYWzQ/SGrD4hgTIU6Ywqi096m4qcYVscqgK6Tx6TVrt1py8xdBuq2oEZCuQhA5Nk1ycVA
rMIYW6rD+rtKiQxQ/l0UJiH7xN+W0Yr/WGhDmersKKEieocMojzbwiUkMoTcL3QXahBKbWv3GrBn
rt+/lyZPazaC/yPfXfdZS4XEU5vzGjiy7IVH/BzTDgQ0KHycwOy3gg3yHnavs9cMfgJ0aBYELl00
YlvpSm38sm0Rx/ZkzPN8xEDKOqgn+1rv8Joc2qIH8rKFWp5F6k0w1Cav70CUm2YHVbbqfK0xdPKV
l2v8nzn/RaKcXAtN70dc62C/NIq9IrzpiknFnaigfzIIVvb44n5C5AuJMNQHUV04vyAiNdAG3atw
rAeJgT3KNGorQUQa0YNA7mWlNOO1YtGyKzmxObv2QFwNmlUAd11FsdVNR6FXjclFIRjIB0b4a/Es
eX+v76mlKB+1dzwPwSiEvojZMHUtKsEc2+luqIkWz95EoHHy+Om6kcV1Q64WXMVgrwTI4Xwuh6qR
1LzSqRtFqRnKW69LLOrZXK1NYU1Y8/flfLFJsEfAmI4MHV6958aI0AKvXsMRoPvbinbRToQsOg4k
85mKKpHPngzcwwFYoFCFGy2BfaEKtiU39/lNZ71PGCmPpbub5479ScwMoRzIUVBFkZ3nP9dnZXGH
4S2HxAMm5uK9HAhErrMOjlwLMlf3sIOH+BA3Fl4hTjz0H3FVgsL97brRpZsesiRAGQMOCkTGLBwR
pbxBPRxG9VphWYxo5CbdNAao13LEJNLK825xd51Ym61Fyas4KjVsaAKXWMhfqvxnwGvt+pAW35CI
J9DeCDVT7OPZHh6MNM5kIYDrF17SpmYJ+WrrXdM9+f5bwrcJZw2AfWKI2+g2ytxU2vYaBflHDizI
V2TcDhNRQAMaqqGwK6V45T7fVOGm0DdFt73+rQsnARECWH/ANg4OlN/k64kHi1VlDDrQw7t+PYA5
/131jugcZHF3X0VrhFcLvQiA4wFODnAeSkvG/KUUG3TIjWRyYQj0EZeU2yDYjHQ7VCqLIPWaUTby
2IqRpGtZP+J/yqAEftK6leO/6NcmbCA4yyQk2eZ6wb408rIQWt2VfDvQ7DzfpMemMjUkFgJAo6Vj
vXY9L23zU4uzaICmqh9FweTWQrzV/VF497PYzj2OHq/vKu7eOoQk15d2zeTsZDVe3kTJAJNDHNuj
irieP/XJXY4uZT/pbFXQVjr11gxOf36yl1IMb6zbfjK49/ZpHd7E3p/SP0KswcrCdnt9eEveapJI
hGPFnXhRqdQaWakrZHDcFEIlQnWQ9G0nMAIUIwh09bdGWAmwFnN76MCeWNSmpr3fOPhkeF3VZUBP
AKcmAyKj73u8mvxtca84YA5kH6pdMrKfahISe4pBntSyp9ocKZ6+dpasLO20W2ZXio4UlYFho78V
hC3nMy357QDBceSHsZFt6n/JRb3lVGd5t8bNtOQfTi3N1jQRigRcG7CUeB9crNj0FpL0xkpiZMeE
lSVdHJYKnVZ07+Hyn8+w3wY+VI0D6qL4hAgqclQZMi0kNyVxLTf8C3S6mMLfFg3gT1DSnG6Kk9WM
i3b0yzKkE/okjHZoBBjpjuTfo9UK73Fvx0Fhxc9QZOBfg3QT1oMJHgjAYZqd0j8NZCPHaxXJJa8E
PUVA35BLglOeY7PK2KgyIUXyOO2gtTs+V9JR1e2AfBRCuqP5veLnL4ryev0YLS7widHZ6y1GbYH0
GYy28LlC/wPkosXznwZ9IqhfrtyMU1x1Mem4EFFwxY2PzPH5pIuCQrIQyhquGKaymSRAEApJucb5
sbiNTqzMTkczhonYjgUSctJ+SFGJQzWoRRd8By3vYQ0wsfTuAi8M7rVJfhNIz9ll3ykgA8TVjTTY
GxetrxEq3h5Id6Ib/ei/JCsIo8WhYepwRvDChybA+QSOUhklWVQjrR+96xxOXP2q61dZWAO1LC0U
QUQG4MzUC30RINMwUdp0oG6vP4Wjq/OVUHNp100I2994GIrzs3FUtPU4uiOoCy5mppXvPUggjOyl
hPRPp31e3+GTi5pvOvTZTNOFVpyLlvhS6aIoQpsbOkLtUa5YLj8mI2owDzXS12ueeSm9Bujof6yR
WdEJ9ZBEBn6aulmt75T8VszBLBW9V8JOyj4DkGp5ZqXBswXJIUoCq6gkcPyM+z6pbAiyszF+7Wvo
xdc7PXihfco8487rHoIcAiqmALb7Hknu8BBDLUXcTW3AY70H78QOXOd6i4N7RIsw2EFYJqBzJLsB
iXUzMCE9Uj9k8mBdn9mFK/hsrLOcJaifvRDkF9St5eDY8Y1OBBOQeHRSHdDy0+24tFZyWtqXkOZE
nydSl/Ajs9ntED1C8gprmdLIjDLxVheK3fVBLR0xCDegYQ6nGomUadAnF4PhNc0AmkrqxrmqsjaR
DZMqIAIQU2SUCt+nK5eeMjmIi/1poPAKpQEQfc7RUFQM4rThHnVv3zRmAesCKObLlOF/+7j9iqwv
qHKzN/zuM5SkzSmvr+LXhiRm+3x96AstnwjQ0TOFxxgKz+D1Ph97EHToNpfxKWpvKw1LqZWSQxxs
SbMTx13bx2bn8hpM33sRYLcxwLvFQewOlkS+Rt+xBAI/eyzMvsXQQ8WX9FJ3hXJLeLgVSpvgcTIc
c7C7GhvkO7Lor6eYFd5XPyATGdYq1UvZpbMvmN0jpdRDqGvAcyVIPnLq1HWza0PwxWkO1VjbPUy9
H+NPkcQszXf9Ghpj6RWJTnwd/ZFIH2JDziIUvUlaIW+5DjJs9DNXstOk46MK3A1PHiPlTvZuoRDv
R988/aspT1G3G75HsLBrqDZG72I4mH3BJKVmlQypWASGkvyHv6eP/ZpO89KzDrUvlLxRmhIJwJbn
u6ZRBehplbXuesYb3rF+6lktWg31rLrVhtTU1ZgZ0SHlZnCvGJlZeNthtNA/Y0lrc7bgHgxwDFDU
iBE+oXBw/iWtL6Vh0Ul4eI+gIsn2yZrew9JtDwv4ySBDMMAAPNuVga/kBakhCsv1TQNV2q3AHyTt
duKTKR8KorKyPoRrDBDTSs88xJnR2UbsmrAuvUzVXSN70oyvqdDFFWfl7C+4IWNKhoHICmpKQGWe
zx12SVvouYBMgBgBpJyCeV5N1RLohPw5g3sy26CPnB6gY9R8+2gLmsbqVowa/YFQgTCpMP4huwpn
BPguFpSCA2P29qjlMksljtXkwq1Ubrx7QTskSOGnx+tDXwgQkAcEpJEiGwA6o9n01ryM1DLG9MZI
ComI++X40NRblCx8RHPBWvZhaTVPzc2GNUj54NVQrwL5/S2XP4vwVgMd9//fkGZH0hDiohkHDClq
kP2H4FfhSJXC5NKmN9E/xNtoMMcyScrEsyTOdo4u8yRu1NxwU7QTx9KT0qBAKLw18tqGWOonPLM0
c4kq6K3yOMvAjiMXrwl6gAYomVbqpvYc2tWH3GC0/KwbPOUsvgZaXnRzUB6icMfI5AAjd35ApFyp
jSYsDVfeqOMmju8TiAd4janId7FkoLK305ojN/aF8iSA0Td6VtBovab3OfmXuSuYHBzy1rIIMtHZ
wqqDqoS1Vhtui55+DkKPUUOZvPLNWl/J5iyE6AAaAOypIWoGo+/MUpbLIY9GwUBDUmZp/s2QNoxH
Oyl80LuX67t16UT819QFG2EGJYTeaH3PTcV97YGgAC3jAAZcN7IQ3MCvycg6ol8TveFzUF3uhdEg
RNg8YfJYalaWmFrzJtV4EIS3frdLgEQId136QQVAdkrbAC9iswH+jQtbugIZuVxFpDgkRFn4By6S
eaIjAdCOtwQnJinE91wq3wBygRoN7ZxEqdce3Qt5BXR4o/8Xyc5JZ/g3sXUS0YqlBMRlJ2ElJc0E
u1RRTUlXDSG6HhbmkDgiUwv7+mxfLilsotUGL0joG8u/GM0Tm12MXH/PI8/liAx97jSQhu1W4EHL
AzsxMrvuay4PYqgHnlsnf6PoaDhZxkCYSSBn/C0oopWNa+/iy6sCWgpQtQFzBIoW+nwq0Ug/iB5K
KG6gAILrvechcStf3bTBnyS7AS7lf5/FadVA/wQ44QUFS6sWAUgfIsMV0ac5jPtyJ5bRWhF1ejOd
uxSM6cTIzKnWClgQKiUwXFVrbEm5yaHSQA20fsmbLHrojVfi/RmEYuXML0RSMIv7gkAhGcnMeZEk
w31cxyPOQJe5uRztPYi6QRODVbtmgglRpwvaTeWH1ioGeeFpcW56dmEZac4NXagMt0IZs4+fH3ro
1W17C4pQXrTJLP2PwUEc0Do0twXt6fqa/j8GjjQygAEY99wPURUiAEkwzbeUNSzrfiIgmm4VeZuN
uM1GJDtNxfef61Fd2U0LxAjIUkmAhKpgBsRNPcu6EK3gVZjh8oB8zPEJBEXAOn9Tk0D1RjB7VCQh
cmf77GNk+E+ksDfV0RoOhgWsFdQSAXF3rk/F0mk6/Z7Z+Y3KVIFONr6HPGsd6D99UyZ2i+SnJL+r
q3w40+jm+1wFYzU46gHIQJx7fn/7IeBnROc4TDp0FkI8iEJtU4pvnWc4VRVAttjxVDgrSTcrD/Uo
6PIqt7Qf8bzTahPi0GLzR6wcmiB3BLrLekPXaAumfXf5haBERl8uRCnE6do4cZq6pMQ+CUbDhRL2
fSAEkDau/OP1Ob+81rEHFHhfcPUDGjxXqMylhNfdgMvAALV0DaaPqD/WOaRo8bZdJTpeXGBUFqca
Dboh6SxkQsN/rkOBBgetVsxY2uFF6ANQq+s5q+WMRejnVoQ7Md6EQs8EuTd1ssmLES1TsV3rlKn6
kw/R5eszsHD5outMMUCLhGZQwFjPZ1lNqkCloYfrEDA37eAhsSZB+aLmK8dtzc7sWdHIVT2WIgIo
oVFv6zDbok1wr+LpFq30bawZmj0owioA/WwFQ0Nvawbj6SYIzDWszeLePJm1WTgYSnlaGDXuWtLG
n3oQA+MDfZbrK7N4oZ8sjTZL76l4soAkHyMZPdMDyk7d+Ng3z980svzmfqDOdXsLNA04DDqaEPAP
hIRz/JBGIzGRhtRzYyY8igA+Bk+9NYEznkCBzpFloxsChrAbundbENVct750EsFYN3U1qWBH+QVX
nZz2RO3VCafnuVQLWIbYD12jSvYq1sAqtyttYkvh2KmtmadF/7wktGmGcKzbUPWjTB9KbcXE0lmf
+O8o4j3gCebA+bD2Eg+VEM+FZD0FFXAksaY/eMpOUvZkbeWm3Tb3lGhWgSVUXiDWPduNpMzQDDXW
gJWl4g2CExOdK5YQCD8EifBKl2/k7rvqVl5EK0bnFLEckt4FGQrPbYYMqGWkRY1DJeLlB3ZsPibo
gKbAmMvBWtC5aBfCh8gPg84c/UDnDsvDkcjjqvIAIFL3vMABZ+NgepJV77W19+XiRjmxNbskGzUr
0kjExPrZ3yJ+0tU/pfAvASfqu/8Zz8wBp17tC2qE8WgEsN69vKtsaC/1w0cU34J8Mve1FY+/kDfA
s+/E4swVKwoHLagMi8Tr71p+qwLbIuo+qim3fn4skFMGxS6RbvoudSo52F4/6AuJ5Mk8GMDAAz7B
TWa7NU9JMQ4pzOuoRDGJ2EP6VUifiv9gFI9SujW4wkSFJfE+HhQr+4cb/8T6r9M98TPjOKFACu4B
jSSxEiAjradb2lkpNIDJyp23dEuAbR9/gawCcdZsq0aVmsWSj2cfSltQMAg212dy8SSgBx4dhJCY
B2bp/CQMcARao8GNhYjmTMprqw81auatt2lbu3/juQmZpxWjC4kfLN/0o9HigSmZBwx1Vxp6kUrY
PSE3c3CJAh8lbPvRSiAapZZvXHeKwAz9jxCdZU6Um2X52kirkqGLc3vyGbNNLKLGHJMOnxE3CjSc
WEMex8L27cHRNr0FpjsP2BNQ/ZWYFWFlDy05d4rONiQrVH2K5M4nvtZDv89DOPch2vL4HdpWwBiz
IqlYLZm5tsbUsXhiflWI6BQLI+d3bi8KKNjlRSw0oBtmT9LnVt2Vhql6xMyzG85DUwRLbyXGdoFa
jAhizeYfrrOpyV1G+yVIl+fQ5qwYov/D2XXtRq4syS8qgN680rSTmi2vkV6IMRq6Knr/9TdKu3u3
u5po4pyHGQxGgJLlsrIyIyMkMsPZo2nSldONXW7RmhJWnqLcW+XKzbLkdc+NCXGypfTdoMvc2PzK
O7jqI2TC/o0TPDeiXM6pRecpYgSuHeFGWNdepnxSFWTc8nsSMlceoh1Dg7HTDfOmzL18pGvniC+a
eGlj82A+JciygHvz8gPCTm1ozMwwSJG7pJoLAI6HHgiglpBwY3dtv+noL6s85glkjJKNSd7+ufc4
sy/e3+ASRackNUKIYfq0wWNzpE+VO0mbUu+fJTz+k9VejKUzC3gDjg6wWsBsCws7SWlKesXGuRmM
LcsCXfk91+91eCcVdBtqA1yX6UFuT25/VVHqg5rzaNirmWtuRZx4xLgIHUBNgQyAcOEqrdSW4Lwm
cJvoBJme425vVSAdA+lg1IJacuwdE3wBlZoGRSE/3571hd4MXhMAIQ7EFkH0Ywh3gmINVQOfToL0
nqstjhtwaSPdggWAHkaQba194hPmK8Mmd6vd2rtl6U1hIdRAAhvtCHj3CksQd0NTZ4pG+LY3aObF
yYZpT72fnWw00Pmh8rAy3oV8GgyCXBbdgDaE9wRfOYYmoxlVSNCYkttWxAfEpZugSN84Vrg1y7+S
Pbjq6ulaWOQLs8IrUGayVmL1SFDQ51F+UDqQGpsWkJEOWC42oLFE3Np4dbzGHL88wQCuAT8sg4dE
TGbLcRKrc9nhzgejrpw46JNis99aQI877V2ngXV1jcWPb1hhQ0NCCKIrgCdx6RHBlSU4aqNVw+RE
wF0ObawYuh6Rfgf2if3t1Vy4+CzEbCBDAJm8Abb2S5/VFt1gpASXbl9YewtZCiu5Y8zaWUbiyuq7
CSbR2wYXjwunxgE3CRoGVLHqWaZjU02aAjdNUAZBYQn0c2hQGo19YjG0kT1Cb92FWIMvF+DBM0Hh
DFybhgwOomovVX7k0bMSvaprEcBSDA0ST06oC2Q7J5C7nIk40hNFzVMS9BRKVcTXc/y5T1U4Lrz5
5Nxppm4bNVuFDX5VrMFB+KERV/zcurAOuhxFXdPFJDDDmTlNA3iRHhilU/U6iNLWoJiLqw4GCQ31
EqDVxSp/QmsFwjElrEEKNE6xrVm3m9QEYQY6FGgJXSR5NQ+/cFeghQ3EAags8ISZ8PTK2450WE8C
vAcU9BSl8/KT3W6K8JSHpYM2CVDZIm8Wg0G1uFOqU87uinHlilwcuMHJMQ00gEDR6nKR1WygHUly
EozG1qrajVklnomSMU5zrf6BWNfKbl8IfEDEAVlLUHFCpEcTQoLGAP/3iIwPtJsNybNLFHASIude
bxZrBCqLfkrG5EKsHOcYaabLsbWjFEZZ1MAWchUu9vKOxNK47wG/8ixaHCMbPfsZLfTDUMSTG8vG
2kW8OLuodeDpggIuCmSXX0CmmE5dLJEgxM61KbIGMUpWdx0YY9L2I6bvK65k6SaCNRlKQ+huRdnz
0t5sD9MYMqxmw+7CNPOav5rh6q1+guKDqWcOnt/SWrVx6aCe2xRWNAN9VKfKsMlqx5hLp/Q79HLQ
X6F7e3BLcwmpaE5gjYKxJo5tqPu+JbpNgtoIP/Kq2JQUlJmgPqKfaN7Q2milZLtkD8VwVN7x9sRl
Jzw9i0xWOpZh7TrTTdtkS07NVu4UV6peRra7PbYlT3BuS9gnWZJIYcH3yTDOTtIBcb/mTpcu0HML
wjmv8tbM23IiwVvcKr7hNgnxCcCit8fB11p02gBL4LZAghOZOuHEGbXRysxG6GVUxnG0dtH4YoX7
sgL/vFzhAvHjx9sGF4cFFBrnf0eB7RtqeZbq0LUibThoIchnSFIR221DCMGo0lZak/9ZclwoqKP1
AmkOFQpol0er6uRSyRmCvFJ/G4z73PwRr3VCLt645zaEo1RR7MYaidsgBH916Ddvs7UzMxdTmDum
l6hf9pe1VpJbGZcpbPPRamk497BpK39p99eyT2X/cXuRFh3x2bhEN2ioBIkUA9tbhQ+S6J0MAmQ1
kMId8sX1V/Q+12vMqksHCi2zAA4DT4aeUiEkt6uhTTpLik4mHSRvVvXJmfN8jRFjqa6M+BeYdh0J
A2jFCjc4S0IlqssS4ByvcmIXFUbQk5l+6X+8luC5lHZrFpf2+7lB/vOz/V41YRnKKiAtVW6Dn9nv
7V99LYPd3V45WItDA98LcMHIugMTJMygVcatZSUGSrV252Xoskrmn9UBXQ/5ABB9ecjqY2xvZlwy
k4wMfHhvpB9sflrZOUuXy/lXCKdOL2J7JrEJCBb76kDTcGh/1PYrnh/AvI8O6NAl6IZ4YxGMiRsq
9/gS0t3P2RridWnaOQkiVH4MBQBF4WBSCbzigzKGAViEnDIDDDQ9VrPt9Fm74kGXEmFIQv3XlHjt
GNFsMWrNgLhAX9QCFRlwCYfcSHdoYz0Ndo901FOWg0ncko+69lR3KxibpZMDgQjO9cN1m8THbJOW
jZ7neP800nEiMagkVrzBwpLiYHKUGceY4YK93MK9YRamNefRqbFBN5ZEcAi487LPuMKTrlkNAheW
zsYzDs2u4IBHYC+Yo6XcRJ1K4xP7qx3QbH0CScaB+dlxfEIzRfgcgbA2RWfw5vbO5Tvi4iaExCnX
2QBwSAJVllgBiCaaqlVvxifQwY+qx1EHWgM9EEdP7ktzUw0r0cqKvW8XfO4Ypjkf2gL25CSHlOVn
rFCHTCe7eYMColfnhzp9uD3Cq3XkIq5I7mF8tg64unA0O7mNiiHUolPfUL/KtV09bGn2WNnaa0i8
27auFpHbAm4IqCjOBiZ2J7Gq/F9bQGEBKrOtQDvWmmS7ihlZMyQ4dGtkXZRmVnTqwodqUMFzCaVi
pjjVGiHBoiE8t7AhOQ5ZJI62kKGq8WKITmOveil6hCztIZ3tfaH8uj111w6Fzx2OgIb7CTJ/Oj/w
ZzuDphKod4c4PoGgqR4gO5lOHpIcnsaKw6gmd5QC2wYuArTyYI9IxefqWJf25vkXCJPKWQCKbszi
E/AXY5jtSX9oDIgBaszLGmgPUubJ0dftYS/NL1edlPHERPVCLByZatlQ1WbxScLjEqwS2gDyqHC/
WttctmOCXB+APZwF/vOz2e0bNF3rYxmfNLqToi9OvALyivgfU/9iEfE8/68ZwYulFVpljRZm+mjy
ywRqehmY0bLGbSrwsKxtzuuAjZvjcGNAFZDKFs9bWUETGq8wmGsnV4YP+0iTwQnjILJ6X3+dyI8s
lVfO+DVMjhuFih7eDnjCXiFI82mqWjrBU4MtbEt2w2N6H+/jJlC3xlppjfsm0TtbhoUUPRcGQYb8
ctWqsu3HWB5isA2jSeU+wkE4hskrUbbx2ka0+ZvnyhbfG+A44ZBcYekiolv91Pbx6e7Hp+k0/ukk
Oyfb+bPZnPYb9H6dNifnyX+CBIPz9JR6m68XEB26CCe9ly//4eXzIXj/AiWhcw9GnUPgfgT+w+wG
sf/n7+ObvX+8m9yd6XTOAfy3H7vnxz9gmX90nx9d/7CyQEsOn+dR/m8ggsOnBRr/TD6QKNAeWqfe
ac68ljDhE39rsrgrOTtOmTonal+MsBGliH2MzkCgF60FBd9B1LUZXM2I2wEQF1t4QZFo1BnoSE+y
njpG8bPXEifOgL6bfkMdetYSV2Hjti995OWqYdfOtQsGUVfKXmrjKYcAz0AKNISpHjBf29uOizvD
W58mbE20wABvRWo4rgOkk36uQDEW5xfcnXgua/CMYrrPICNNUnmOTxkI+zKK7v6ViH3JANpWISrL
Azzc2JcL2A2Z1g+FjZNFdbj2Cq4qnurKuz1JC16XS34iEoDoDmJU4dFqFBng7aGFoO7JedBdZSUI
X9ofF79fzMeECfJ5Lf/96DqdYwaaf9k32xMKBo65+yrNF0v2jOSNMAqqb2fUvHJysnIvyX9jShE1
/AuoKCpm50NWLie2bzu9siZMbN8z7WSVurxXw2Gl23zJ8aMGgUoExgeOAFuwEvd5n6DIhas6i9E8
BIrAHcRjU/URAtmZg1fXWjf9NUSZj+vMopAyGkzVpHIIi/NvwJGdF8t7+XV6yNzMbdwfBD2weOY5
7eH9/sMfXf+P5R6cnzt1XDl1172XwmcIxw5EJm0Wq2F8UrN7yYJWBVowZyQyeb2pogaw4UdtSj1q
do7ZWXeyGm9HSFnId8T608qFq0+/SuUjjl6GEY2a2z71Oh1UXXHiwkvAA60E3wsX2MWsCccsZcPQ
RwbBBq3APSh5KaCEHdg6bPpe0Ao95IV/+8QtOP8Lg0Kck7GokZiG+UGJ7yG2Q6+R7uww9kixsgUX
gkUYgh45Kk5gxhBZ7dShUZK4yyAVJ31UPSCZuafK4JNrPKZCCk3/0Ocft4f2Xa8UXC6PONCZgycv
Wp8Eb6IZdZ7WBU1Oav1DtuDZ5RZ62LGyVQiIwkN7D3oy3ybj3kheNULcrn2YFQCDhjVupgXniTYv
GY1evCgE4NHlGW+SWmqKCGMfTTkGjeQEykhW/mOGF77Vz6wIe6fNpSlvIW116tNPbZvq2y5+a3Mf
lNm353VpJUElAWvoYwFtjRAvJB3eJG03pad2RpdXUESHsM9BnNn/ylns2Og3dfHuuW1z6Vyc2xTi
h9AIE8IIbNqIH9H06mt+1B2LWHchyvDPTQFhi948CAKiFZqfmLNQxaimBC/EIj3JrdtzzXEfSM1K
ewjbI1lNCy26SV1BHgMsWqjKGsLA+r6XQVTQwhqTfAIJxz7ltcHhhZTbMJKPSQ/tVSjpGo8k3lTA
WNTojLKTlzHFlA9DUPVfA1F/s1/afdO49fgTCr9V8t6h0Dgi+EmbfWzsTPDetPtU+Uy1NfqdJf8B
kCDmC1E3ng6C/0iMuZtJWqWnZG63KIQByGaweyaDq3Ktgr90ikCpI2PLoY8eyKPLhQnbJKPEpulJ
Sf4gwZyupemX9rWBki0Qgt9pMuH3N1Uy6XaGpbARmJJ+3qfzsaL30B5ygEkcWkhQtP9YexKnCOkk
NNujPo2AR7iXU7MBuxfknU65gZYhtXfS9IDE6MrpWZy5MyvCXazhRYSa0ICZM1LbYa31B5n6NbG/
xek7MyI4OUxabsh2l56k4u/IjrrtyfmbZO1iI3Os4iNd675eihVBffwN5wDs//t9dnZO5UGdEM5h
6uTIi7N7KqWOqYH5KF/jpF3a4ueGhIG1o95AaBKGFPNZ0htfNnH/nxKz2eSad9v3LJpCGQpxE0+h
ilhFdAmPCZkbnKa29pT+ye5Q6CWuXb+l5Ou2qaVnOfjAAN5TuaY40t+Xx0kCiR8UO/FWUiL9gU35
zqolh2sBhdnkZ+HsqTqIjV2LvCbJGo57Ye1g28QbDTEBpwi9tK1RbaBEge1efSrLXQ6hAbj0NYXw
hdm8sCL4JiMaiY1MfnzqLLlwSiBPjfRehWD1OBtPmbZfmVD+0UK4ASIboPpRy0ZzmihSNimJRpFZ
T05dqkh3YUYrT6ImSO7LvPMjiVJfH4Z5O8oVyHRLM7wzmyQ9xoYZbtBalaPMWRRv04CXZ2t2ycrO
WjidEElC8h8+mr+vBEcDeTc5RCiM8MuOtg2ILpBW/9NqzBkZWsHV0JOb9hNy6j9vT8rSnHxTNeHy
5jBycQkI9My1EZfpMJYvWcaecxDCqepaFLv0vgEROmec49AuVUyT60oTtamZ0RPIeaYtqPUrp5tT
aI5GAQGIQGkjBHyFA9WjDpFnuaZ8uzBMyB7iDP0P1ZZ4C/aqorKK9fRUg+s+G13jY4Zg9e2pvK4i
G1xb8f+NCPdTNpsmae2OnobJqSbQvGvEAedo5aQ/Cw/cYZvYv21x4fzAIDps0WsJekYxm5JKeRKG
6Ic51bWV+dgs0rGxZBuQuTz+YcpN9RBpbI1bVDSK9CTQh5xqG+ATXI6CW4oNKWQJaC9Og9IDx7s1
o0AHCK0yzG2qrmRNrnLo3BjaV0DYhGZ6Di299EMqiY25VWEskj7KDtzXMnGUEor2YLexTrbp9fJH
B4EqJjmhKbuZsVKUE/cNt69D+cMAKZCmIHlzaX80QnvM65Ce1JA6yGaPgIlk+r8xwtlXsIwgkxfB
GwzFDzsDYvxU641j6O9j3TpkVXB1cShnVoRbMpohZyFlCTtNqN8MmL+Cc3eAuPv2nrx61PEpwx9A
z/njA8snTJk2NOnQyvSUZfKmsSA2GOevaHDSwp18MOWtpOd7mVkbjbRQCmnAeAcp6rWjKD5Hvj8C
rIfAFXIGURENLss16TsLUwoEo+W1oQeWLbd1gX53yOH5z5+/7DQA2XF76EsngyspIDzllBNiBRll
1YhZFJulaOMnMM0h0Yn9GW5k6hfSGuJn8Whw9Ry8m5G8x3V2Oc9mpsSSWvMhzlDqKL0e4RWSfrxI
TpGUaLJxn9ijU+FNMkNioYz/MvAc/4sRK3g2c+YSQLWEb4AYS1jV0MQ5SbhDXGvAtRohPPInE73H
YdmEDi3GZHfb6FWXEBYXahp4+CGrj85isUgCJog5HCxY1cHGQsLPYt4pY/FBFdcewO0B1v/BA6On
av+SdOY5UwvVDJS4VX0lY3K13ryMDvATl4S08MbiPz8LcKWuCGkMrOqjpRLJl0LJNaAY6s7THCFB
pYMIs2DN9vbg+Sk9j2FA5oyQDOhV3NZI1Xz32Z7ZJHpMxky1k8einWKviRUZuHplXrlYrjcXNwPu
PdyXKmg/RBiPVnNCLg1mQNzSDl9tWbnqJG/yNtkYJWgKhveqvYuTHuyYQVIFLW1XfOJVJvh7oGdf
IHpeINr0obWSR4OCqYZ6ZLrrs3tdKz9QDet62UF5kY4MekO/RzQ1oK/30JUgOzOcVjmScIf2GnXt
m/gz7GLyv9MOuGkRn5lAZwvbvZxBMM86LPjA5GKfFOmwzagsH9QQDdpVVKvOnDYyQK1yC15v3Thm
ZdF6bZMoGwnKqA9abPFe3bYdDnMrz46dhdQlJUQxJVzeXsnat1jXfpEO6vCVnaR+HCMZdnsDiZE9
J6jB96O+CKehK+LKQgy2opNB22Mnh52fa5Lh9biBtumYQjYCGrL72/auTuu3QQDC4IbRioR9c3lK
9DmOCWmr9hijfJWzJ6t9UhAd9fVTX4+O2X/Wg7wn+bAN35v9EN91+i+4rzk2Vy6m77zQ+erxDwEP
CMg4ZNTS4DsuPySy+9waiqY9QtpjH8mHdniH7A+Uv6vYjaLE1ypQ+oV3dg9tbgJ9lf4hiv3wgXa/
Ir3flNEx14xdUX+g9zDGf0To4+mb0/RmEHk7rBF+XjXMf38ttD/xMXipgEvo8mvHBDm7lo7tESmd
w1g4dqeBOtl0JgqRxfYlyjpo634ZaDpBevig5rPftLoH7Q1m7IfywGpOsh7Eje7mYJXV7Wd9Gjmn
6Qr85fvFK84qehW+AVoI7EUNHKmuWzC+0u5ITVbOTj3o5WMuc1FeZY47YKgiKdE8WhvUdrrIjO+U
iSahU40QdZcSVLottMyCtlCrleSlKgGjdoxOsw5pFY6537FaDtKsQ49nFaY5UFHEYr/nNAJ8vYy6
9HdV6UMEnuy6PI54UHzGWS0heavU6ehpeWvNm1zNVCAEZrZGxibGGHyFNOS7cNujJwc9lJcrpGkJ
aKd0ZB0bsJeWYeLp/d9c/mzjCWQi99Zap4R423ybA5eKhh5N9OV+u+wzzy/PU2dEJswBrhVW2Kne
xsFa3z6tV2MCxzkuQrTnAdULRyEEiYY8goo6LsgxSsIjoyF2X30w9fkuI0cta/F2CuX32yavHBJM
oqIoI/oELQSEsi6nMZ4jtUZFlxyN9IBa735ojyOeiIn2etuOeHPirlaxIHxkJpAOopie3EV9n2Hn
BJnrWCu+5XoMyAehJwzxGJwqXvCXY+hGuzKNCS8hMtcOtepdXR2gC+X35bQS/IhRPL+Wzy0JBVJW
DnndUCMKZmt2FTJLDhnaP6S1VupcV7tNsCO4H9pUfYRKEexo3T0CTa/Mozs9YmgFTn/Teq18wG/O
Cy8CB4cgkpP9IboDW9XlBE6llplRiQks7xHMHMfQA7eK/oq3QS9vbu+D6y1+aYr//Owc9WqhdnEH
UzEND8OTWvlhd8zYJyI8RA8rm3vNmBAxELkwNZQtMY15crAgNgIufKdkOpqqgQVrZgckpreHt7Bw
5zMpZiiNqJtBxgaLGntOMlRIrNCbQX+A5ts4+nvb1sK2v7AlbMbe6IiWlXYUSABmJIOr9fc5XhqT
sfKwWtj0F3aEzTgmjdlrFHbm4gPoADBfKxu5XNkXV+kbHK0LK4IjQiw9glMBVgbynhjWex+ytzxU
7pQX+lhpHomSJyVHD5w+d1BAXOlLv/ZOl8YFxzsXpa3Wcohdab7aw9fE/uFb5XtwHPiL1j5Ert+U
jWe73ijCcGAziQJqg7phlPXkuTOUwY3kutz0VVkEVTeuZZGX1g2kAkA1AG4J3lLBLfaMzNOQtHEw
UGlwUiDbD8ycclzJ0pqpJQeC9AkP7pBBQbXr8lQbRp3gUdDEQatVKfHBTYFotmgYcL94TD3QhkU1
+CWrYtxWc9X5oRT1axyCC8eBv5Yg4IzGNw2t95ffwChcSzQlWRANQ/JDTWzg9btw8OWxJe5U1s1K
IfQqqYpFhTyvDfgeun5QexAGXZjUnke7zYKxh+yeEoL7EalN6CNG9eBnc7ZNw9DtjCRQQLp2++gv
2waoDl0eiBSAOrocbNVMmj7rchaA35i+pXYhbSe1gvqbrWbuCPQ3uCJk4lc2+dHKw+BVVRGt3IUL
zhVhPLKRyJpDyUSszbVmmSpkVLOgsPuKbcZ51p+bvgYOyLLjotrEhiZRV82rPPHCJIvXOniW7OOa
hIYIPgOdlcJ6t2aYEyOf00CaVGi2pRXd6l3Tv0pKhCYUvM/vpJi0W9NgylqbzcJWQ/MLaro84gah
lnCyqlma5KzrGDji5ehUgMFta7d16OWFtenrStveXu0lc3j14nCB2wAE5MJGm9JOacy6yoNozsFG
hudswTq3gitGf9GaPutVBhHbGj2U0CLF+vB2Sj7vZ74q7yWrHuK5CJTW8syocwZq7MMk2WXKkUWz
C1qhgVhOJxsuk8lJQ625YepdZ65dCQsLDOkMdBdxiRO8kYRZzpq4jTWjKoMKGabSBKlAXGztzDqU
9di5ado9KSTxb0/1VdkPo/9msQD7C6d4F7OIKc8MNEpXBXVh7froJ6keK/Zuhicbsr5ADOhpu0um
50hZY+Ff8NbAw5vIdytYabCgXk67NRVoO5fzKpC1/G9rRn6qD+gsTenKRbtkB0gKXrEAUxMAN5d2
hizM+tCyyyDL4CE1ygzHeAupbqzY4b9HiCmRbeCcIDgiKlpzL+2kKDhDa7aogqlJfFajkxx5OX1I
Nhp9UfWVeHnh/raQ4UCvMzSFARjgJ+hsz0ZJFxL0UyMVFrHiUSZ5vo3AgLkSCC0NCek/m598dESK
b5gCKPfQtJM6KFUXDMw7a5K3VRod++Z1kNYQggvnEDuQy2zjOuXXuDAmbFRiDzZk86DD3jUOQVv8
YerwBmxP+pb5RvkZzvc5pF+Z+Znaa9vxeqx4DYIEASUmfhTE9glJGorJUNMyoD16qKNPSY2Qg9zj
MvDsRHVun7rr5bs0JtxmXVaQKSuzMshbKL/UgPivEQ9d9fWhIYlzoeLGBAkvVlAwQeqkZWZvZQHk
4TbFQb4Dz9KXvmvcApBLIM97B8rb1Vq1jq/R5SHgVlGP0NBBh7ev4LkzyxggaAGrskT9ERRSGZq+
0ia8Z2b5eHsOr8/1pSkhfu4gasmVCDOQ5zVp4lnmU0bX0ExrNoQwmdQpqUEpStEMmaOnvi8TCk5/
ZnlG0bZvt8ezsAEvpk5YMJRyBlZKdhawqHLmYl9RbEDrTlILd7ZWOLDWbAlHDel2PU9MLJP0WBgb
fXxrf0Fs16VsraFy4ZVzuUr8S84clQ5oRZkyWEJnYzG7I/hcbIr84qTGz3FceyV5Zun9gCJ2BIja
IK8FTYsjxa0KiCnAlqoqrKDdhl2M4gM25JC7eVS/p82wkabYoREe/cXr7TW8fhYgnYXbDPsO6QU0
iV6OtjWn2RiljAa0gv7nsSu3Wua1+o5kx7B51KQ/t80tzu65PeG9b1KlmJgOe6A5dSQ/905Pv0tn
9hkYl1ZM8ce1eLLPTGlCcKLMDbXrDE1kbeRLxR2L/44t5FwnFyTX6I1GS2fr2EgPl2O/YnppCZEk
BC6OLyC62y4nNasnS51VIPDrkXiJE2mBZSHnmf/O1nr/F53muSnhXMRZZWp1AVPj/D6jI0CGGq/S
b8IC2vC7Ipu2qulF8wBG4xLMPJWbhBujGZ0Gas23p/tKxZC77/MvEc5NHGpzpxsFPM++Cga/90Dx
2HqD3z3lJ0C0PqLj8ND64BWHnF9WOm4+ukDx3/6Ixd18NvHCboa8TxVBwZcGWvQD98f8AwxvoJvq
XthvKV9JSKzZEnZySBGdDVZJAzPa5nGJZhLAWTZV5bA/4JjV+zU2k+s6EZ9g3hYEpAd6w0T2ME6t
EspmR4OZbOZNg/4D8osBK8jmnTw/ke6PeujnY2JA55d5c+1P3cZYS0MuvGrhkfCWBBhK50lpIaPV
QEh+Sg3MMKvAW7Md79gPNKEy1Cv+zKMTreX0l+3BPUF5Cl4Kp+nyKNWEZMxsKYM8Ra3KDh77Y+Tk
KWQk3CjtZZ5oMqsWVbKu+MtQ9YAClyQBxVvVZvUvrjt0niBs5E/qq4bKJh3HVqqwwXWt2Uhsp+BM
T/SOFaeRjisbeekaP7clHKZKSlHKgLcLUCyKmldKHoi9UpjiZ0F0j8g1AB3Aow4s6eXMZqpRdl0D
T2xngwftcaQfvNgCVRqY2cYPK11LQC3ZA1kq5g8UfKCxFAIto5W0Oe8rGoTzMeKym1+GsY/6u8n4
HOzdbT+weM1A7sMEtboKaLr4ME3ixComicBY8zalDoOWN+jL0n4ErbXsSICdRYZLKt1X5t/TWqpy
aaQgWVRR8wOfN9LilzNbqHWexH3GAiKB/JzFRxJtmAk5yS5zieVDSfv2aJfs8cciIA8IG3QRy1NH
qpqM8ogm6kQ66OQO2B43DJ8izTNz8M50YO25bXDJ9YF9iJ8DTC30Ry4HqNFeqjqmMVzipZE6bfj4
NcX491vUvETqGoZmaXgWF+bA3sH7UWyJHc1uBl+KzeD3QicCYY8RgeYjd/UEmY78uYjDlafqFbQC
a4f8J7TnwVGJVkyxic+kEfBRDcmDeQa8AgnKrlCDqXpVu7tWfent4ZFa4XFQnVJXffSsuMp9hGI4
0IXl3KPxWffm5DdJDt377Xn/hiwJZxb9HOg/AgKWczgIZ9aOyjmMQloEVp7uk16/q9vql2qXf3SA
n0EqOWDD6ehl1xppWxHFrfEQjZ0oRvgqa8UmrA1XqucHkm6R4175toWgRzOBtUIiCBxYOOiXm0I1
6kE1RlIEpvE1htNpVlLHgj5FMXsRecpBx1I/GnPmdX3sjOFOszqXIPtM+v0cQvAD+e/bH8TtiXMF
ZSVUTXUgMTFfl9+TsloLyRCxILRCV9fQGquZ+TEZUsUro+fbthbHfmZLcNd1n0tGOGs8FvBIt0Uh
1K0w8Q31mLnGa702LuHwsSihFtKZuBrU2FfRCKw8E6nd5MPKa3Xp6sX2R8Mb4IFIooqNPSlyRlZh
w43VA+R3Mq0EkKKA3iV4dTLJ7TLJi6m6mdFqZ7K1Pv+F+w+2oQAKgCTKBWKlAOwJU8r6hAVRV7tF
Yu6zqX61V1nBrmBc/KRbEqrSyN/Y4NASXLWc9cRswoYFKoDsdTP6UjLcd9FzZ/6ike21hjMbmjeE
yS5qhp+a9kpXpQX5mRX3KZjjJI79RluyKTwWqq5W5znM4d4MjbqKVUDx0Da+bm/QpQsRhWPOIA1s
jwE4yuVpAFAmi/UaA03yvxaN9ixmvj4af6Z8POjAupqJ6epRfq8P+tGSvKYbvdtfsLRtcSHiUgQc
ULuiolXKXtcqWjF028FaC6wOBJYi9Aw10bTiv5c2D/Ys6Bp4szBKTZdjVXIVizW0HNwjyY7V2QQc
y7biy+G0lopfNPV9S0A/GukjMRxGd4qBplBuKvfHCOqzU9PcJ0garLjXZUN8BSEpDJZZYUx4yVZt
Yg5YP1UDU/JrMgCbnK3Uy5aMoGkHgE004IMKU3gxq+jeY4WNQIKAc9TvTeXPUBeSY7TGGnpradOj
mqwgzQ0MNNDrl0sUsqKUyhARRE0GJIsei2RcmbCFGEXnpxqN+BK00EQpY73vLXusijyo574ID2xs
UYcJUbzZlmRqw31MVLyVSTjZqUdQQdziopKYf3vTL0woMtEoV0DoihcBhVMHFuupjts+B0LrSbOQ
1ewcG1LFt40sRQUggkTZWgZ2z0bq6HIyWUFjy0D5MEiY9277vfMFEm33IXh999H777x1DqgkVm7X
pdz3uVExu2KXFtNSBqNZU3vgw4cGyQh9pKlo/Drdt7Y79uAi80NtV2ZvdXIgICy+Pe6FuBCULApe
oYAXK5I4uX1B0cmkZnkARJuxMZM49Gu06oD0GZ1YllpuagPSbbNariXel24NAKTQxMkbggCzFg4j
S8ZCifFXgJur/FlJ7bA3ilFzoYsw7JPW4jtKTrfllIxok64Md7CBJEjklD2iw5C4VM2bzT+fDNRZ
TewyeD582OUeGKHaSEsoiwQVyay7urBlv0FcdFDKSjpElR359VBOnq7F0tNty0t7HE1DKlcuQp1Z
4T8/y5dK8dSDhTovA6LPm7Dsd3nqTpW0vW1lIcJC1YhjrjDheD0Krkmy43ls56IIutCvqp9Kv3sf
9L+r6dAlM+gUAIoQjhZJFmFlUbUdm0KqMY1lhlWkKULHUdoPs3oq+ln3kIRYa3pfcFSoISHK4c8b
uArh9M4sHlmeFSX0kNSDnKONGsRe1DwWquzpdNdvJWj63J7MpcN7blNEZual2oJoCHXbdni2omMi
ffbWU0elPUNWjqonDSLSjfIwA5jK8pc6KrblWp594QbgpTPeNwT+dFwBl9vGlkNSo2+4xLtqdsn4
2RRr8auC3yAEVhAJAaEACtSIN8Q7RgKkJsurAcXpbCenvgRUfolHo9/3bwN9k6fOiegLzfw1LdCF
SAfQccQCyFrB94tdlP1kjGGo4vXYUaXxmdb+VCGT4mZmIjmstErv9mIu7R+w2vCWM2SaEfVcTqRE
sqJj01QgsOrmyjESqXQicPY+yj3qP729rzIDukZ9WkEQmUgrsdaCE0bQirgOOHgwhYv9ZwUS22aa
EBQhbYDDm9iFblJGN7W6G0jOXfFKi8HCtkEnM+IgdJRAb1TEdajhlPVqWaMO+R/OzmtHbmTp1k9E
gN7ckizThtXyGumGkBt67/n052Nv4PxdLKIIDTDYMxsCFJXJzMgwK9bqvkpda8d7ylobC6K6Ki1T
+gx3AAS73s44BYzSgza7xIpan4MJgvVCG6d3jZImF6uQQU0JcgAjeWDstLg2HOlSqUII0aQTeTMH
MCjj0Jj1XF6gyqNeZbXPfTed4/k/tHLxNUxhglcBc7YecABN30nDlND2n0cnDHQ7UA73j+RWtgFM
ArgqLaWlO716jSDTyArZAqIR5MKjiZPp59apDNf0azvoiw+h0cDaY/TuUJm236bHNtsTqt86KDLZ
HUrgEsij9dzupKsBEtmANfwkoo32qen+3F/knoFVzt835swMVlpdmvxpFL+Ohb/npZejtnJgAL4X
iA/7SJCzSk61UgiVzOdD5ekxR4D2AXIb1S2as3xkbEuqbHOvf7Lx/BmEUoRTFMBATq0s5mGVxdEU
VJdsIasORc+ArV09FApEtjsBy9b2MTa1DGlxUMg6ru9ZNpeiWRZNdSmMWjoUzSw6QRrt9Gi21kNs
IgEqUEnv14dAFxO5aEq1uqhl7XSz7IoIVehNbENQ9Z6MeCfn2PD8pPDAz1XZAO62RrnDYTmaU1/U
iEDT/ArGR6NTTwoe2g53FrblK9g7EqelzHzThqGoLJLVJPUlic3qoFrVy5B0xTmPdg751gYuamML
amcZDVre2DfB3YxIwNh0ak1wlx4HIbxI5YnZRdr85YddIvONI4HqESkMCCuABdLqRullHSaxnjZI
4xVfZmt08rjaaXpsmSDKArIDpxK18lWwlWTDNNAjBDvW9NCVGH586Lt0r9WxcQ5MwhpWQWGJyGPl
/iwf/5dKAKvk2nzqjdgWZiia9Mzto9N9J7RhiWAVtAzjdq/NjuvvI9BvTRVm6C5Qorhq9LstvojQ
E+6Sid7uG1i0RQkEqBhlqjVUTBayMld7QND6LJovo2YO34OK8ub91dyGMlihvQkeh6IcfuF6NWIk
x4MUEMrkYf+sDnkOgwjakkrQWg9+DAPCOJolKsGNcDDbyTrct367l7haYlIAyjgMQNnX1hkqLwte
zOLSDCUSMmmsvVd9I3X9YqRGNhrhzmo3gIyLb6e8CtKDiuY6UBxlyNFDtSwvyhAAB56FVnpuxNi0
U0kwnscmj1/mhlDArDNgynrj6//ofYmEU84M2fH+4m8vOh8Xj88v4iDxGa4XH+nZEOo+WVwkTV/g
T3xWxG9oNXVN5RjGnlveSKCxBlMRBMN0MQiTr621TRIO6NosCEe5yNymKatveBhtsNU+ld+PRUFt
W8grKHhyIVL/geZKlZ8H5qdDZ0hqGC6VXqhQC5uNcufV3ToFy8QysFZcOOXn65/WWH1mRJVYXiD9
mYL3bfy+jpx62In1trYb8TNgZ+CzyWZX2x3XgRb3mU+s1zT6eQoK/6T5kXRIk1hzBT/6CCOVvGNz
c2XUQ7nCQO/NddLXT2IeqzHhRFuHR1EQskUt8dGo4tKp9ObH/fN0G0YvxVc69sRfBOrK6gtLWasV
uYyxppjspR9iQdCIVOzkJ3aXWAcq3juP75bzIFyHPYXMC8e7+nAF4TMxAE63ST7K4vdSOoTGoxLA
0Niov2N9z8ffvsAs8I251RccusYSYb4C6hK375BKOo/6N1BFe5JmWwcF0qmF2tZkamJdy1bjoKyM
nHyHPz4NaXBsxskbe/IDOQVWH++c/k1zvPcL1THTjeuaWjcKUVdOnH4zkU5RCJZ8tro/s2L+FKdf
Ibwi90/Jpgsk3cILgGyhVr4KOBfCwVpVpfJSPyfJv50rH2vTTX41HapWjvT5831zW9+Mpu7SZqGp
C8D6+m4nSSc0faOWYD0ZrG5Ax0OsYU17JL5bFw0CNii1eMX4dKuzHwZ+ZRndROqBsmTeiKU7acG3
cVY/Cqr+5f6SNlBBDBczsM6IA2M1jPZcr0lqDD8UEhlj1GFRxTqHQ3EcZYfBx0hxZo0UrzzK0xfD
+igmKlJlBG/Di2h4U3S8/1O2zg5ehZHsRWDyptidt2OhpJVZXarpIOuXJnpq6k9GcNbEHUObz8db
S6tTk2ipX/ihUVH5tXXD6Q6Fnf7SIpvx54cCNnDkMxt33mNR22iIstXQWVDrJC9DReF6q6N2TkrC
h+oyowQrUfSF0fEhrYcH0dfs1JLohY6f4zL9PJd7VYkNnN/CPU4wuTTwqH6s3E2dwU2XxnN16QH4
kVwwsVNXXlt/ywzVLmIvlT5o8g+RAfPWf0oKSF4z4R0KXzt5x8Y3XqbViM8ofBMsrH6GHKUVPSJ2
PmOGUTpmjjxwUxV3JzTauKg4cZAEC6PggsG43ml0OOY09IXq0snGpQUwGMlP6LV+un9gl+91nV/j
5N5YWbmDqahmOWLs7RKn6aOuOzCG2tReDm2+c2A3l0MZgg2jpU3Ac72cISgiTYuq+mL23UE0U4g4
5IdWGX/fX8+mGUMXdcbu4Whdpx1CF1SjP7OeVFAsRnVlwOxV2p5Cags7jnvjsV3ygP9vajknb/JC
QUSnFjrY+hL2HIDE0+LACWPhY9RCUltZsZ1U8Cf5e0297RXSnTSggqJGttrIqDf8WtHi+mIRpKbn
6Je/B6jdPBPgDemgQAYK8OF6YZpfEHZX4ZLwxjYTFoeC6FeNrUNS7FylLUv0cdGMI4PHaS5rfbOF
XdU00xTX9SUAWRGluqskjwxBH6v2z/1jseW3EC0gv2AwBpmSdUhrNUhxj8FQX6RC6t4nxVQfpXKa
f+aa3J7qskBkRlKf+siYj7MoP7ZRsaegsOU2FvjmK8ABeNCyF2/WGsOxWjPjWF8guHP1DJ3l8VMg
HCNBPVbdf7hsb22tjqYuZH6XtT2X7dTrf8wXo/95fz+3Phz9LqT3yFKZL1w970IB86GfzPUlTz4H
KUov38Fm+tLn+1YW57N2Tq+PDGObBNDrIbAg1cqhUaT6AittUZ4U5dv9v38jQGc2FsSWDOUMzNIr
T65bjaC3CUEKFHLZS8g6v2VC8SjG/L/KjMxD2qaijXrq38+q06KkPQK+gDk61nZ9FoK+EUZ9YBAs
7Q6l9U0L35vNTlNiyzu9NbG6WnWfdnmoicQHKV2PHG4rkW5sPn1QrfYgiu9S8SBXp/v7uXXEl1Ic
uZxBEX9dvOoaKu78WXXhBvVa7/bq98qy575z1DrYoTDYvNHwcBPEku4AB1ndJ7EPIqk39fpSl/IP
IRKlY2+YgVOrWuUy0SQdJQVmgyILcrcJALx16WD9+Pv1onkMgIM8mcbz6idYWR9AiERlsG0ey8h6
JoH5GETRSQqkl1bfKdstH2x9GZi8pN6JThBHZ3XlYpoldR9FLeK+KQJZGmxWqS/tvGlb9/qtkZXr
D5oc4KwctpcW8fUhPs3WO2Gwy/k/+H2E52l90l0CobIyIzDZGfpdScBujaInS5mTTcZjE1uqGxZK
7N7/TFuLskDO6otGD0L3K2/otzlTH8g4XzgGFdQk8Na3Uj24qVadfb1td8xtfCi6nktf7hXvsq7q
i7FBLzv1m0vdtpw93awcWkEJCLpwT3lrKwugSW8xA82hQHl7nfkofmKFdddejLAsGbz4N48BdkeB
qrjTOFuXlsmmozkL6jntROXYyFn+MoRGfgyz0AQHW/Y7X3Zj8TQaILhZ+HNARa/cThWZU2OMccMr
B+wsMG2l71xd2XE0W5efBg3T30tlhUxkVeiw5LHqwjrsLvrJqh598xBVT63R0Fh7KIriKBsRN//h
r48RNuGoJk8n81ozcDaGETMonHYXiMdMesyXtPjx90eHuqJIGouoI2nWyqHkfjbiZpr+NaTstA+l
pNhxJzp/v5C3Vlb3oUmDSqnnur8Ms11OX7rWLaR3A53y+2Y2joJG/LhAS8nK+UrXj5w8xn7a5tFw
0YvfQ/gYSo7S/rpvYuNmv9LpQr0PYs9c+0S4UAqR3sJwyWYvjj6XwKr9RD5YUDXfN/R6kVbel3I4
6BtK80tCtoq6m0kcoV9vhksXA7+fwvK5rr5SGIdfURkypiMZuqFMrVjnIpM+1AYUF9/6wOlkBIl+
Dvr3WX8p8tiu+KC1Sp3iXZq/6P1nPdKdaAAl1iZnPa7e3//VW9sD7I82EiKAiGesfnSUwYgx+9Jw
MaLYzS0XiRq70T5HerRzbrcNcWhhbl4quatAaprSMtWNbrg0ZXaCDaevlA9BVLybgjTZMbWcmpsP
QToM7SQVXJi6r0/VOIvjmCTKcJlOQfww6NqJKmqsD3a9O+99Gx6iycc91GAnoaG5DmeiPh1HMYaD
QO/ByfBetE+xG4W/KunfUvj3/qdSb5YFgQTiC8unovO8DnUVFNZnej/k4dpoj/jwcY984PY6ooML
vsqktEkZdX0Y6rnSgyZbqtFpLbsU0exBRb5UUv9W7JKzxoQe8lIwOQKvWD+3cTPrBH8x9ZFUb20x
bIAfmycxghcxyZw5FS/DS5+kO/HgxgZSFdKWpgWzgcSF1+fCH420mSeSVkmtPJgEv0tWvuMENiq1
wDkWeVRl2cUbLpdRbEw9iQg5O2hk3HSWDKcwshe9DVPXqmCQRamsdpOaTpUcmo07zpnjQ5mxcwW2
lvoKqGUMhifQWl3rrkxLsxAppaCCfkiE/KD6P++fxuVvuL5k9G2ZiaMIztkHBXi9mTRO/D5sKHGV
ZWlnkZLRr+gpdNW+V6pS6wam+q8vg+kUq5236fZ6E8rTGFsWRnFjLbIj9JpGnc+oL1GQnjUKK3ro
BQt4LQmeFfXj/WXeui2wd3C2wDlKu5OCyvUyZRVENKOy/WUC3PhQKihByGYYu2HbTg+GUog7H25j
cWwnEEcwjoQu2ipaQyqhkLK+wF7RnsGMfS19SH8ElIVsdeof1UQ93l/grQdjgW8Mrk5KnUxZUMpV
f8kt4ywzsxVWrgG6auaEJr58YprsdN/iakt57MHAkdCSUENhcZOlSGqgDKPZFF4VS/CQ6mP+oA2p
6ahSPD+lrbbXsF55tVd7VIKZj5F4/pnruP6EyESami8WpWcw4afSPI0o8FfG9/urWoO5Xs3A3sns
5lLyBet3bcZQGzOlcYiZmNkUZBi1R5hxYXuPy9KZjUH51U5p8qEf4KaUpsl48iV1dOV8GB6nyM92
UsHVOVp+DWAhUJWIDRH1rEvDVkm/MpLlxhPUqTlKc/Q5N+JPugb5ihVk6oPgQ+11fwc29pnnFlQA
HTH2eV2xyLMmQPxRaTyFE8zwsRBCjRsOhDlzuHOE1lj+1+XxAlIlRkCAd2S12WqRKbA0yyg1hVJi
HNHz8cHedgywWkkkEORHegK3aVPXX8Mi6c2DICHOYReKEPzykV79p2t64X3STbVpZ91cQxaLpLUC
83la1Ica7i+mtPNcDG0mjMudusu6GfX669HOUhY1WN7bm5h04N0wKrPxaiktBzsJ4uocGHPmFoWB
GmHTDwL9iSA/Np1enBJhFH8AeWxlO+wq4ShUMdR3otA9xhHy0KoPXXVf+vXO51wnUK+/cumjLKxo
VGzW3zNJ5nAKc6PxDHg9IL6I6/eNEAAOG9PZCcy0OgpNlzqaHlq0eXSk/hBZ3PnQr7fmzTPDj1iS
ZOoZr1O0pFbXt6qYfNg8KYZ5s58g2ZjJvha48jgvA8K+MZJnFVHzhfvtd8cQsGF3rMGGtnY+jcHP
ofcVAGZDWxGZSX31YmaT5tSaFj9CypIH9EvMqSQHHaEBNsNQz39G09i3Tg4hPXlCHyif4NEl1BIV
f54P6dj5DXxho/jpb6+OBG4IDj6FCuYCT75eZR3Nk54MU+sVslQc8rqRGEsmdeg1a7fMvQTa6x3l
XSE+xgPT/VjtaFctSaooYgsWctcPUhlFgyZGCdDyTbcIfP/zaBRAKIVwOtdKx0WQ529oMcc7B2wx
tP4heAsIXBYCcWiorhcdFHVUChrnqzBGC8mc6JOvp8k5HyJKPTHasXHzd4/r62GiIM2s6yKNjC7y
tUWjUbU6UefW0+cSJmyDsKudVVj9YUQ+cM6GE1C49uH+t10FSv8zCs6R5ECHCWJdh4j6ANXPWGo9
lDnr97QNI2iN8sI1qm46EA02p04K1VM4TaHjz3r+X8wTbnOPl/nUNTJChEIp6zo+t16iwqxq2fAN
sQUJyQz1d5I12YOuCo2T9LXsUJvdQ5usG7LL6mmnEKvxIi5o9FXap4m0u01f6D1dbKKPqd4giaSK
8NWao36KYFQ8KGM0Hcau6JyA6P3YtJXgEOZ8UAD+OG0lV26RD8FXo2/3unOr0Of1t5Gpg0IFsidT
n70+DmI3MpolDaUXBFQezJYpjl41HLITya4o3L03aaS9K1NL2Ylgb19K3kgKwozVMvd2w1xHL6ns
aQ3WXo+432jXQcOwpyXonXjyVS7+zhG4DbiYB4JYkkIYRW0+xfU6Z6MLh5g5Eq8AAPE+VZn5UvVm
ckytZLojKbXo6/0jv/yFq5vNmAWe8VVeA0LRa4NREIfxHFm1J8jxfBSWg0fte69btrmspXhErYW6
7Xr4mabNAAwtaLxu9PXMaaVeqROHslUpvIv8dCbSE3xlmHeyyA2zNMOha1+Ip2CTWe2mHs1gAJfF
ydN3SQOGBvg7E+DxCdqdFGvjfBJGacvpBG54I5JslJJVk002XoVIXJtqjqG3Bx0R2w68VmkUpybf
YwPYiGIJSqgw0IRhSI3iyfWnK4c6T/qu6z08k/U10NKvo54WhzLNNDfUEIyzRiV1esJWO0HHzKEe
RmM0UjVkKHt/j3px4yChh8KQMqk0/no9PTnGRek30FB7jPOqH8IxmI9p3+xV4zc8NKVBuDlRTAYh
uR76LmkwVFEk916iZi+d5R8TQ3QnAXai+aGooRQzlE+DGu5E6BvniKoRk8ogPNnttWMepTnPjaHu
vTroejsEkCO12XexCc+Ver5/HzfCZUYjFt4ydKF4a9cciFlBFt74Wu+JUht9VHyh08+ZEPeWE7d+
/KLHXf4h8c3SskMFP+2KZQNutK2r7LcSqMlxEAvDTnjGXoIyGt9R/P5WJY10JsZtHupEkN71ChKt
93/11gah0UlJFXGeZTzh+igG4MO6sQwGr2UqZtCsHtRJ/0MZq9Ip6/R039jGXaPSuehjEJMv5bxr
Y6U+KFmdL+/UWPfOVM+Gnabp7zaQv4d96zYloEy13Yv7tqxCEcU4KnMkGhn/tdW40zujK6PBq3Xt
Y5M9z9WvPj0lPnFIe9AQtbi/yI2Djs9aSm6vE3/rpNAc4lIY22Lwml4/j4EBteiXHF7WMjlYSn7K
f/sozt03uW4/LY8sjYrX944mLGW/6yWaExM/iZgOnjGbcN9kk/nQpzqyJ5DlnlpV7E+Q0RbnIJoS
N9PMf4gz24NErdPOrPCkTebeHPjGsVoeQdzc8s8Nel5C+yKIs2bwkH6Kn+BHbU8TlemTjGN4ENJ5
b4Jnyx6EroA6uH+8icsZeAPqmLtREjqeeU9SZ7cAJW9z834ESvEPsWj793cGdCPRDCW5BXi2OlBZ
a7U6coij1wXxt4oSjjX/W2rT50CvdmDSr0RUq0ee2huYVJpQZPxrAsaYRygWrajzJl2ePsGn+blr
4m9i1ZeuGM/zUyCnlhvWivGJOZXCSYemfkHUKzkYYhQhHx1pcWZPZf5H7/SpYmbBKj82LOzoU8G1
w9iX7bhIxhPsKfJxoOqwc+PX/RpOJm8cTbplsoAsZB0/NIVgmHWTDF6sGjGMA0KXPpA6mB+DQDkm
fR+fg6yt36eRGZxDA4JmSQZ1Pug5mW6UGccyVEboLnXFbemanOoqto6dpbXnos8n9NOkFm063bfF
1PwQZrHghlZHnsMkm5PhhdykTB+jvgd92rd7PBgbXwcNcnotJtEXeIs1hndknsuqs3bwqgRNN4BF
0ce4b4JPET23wzD0dWaHjfKZ0eLJaWdlOObGNB7kqY7dvhvmQzcBDx2bvn2EQtt/NHFQTk2D62Rp
gX7KJ823czFCkE6pxEPcFerOQb59+fn9C3H3QrKBz1pC6De3phblpPM1bfD8ufQZXxVKWJqQFL3v
nW7vJlYIIHn0cYuw4F9bMZkpF5McX6C2QuvmiTQ/B3IxHFND7F1j7OSdVd36e8rxAFyWGiHhzHo+
SNIbpZnncPT0rJedxDSGZwisZlsNlf5gJEXotq1ZIHOg7dEwblmGbYoqCjBy8GWruC7p4Uj2S7xQ
M5b+KZKDz/EMZevQazBAi/L03LbKqWzGvXr27ZNDw0VZBoSp3cgMfF/vsJ51umAO9ez17YkIzIUh
aHyv6c2jJJym0mn2WNCWosG1V1rswU/yWojUzOXP35wbg6bSlMfR7A3lcJKjyFYkJPuC95WkOnO+
R++xuTo6IMgoEaLwyl1bm7plw7Vu9mB36NzaqsBxWILCTdcsW5qMiwCA0p2qpeqk6/POado4vRTS
GURasmvKiKu1jtRmACOyt4N8nMaHOPT6+rv5n4yQZTHqDcHUGsbXlkpa5BOMmbXUfm+kzI3S74P+
J0Td7P5d3PhyrMaCggyCfHANq0CBwTVDGsRm9hj3CesXMb5o3WcxmRwYwu5b2khyFpwni2H3F3yu
fP3ZwtEXdDG1Ji+oyV0U8MaHKHTjxGkoQqhO+7VtU7uWAUZq7o7p5Z6tzuci+w0knFOzzAlem/b9
om/lYJ49Oq29Q5muHRzeIPPIadGerDGsbEGLKM5pYeZOBgRJYdVHO6nHuku5PH3wI1EK09kDYuuV
30vVrh4bg1+Ry67y1f9E5cPVbdk1bQeE8v0lb33Xt7ZWkXXQdKFZqdjqotlVU3umqiM9amno8Mbs
fNkNL0eaTJmI2ib3YU3xOEujPI6FKnrUXZ5pAJgDcZ3GvxVI/9p/5LLeiahvKznUVfBtC8SbLV2D
q6i9j0VSTZIXaemDQNbwCeHpyC5zYQ+sebuNWEJiBpFW4Bp8uuuDo5dh2TSDL3kNVLbye7P63euP
Yks3awp2dnFrUThraoZEdbRyVhGrXCu1YaWR7KFz2D7ltRkifiMox65shW/3D8ftM4/azP+eQtoM
N7rMbSXVRqBNihf3eXmg29M542zuLejWUYIzo7ZOwLdc+vVUyGjkeSYOoux1vfpRRntDrC07QvO+
TvcUTpbPcH2/MYVLYU6LLAs48PVnIrPQ9SkyZA8WtXeK6EriMyIrx2ASTxAtnGqqNky775Skbj/Y
AlkktaOoCKrWXD1D8D4NidX2ChT2PpSmNDME5Cl6eDB3TsZGNoelhQ2Xh4BQeA2tyes5SOOM5ZV6
K3la337vW4b5ulwvj1kRvJNUVF0rAfKm3kA5KZGq2cb9hPY8Vy9V1P4lQRqOjCYG8Bt6nEQ2VAKv
t5tSXz8ovqh4ZZLbdfZH8b/cP6AbBezXNskSQ7PFNzIqphbU5txICuqMYhzbUqc0sJr4sIarE/5L
bOT6S1RFQ+6SZ5DXKFqdgiQGQdc6TSR042Ho2lFwQlkrQicVQ3ifrK7Ndi7SRrcOalvymUW3inGd
9ZyEVY1hGY+64hllo9ppkhqnLqn7pyKwKndikMPRZk69ovgIflbmz07opp1juHHNIBnjCNJeWlo6
Kxc1aInRDXWnerH5Q+kWOq1zbmXHzJd3vO7GJYMPCU1TLjXkAety1uQjjxV3jQoP/wS0pUdBNTUE
3a7LtDhpYhkfympMj0Lahqd+VHbZvW+9FtkCZVl4aJa4a82yFQhlXEv9qHoMLD2pRWTHYvxuapvz
KEZPQQKBgfKgRj8iKaKPAAO3JqHJ+65H7+3+4dy498DOCMsIZxj1WYNTDF8bOyoPqoe7ZkJEymxE
XZ4YJP90387Wh110yJbkYcFrruIlS0zaOpZLzbMgwLaa+TQhAjL0ARz1O5Y2V/TG0sp9ylFtFoFZ
aF5S14DpvkZZ9NiIP+4v5/YpJZ9k4JoODD0YIttrp1GXJU3kdtQ8GMpRWx3GwUEp9DNEO3AKdEy4
TVJX/4dPBYULsGcNcPAN0lXN/YZ3xNS8caC8O0wG0A8zVY9lW+3pIm18LXovdBpJbBnCXLfc0lDR
G/5H9YKyfKdb4OlC8Vmrf1dwa9/fyNtwS11iBAhCKM8vA8PXGzmVUWgVKOd6iC49CsZjqURuKMIq
L/1U6j+5fLxvbqOogT2KTnBA0ifF9LU9IHd92bWT5mXaLHZuT+Qgc+Sl6SR181g7YxVaTwFkvP+Y
WQ6ReUtT8mQIOaP7k1rBCDRIk3apJCsS7V5HxdVJNWURdGIcEBYurQ1/q3IWgsM30qGwhWAWnyfD
KHVbiY3o5/3VbGQhrIYInCURg1N8Xq3Gl3Q0wGXNQ3FJriLb8Cc7FZJTyRC0KTqxhIiK+NIBkp+G
0WblO19vIwtYfDX1QqzzH+tioaoQfS2FHc8IYkct/A9Dyoxb81UJ40v71RAfs26w2/aYhvIehm/r
uaIiynckZsaDr5v/Y5UAuIMZypPHH9GsOeAGvyfNO4h5aRUyda7Eji6PJePnp/vbvvF2kFVRAAZw
Tjy9RoNlyTJ7oFW65/dAbfwx6A9h1grnvLcQiJDF4mDWpoTsSjnCn06363Df/oaH0ymZEhougGug
LddfvYLFmPiqJxaF0dgNxiJ1NQDEThUpzU7m9bqWVTDK2wAdJBQTDJOtCwR+OGvKFBKtxXN8gLbW
ja1vVeS/JEA2fcWZwoZ5TWTxgv6o158CdaEZP0/5udQuZfAnnU5WGNkStOMNRRTYUymmHI0Wjgrl
4f6mbB2HpYpBnRIYNYxNi8t+U7bxDapHip4qnip986vIrRrrN51I15Sfl5pDV/bHelTOTbJHCLqB
xVo6jK8Dx0gCsFUry3MhmDGBExFtcJaV4OT7Z77aP2Y5On4KLOxZrNKzmmgnQ2ldvzuHUXv28/FY
a+E5DfUP93fi9m1afg6RJq86P+o1HH2zERHTqVmYTjqzCofBdIXLRZ6+FntSCJtWuEvUP2h23VZX
jWTWQuhgPZSZC6ecIeFP4lo9kLySq4D6pRJi/vXTvjAmA8JcJOfw4askZVJis/T9CMbOZh5OfuOX
bizLmZ31U3y+v4m3d3zhrSJWF6FNI4VdRRG1WOp63ao6UYTllKkCN03jDFlxmUflaAYdeZ9OdNG+
u2/29uHFrMJAwBL9csNXV7sMtRAkm657Qv5pqt+F4680oN669+puru6NmdW7IQt5OomBqXtKXByp
8/+RwKsoefcSD4yNEIlCVugOws7U1t7iVjeUi5tnHSGAx7uanEfDMx7NvZb4xrFkA2GzJ2ZlzGHd
UurDrq4MHVLXql4KN6EePIVjWT2kaZ65plC2B7OEO/P+V7t1yMtX+z+jq6/WhrNuhAk0lT3TiC5t
IsrxffFPUPnt4b6lDS+HKUY3yJupAd6Ui/PWn7Qh4Vzm1o8I6RHDOuOZHDkVz7n8lNSPfXgOy73z
srnAN1blaw9Xlb0GiB2rOHNAw8S6vR3soWIWN3n91CxLW+aV+XL48NUulpIuhEGm6XQ2XGk+70pW
bS/i//7+1aHXSxXEUs/fT4pnp+2nQPqi+3u0PntGVmdcTusmF7rlZo2SWxu67cfac6n+dSrAVoHH
o0crAYFfV/ICK9YhpLNwvlYQHBqqh06X5b+p/vXH+wdu86MQbRBgcuxIWa+/fNCXYyULoeHFGsBK
XYorpwSs8R+swK24dBspPjCEf23FrMQ6WZiEvCGXigdzkGgAm8Rv99dym2tAZUvDnsh/gTEqqwOW
6DNAY781vVzM4E7PKtFJrdRE3ctqHqHame2hqH6m0N3shMlbhoGM0kVdHmRrXdVAmWSaBHE0PX+Y
0S7TM/3ITGGGoHA0H8bYSM9SKzcnLcmLw/0lr7XiqG4t02VQkRESEBqtSYsUZQCBLgymp5WfZvEL
KsLHLBrOcwYnY/R9BJGbSGdVEw699tgvdR0apIy727E62VZTnBkwejQhxIrE6NFoFlDjbp95ebVX
9x4Nm9eQjdoqzHjXHz/I0rg0IoF736bxHyhcyk+dIPoEbn71ogpq4ZiVkriUUdRTqc8UQxEKgYwz
dKAsFFwzVLpjJQ3aC31Q0alj1fwcW4MOFlSv3E4Sfo7ZnHyIRGHYObUbrygzIfBnkvyQBq1Fv8uu
VM10wisas+TEk+aKuVv0X0PxYS5+tdU7Sft2/2tuXEYiEkIgmnUMZ6xxwFM0WeXk5zBKaUJ3kFLj
u98CqrtvZAPUQC7OVV+0prkna0pho+oL2GJ93UunyiusQ2Y8Uchv0TGxk9kOrPA4Tz91/08eh3YW
vgQMGvntU6BfFNpuUj4cI3N4akiHajsZDrX5qTPPlfxcNAyHHpKQhmqv1ztx06sQ1uoQsSmgSIAe
MhW4JjkXVFobPl7RE2ep4Gyntf9R0mvrU9TqbeaMiSKe5M7oMwTYVC64KodWADY4n/7t1IjJy4o+
33yEriwC1hBWxTe/tqLANmRfhOrbSHNQzgN0UKGRyK0rZ1AmhVrW/hpnbUbkbEgixZWSWf0VA+AI
XVmJctFpiMMbuEj9noG9ou3Sg6DBjOqWYdxl4EzjRdonn6zvWtUYpq0JWeUtetQJgF4fFgE51eDu
aEt5TmkIT80jMaP/ASlE6R81THxKEI1M/aLQEqnDl/mCYXeplMQOtKjWKTUH9WswK/VgW6NWf27D
TIztum/yrym6MK0dNEVA0qJZHUSYQZm4YDcBdPiyEDiCFfE4NtnUdO40wIf3qPcG+WVdU6Q9aF2h
RycYnfTyoWmb7rvYC5J8EGC0UU+6NlXfC2rh3/Sgz/IjW+QHjtHl83BGStZQ7HSWtfIAn2r+Uexo
Fe3429eZ2bengYFdqnK0gUHp085Yo9TooimCgGNBFjSeW1tPgjq1/Qa0siPLsTTaSUclVYFCabQF
gRatGlrpO0NAndgOZ2t6KirmfcXZlI9KD+TNlnpp+G3VafAly4pmp5e6jlkZ3EAEBoYFXvRlRnAV
mESNYbVzI1DYi8TyVEhwsErlGLtW0ftP0SC3Bz8U/zZQ/p9RgLEUj1CANlYJjlhLkVj0ke5Nybn7
YhaqOxcHqTm20d+WKxZLUBrzuPMUMQe0Wl4thkzUKSU5jaXYfqh/sarugbrQX2YXdMNxjeRNzM4u
89SrGCKLSrUUM5FykMCF1VzZh2dsOCnK3gjITdFrsYSL4TkhF2USeBUNp3npz33fat4U/x6b5kWJ
q/9H2nntxq0la/iJCDCHW5KdFLolS/KWfUPY2zZzznz681EHB6NmN5rwnJnBbAODcfVaXKFW1R92
ffcQZqnddNppMJWdmD03sfUj7tdUKpd3DrGBnAEyndcKI13E1kprEiaPzM8bZ7mxaEun1c4y7c6I
KluC4ikh1NeuJE7zFzrfTudBF2tFAa8VJxAFH5XgR5C8CVjfhX/7hpoHxupnWtEO5Q+LGIml1zFg
QP2xLSM7aCK3glPiYzKzcrstsw3iIPMEnJQyCDWEJXCjbQNPkivJfJTyzNwltQlRHPS4Ay1N2spt
I7t+ovsO0h81cBhzeq/1utianfUeG3J7P6a99Dh6ZEpJhTTwqDXKo6BjzSg0cXRQO9T1PS3Tt54U
rKkYL80SYWGig0VHGHU7dBZYe+eJUjhhjqjWkfcYJr6txFNmB0L61vniVvQePHNXqvdWZTjirFDi
CQ/9WG2yYgRk1zpF6mrCi9H7m8qX7ApMSGSu/b6LajTlX8qE6DLy08AsyYvf11SxL1JP9x4l6XfA
R4zKrVQ/xxu19N1MnPDFoRimcLdJ9UNerX3ZZXI0RwfshxHQXLjRlhB8ucHwR6kT7zGF8mbnoSDa
gaevZGBXx4joJr2DeQ9eOAUIUmAUSAqTZ/TlH8UAcBDJe++34DmK8Bh69avm91vNl7aIDuObu4b2
Xj4vGST2IwrWZFSmECNfPGGCXKb5Qyr7aKqZ7YvpVoRIXsNZub1L1sIsjmxF9wLf7EbhUQ5Hu9F2
QvFLwrbudpCLWsY8mJm7gAsCr1mSzvP1XCc4R8SeJTxWZryT+85GbFfvgR9o36oOYfCk9hyzaJxk
TFZu3As2wxx6dlLiIQgtAM71eeg0agQIKJF/9CR0+QxXUI090TX9yZMapJMre1K0n4nSvQht84QD
6789+saNSoo23MmZTgH7KUwcc/xye04uku+PHwasiwI+k0OP+PyHBZTIY71M/WNXb5Afwb3DURAB
KvNtoh0MuO7QhPzsS4rJOD4BDfqPcv5lNhHChc2V0r0EKreN3qJ8Y1lf2morR9mmGPZR1FGHrpyw
uDNrdcXM7vJO4rnAI5Nbkbm8UDABjhYpnlzwm4XtCJ6bSLS+2hBJx8hwTJGpK0yIVBClb8/W5b00
B57lckgraF8vJyuIVA0Gt3+0QvnYG709IiaBKeMmToPD34b66PMiwiZT4gd4e/5dEsnwpQSr4WPp
mabbGNG2VqVp42ffIXps/zoWIwLiC+FyrgQvepQJlQspVacEayxgCfT39n7m3dHrm7mXKwvu8tuh
ovIp1qKkbshJUUJqwup8TGYGu9e7+Ti6FlIE2yww3yNBnbaBGIcHX4zq/X8xUItkDTwx7Zll4lt6
LCcqF8lRiB5Ef6vnD0kVula71sW6krGB6J2LZRKkDVB9i/OManaVWmmUHnmbOa2Pjm/1Vqh/KDxs
Jjq9SWf3wa7MBFfLjZW09PJa0vCM+KDLzG/qpc63Yg6JZzWY4/LLmhdEfaX7VIuV59szuaww8eBB
RZ83D0wZRIOXLKASqQ3TGHCQ1TovvBvo0DnAawsARYMcMjhReUupI+JkX1XeynK9FnvWS2b/4f9D
R3KxNVDHygYBw1MPscAe+y+1jJ1AQKcGyapYVp4LpXj/++ECJqasxdqZDaTOQ5ZSKwtWq2Bai7ty
OLFmlZ0RvTPP27huoCJ/vR3v8oUGZoWOKwQe9j8i++fxTHnMM2XQ0mPWQXyn7NEHvuAW+dBnT9WQ
R/LOis2p2oM2is1ft2NfW0Cz3BVWsqxeKojnsZsxT8q6nnCtTeERTmND91RRM/fvo8wgVChGHAhQ
Js6jyHibgUkSMRpvspSzTZROViGNK+XIK+kT2BWAtXAVAZ1zV5yH8dNeTOPGS490Fm1DC5ymhzrV
7UU4BEEwbAXN3zS6HaTmi+C1j4m5ltlcSaLh/gDuJUmddYeXq1U0aDFY2oi9KzQNW9SjZlsa6VE0
0h+y1npbRJcCO84NjqOh8ZxMnX4YZbOPKnHcelhI7LImeUUcLHViHmP2jFF0/EZuN4aSqtuQ1uvf
3zygYyjB81AH7b3kMJYTHvcxEjvHxhK2CEOdBm74unqqVhWZr90FCNyzjaG0Ac1crIFStGKrVOep
qba6dFfv/E3Y30Ww+jZ4095eb/OJe/6k1GBYmDM/GH0ZcAznCwEuldyKYpce5daLv+Ic7Lm4jA5P
fWKprDxNXll513Ywr2X2MNJBMuqK5/GMVrEyPWUXiclvy4ptsD8pl3l/l/lrTsUfDqAXYwO+y3ON
t+yFXoKO8iVodYF5xK7vOe4QsJF9SdxrvpU+BPD13a6BziamQrWxUoFTGhVdF7xZtIv0Kt8qSmo9
kOlHDoBjxTH6sHMTvxKeU9+HbC/V5n60GsOt60C797Uy3tG+PfllIWzUKCt2faT4d6LSA8dvyu63
agYjz9M8cfDbLJFZVarDKNc8dHPD3FLV86BOxs3K3X7tVqAEB7ud84RUdvGBuwQ8KyVFvBmF6TfJ
/2sgerYkxVv2kKPWvjOKYHr/i0VF63fm0aDYuayPp4LpydVQZUeUAu4racTo50ENskej+XY70OVq
4gTjPOatCTmV9Xu+muKmCQWsgbDYJmnCEj6VErfh8Ign45R20+vtaJf7kksdqVc4QpR8UP05j+ZN
vCktvciOiv5vZ+xnhlBa2VX/R/WTe7DqX3BLvx3xA2N+voQJiX4Y4AcwstjYnIf0hybsRQkzFC3A
/QzI8tjkdiyE1q8GMaTJzqHX8lBTrCp3qDnAIehxYjspwZD/I8a59iYjTjTaRldMrW3kutLahRgr
h6nJ5G956xUvVqCVP3xQJJ0rpqkPDVIrtO81jp5bFQDnyoCufTCoAaBuPvAqy+ut87MSXFyfHYUG
Dlch2tTDwamNr7HZO1obramSXvtkvOLo9TGF/Gtx3AyBX8c8vXLAFPphhJv96GfjNsFfNvDEvaXE
0DzXvGYvdxyHJrhQpNjwjGDPnX+zsdPxEh/97KgjGVZY20z/Xpr5HbCEOgg2Fo/p24vkSlZNwJl1
DndlBm8usmozlUMDhDaW7KLQ0ItAH+A9BaB/5/eF9wbfxeycVInNlwC0uU6OllAOHbocebhAG8A8
3/49V8ePmAcbBOoX9ILz8U9TYlHnLzOulDh21IguYZB1GCp2cUYL0cqffRV1L+xwrZXI81m23C3U
ZHmtYOk458HnkVu6JKIYs0HNQXU7XXDieKcE4l8/s5lmEn0aUUwd98p5FE8acAj0xuzYS3vUFOwk
+tLR6unzyTHEHl5IvKGssQLIv8w+56AoZyB3BBRqWXCSrbhLxHHi7OnRKVFPvI5XMs9rk4dU4cx/
hNlObfN8WGXmW55vzfbxiETk5H7xY7La+r+2/5UZrQ3AAGjg8kkdGJ6kkLNlRx8P5BiORSl8GbwX
DySSP325vQ4vU5tZIQHNoplEwRN+keM2/lAq46AwZUqymTqVBLd1lGzayF29phg4f/PlygMPhgoX
z8d5Hy4mLxyrJpgN6WMhv/f8F7F4E1Vb9fFxIbX5MZrfa2tN1e3akgCdxiKEA4itxiImtOMaNCQG
4XQyvW1taJMbIQ6yvT2LV6qDFAYRQ2RLIXtAzn4+tLGDXqjIdX6UggJ3FbrGT0FWOt74mu0xg3cL
U7PjtQzi2mKE18kWhnzCdbs40jqliY1Jhj+tGvdF+ppod5W4Vo24dk59jrG4G6jjZF3QYSBfRyPC
tYepgAyPpjjycQqExpXVeG3lf442/5pPaFBkcitDqXxszbRk08aykxmFrRRfo7rZa8qa1cq1tQG8
BrAQKvHcDYvNLPZtFAkd7ztNAywSNeR5yLOvdeCu7DD4cYgHWyQpwOkWY0oGqWymLC6Ovp5lm3oy
lBLoeyvvxiEN9xnyVCuTeGVYjInXMQRDuCtLSt5kRUmRJW1xxJIk2Pr0vW3Ufv7SLpr+Dv0o4MPz
u8EExbDYWINphtFo4qeiDrJ36lqkmsxCMNyVjXVlRcxcekj8KOMQaRFGANQe41Qwu6pQle1fiyF4
iMVXtep54BZPCZ3nRhkP8z/R4NooqJsE2NfgQGHnabellO96gbpSJvsAkp2dZFQZqeZQ7+NHQYVf
fFPenZ1WM+ZjZ7TDt2SMw8gpIpjObj+q+b4plVB0WtoCkauEseB2kabvVAUKnSu1aanZWMEbP2Kw
ET+a0cMZxC8b2WYVVrUzRqP6jJxYBUehsoKNh92QsVGboB+csoLFTPJZNhAkEA3+JbSy6m8FyOS6
Q+Oz/x215jBsE93r2y95pjf9viqqWLFL9Itq2+gtOdz4RjdXLjMv5o/+qIOnKBDdXfly85F3MUeU
2Ch3s+gvzLrk2Cp6qwh0sthSOehpcfDElKp33YuHDFSjY0yNMdphENSyXVdokHSWOBsL9uGDianA
in7LZQLIrT2zkYDcAKyjbHJ+tuDexFsU1M2Rz9TYeaIc8rRxFWsnJQrytf4d4tXbCbKXH0fPU++t
JEQXh/VHeIpdPC9BxC6FjsMskczWSPRjX/vbrNQl3imhE3h5uJLpXpzYcyCqBrOfJ523pa5AWUZt
1E2FfszNDDAMmjNJxQsitasG0n3z0Hsre3QloLHYolZpKcC8cv0I08Nu0fO00ASuC1fSVNuIfwvW
15WVNecki5XFhQ4CG8g5l+2y7RSaRtD0IrsPYHi34aTK75VQ/TO18DogE2DeGOaT+lqXMBa6TMm3
Rd/rO2F2/rn9S659U1DbfFTOQuIslhR222qHbxZgskpyW2unShuKdSvf83oQoC98VJLaZWpBgpbq
iErqxwZgY02Hk5445/7Kdl2LsngVpBYlG9/LiFLfNRQ1jWynaisJ4OVCYelTCKdRSL2DP57vQARe
0XbIVeXoQRmFCyhLey8+oG3mKMlXKTRX1uVHR+Z8nbDToJfQRZl3w7LwEYg49lRapB5JoVIHHPCE
MvWoiZs0fJbjp1H9JspfRUrUopo5DXWrqhu3OFk/+ir0oWTtxrw2/E8/Z/kkanR/UPyan6MoD6qH
zKf+0FhfG3k7RPd9ttJjucxIgSmRdAAjmO0umO3zyWbtx5GhCQYW4KL+MMSZYfsFcEiPbG4L2rQ6
yqnPXcCV8txpxeiUuJ5vb++Pi0yE34AHExondAERtFsUZmQliEGGGsYx4X6k0+XG6fvfR6ADwB0M
Fg0JsHnOPyWM5ixlZU21eSxEQXViNrsrJsWaO8yVL0eJAngp9Rg0mpZHap3XbY7ZLUdq228F5TcA
4AchfFQPGF+6PNP/+lihIkIHBeAGUDdlqenThRi3dkLMtJninSZTQs/wa1Vzfc2R9nLT0+Xj4cJ/
g5wFQ3s+exgxF5KMqQGOwd19Vjch/fnwWfKslZ14kQKD/f8cZ7nx5ZpGhUicuJ9sEyWUOPwKGHlT
rPlnX7nk50hATmg+8KePls6n9RCyxM1uFiLKOBS2Zlsrtuj7id2CRXa9xBMOXTN5e0SJUTbzBmHb
tpnG8ZOZm9sL80JHgee0io0e7wtNmZPwxa0oIjQpGL6H4e0o2D22a2n6NZA3Waq+etBNy50xuWUx
nCIteymG4ZX+4Ax4TeJy5ZdcVPdmZhiX5Zx6cAguSRG6X4KIrWXryBuFfrKU1YcyMfr9qGTxhsS7
g3zqSduy8Y2DN8rS4fZEXAsPERzlX76IQpnhfI0FellEVkZ4obeQVPVrtzBIA7PIwEveOkyIjesZ
3rXayrAvHg4fuCqOQAqbMwJtcf7VVS5qEaolx/ZHGdsgULz7QbXTlYrT1dExp/8XZXFthmz+0J+j
iM+i0z21b13k0Cf5Xa71aeatuLjLgIn9J9B81H5a2Aj9NGo6EUjJbUqFX5Pftz/T5XTRHOAZTAED
iC3SPud/f8TFDN1Da4/qePLCd42iZDj9NrODp608ni6nTKU+h7QN0DfEmJbAO28UYhTEquE4Wcjp
Ci0+KoMjeP9QYi17ldqn4KCdvZLeXJ5ABJ2RW/jdYQK/JLWMvRL0mi8PR0n7Al6M7AOV/6dMH1eS
tSvTyFt4joVnERqN8//+6TPVrYgtVmAMxxL2JWo/dmtm0PSB5ksvUliuJFQfh8j5qlCpbVHopOBJ
f3rZbkc+y4tpVYzHzuU0/WaW9mByhjulareqHesOujT27tvbS/tPtRPuku+g8JtduA0Gu/g9/C6e
i7vMWXv5XS5VfhQLCVkU6nwXZZXCF9va66PxCEHpoQfRUQgYU2VrUuvXppraJXwelU7JxXtuMKNK
oDU5Husa9nr/FARg9zO7QXv776UD5vf+52CLG6w1IWBg3DIejSlgeTpiXrmW6D8qSfonU39U9UMn
FA95sQ+FlRV1bTZJOmYNjRn+t6QRi4Kodl7cjMdAP4SGcMhiWweB9Ne7HyzFf4Isdv+U5XCIxXI8
Ur3dGWpoJ/143z74wWYS1r7bla0I+pr/UA+bed+LlG2A12gZcTUdlQjQa/hNqWVHFH8aykrScSUD
RjeDLADPEdBawETO92JlsO8yvZ2OQgU9wtiZ72IDn83NyfGRF99kyUredgkYQVD7c8TFXRf3coxG
CBGNdtqaav6lfZoQY3OoR+GdPOQPg1nss8GWu5XIH4/AxUEwq+uD9Ud69/KRCBenDUW5n47v74+h
vX18vs/t76fQPll2apd2aD8OLim+HTil428O8Sae/2AH258/S7u2JRuu1Obpyz8Pr/m7Y9rd5ptn
vwX2aMt2teMBvQs21LXt0JXt5z3bzTXcl439ZffwcPfn+T6w//z6c3tFfvAbb41ocbNWljkYdc+I
NDu3T9v7+24rb8YNAGLH2mKPcg/M5WRtvAfdtb7XD6htak54ap6dfW/fAX2394q9ctlf/76fZnlx
CUdxNei6P/+mk5elm6rYpZSyttT29fhH9Qwsr56+rKUY81+6mAicjdSZ1IqOwEX+hup8P5YSFnFR
RE08FDZxEa9cyR97bhkDNQp4zMDyoIksBgbNVIw9LRePkp07PzEV4t/4+jmJ/c/bj8AW7aP6ZeX7
XjkGYAb+J+R87n26KdNQ7abeIqSqfNOdeJ+4gtPYqfP6Pi/Y7+hw2PU2fVeY4qPzxzwqB/B6tr5p
kW0Ut+hz6LnN3SJvv/VrmqpXMpSzn7Y47KUxikND4qeJibLRhIJnH67vYdXU5Cnhph7Do1Kjm6KK
K8fw1TkBlozTkwLtY4mekuj6S6NSiUeja5+6fJ+lh9r8Gavtt9uTfznADxNHuKDz8YgPwPncA7us
xirypSOqv3XzYBWdnRY4fruj3DmZpGyM+tftiFcOY7jMioIlDGck9KrFdk4nNWmkWJeOqLOpU2pH
teTI0Z8+QcMru9fbu7jrD8hMP63EnYdyvrJnDjUcHarQs0TmYmUrWmvybtakY/YgmPtJlSjIY78y
/ou6PgzYJnsp9WwjGZvbcS+Tkzks+Q+AMZpzy9ZclLSc1a0pHaOal0d8HwvfGzyWw1MorFRALmsT
55EWGWdXyI0UDQbfsons9ofov8ri16yM3eDOQ5nz9rCuf0awcGRDoJZgsJ2vHLEzGnTMGVc9bqaT
RaaAZoynYTUaSaiAekhh/fK5Zm+HvTZG5osGNa1jlWf1edTQQntNUzP5aBpwOq1t0DwZWOd6Thv+
EMSVCb02RpYovffZEQSNnMXJVIlhPEVmLh9TGJh974a1rUKqLM1Nyk1aPgpdbCfYaN0e4+Xen/n+
s2oRhVGFK/x8jEUT6OMUJfKxFB/BmbZxvcnGV7/tV/LJK3NJnHl4ZER0jReHW+klSljqlXwcitox
8x8BnoRRWIC+48C3tDtsV24P7MLSjArIWcTF10uyoZs0o+br5bEdJ1h/5HbWvQOsERSnHMpdJ7hq
beEPathU+mwhsOCKuDl/bIZ/a62896xdk9p9iW8Ty6wOjV3m67tENhxNgeQSbG//4qsrAJQnx8Us
LMmqO/8WeZTKrd6W8rEQtpFH9SCq3GwLIF0qUTYtbc+A5r+m5XuldoUKDKkqNRKOSqBR51GDUSpA
tXSsu0D7hU+ZM1jhRlTcgjey+IvHKx4Cld0aSNSn1v72kOe/e3FMciWw2mmPQXBY8lElreqntmpl
knJTQ0KozreTl8QrE3vl3sHyjQQVDTT0bqzFvdNX5WSmgcdKiLIXb5iO5aQ4edi6gp4hjSDyORWq
4fXKYXxtZmcFakpyQCD5nIvvqQdVXwlUyo959y/SpD0RRgGve1shKzbtMLOV37Ugu7fn9GrYWW/q
Y5uBGJIXH7Qr5aKuBPoPcLTHalsLozvoqW0OB116L+LiTRe2cviA3ORKpnrtc36OvLhtcygUsRH7
2jEfygr+f0/m0uBCdnuA1z4n1wBKIbi84Y27mFYlCZUs8gLtGHl04GOI+82fsTwImCP4Xbfpn8vI
2N0OeW1rAneZ1QMtcjRQPedzKk4aXWK27NGvbXHTjC8yurNltOvzNzExtv0U29JKDnE5mTweSebm
cvysN7uYzBEVBAEvl+mYyJGyadtQP9SCUR1uj+xaFLAopEaz2OPFDhwDdVLyoJiO8kR+P4ZYwyEa
/7cGU+QjXKOUTGguwO9YZn6Vh/1DXJbTURemdGuGiHWZgxKunCaXd9l5lMXCz1NLB+zCO6nDL/zB
wB9tg+Ur2b1sCgfLU/uVubsSj3uTkhMoEbiSS8DsYE1y4sWxdPQiRf+ea9a4lTqT9EDzgsoGVRSt
bO05BTg/LsljP5RN/zejXRxkswVoxbOMpAuYDCQLrwkgXKLjKORl061ss3kbnQdDsd/EchpKNdts
2Q4KsgGkKN6VxyoVbWPk1T7wLo++aP7vybxXopUtdjmZ5+EWu3oohT61wIYDcYwcLRkdNpxTa2/V
3wMyzgPNx8unF6BM50ltfNEAvpb/mxTJQxBGk93KtmwEtmDcC4I2S0e3J9X71mPCdnu/zVnHxazO
/RCkLHhqLYV8DLPQrZg895jCn/81+gf9W5H8jhGNvB3ncl9TWZvJX9Cv4WIt12ZSh0Ep4OV6nCr/
Zwo/hovOS1duuMv1SBConmAheL1TgT6fSglH0cHMU/NoJWnoAOxlTPSaoQY1/X8znk+hFtmcnmam
XiBERfvYzGxDLbJNOKBF/V/M2qcoi0XY+1PU5SMDMr102zQTtrdrMnHXFsDnOVssP2T+66zz+TCp
4WZCkTkpSIDWeDX1BF2m6O32gK7tqk/Rlu3AWQ4o1z2mTdKSemu1Xuv6U/MyWv5DXI3Tynq40hhg
QdCzRqeCsuCF3Kw61VXYKaV5HMfMldFH9Jr6sbakjRiZ7tTdWU27wwP1oMqtI97FY2KHrbST8va7
FXnvxZe4M35bsWcr006RePzQKgxi6ZQquj16roHkGatgN0LGyVW7iztS0i+3J+zy88zrWKYcRWLB
jbi4Q6YqRG8eNB0alsMEdpa7XXabwVW9Q6aaa2fsldKeaXAn0qMkL+XBvljW6pAUlgbpg+T7n8ja
w0BPc+y5BDuoEMcN29HxhuaPIjwFqWy3qfDXghCwimdxYJIaUg0aOuc7uBZmyLlQKMcOtVmXHrli
q5G4hg27kj7BuDCJRe4wq+cvchm/FAQ4eqF+LJXCzmpMjze8+Yyv+NBWr/0pC6qVY/Zy3dMHQ03O
RMUEOfUP+tmnQ97KYXz5XgVEqsMaQjDLf4qUopMYfxNKq1tJey+llIDl87RAdYLOO7O4ODbUNkZQ
K9TBHMbypswmOvtytgP4xfvWkn8CnoywPDcRWeqSQ+qxL5om3mn0wrzwoMiFglBKUt2pUjfejZX2
8/aSvgJIgjWAGQ6ZF+hZ8snzj2y2EqQ6LzCOvind94L+UDXeCwoKdm59lXkG4cnu6nW79+pki05x
qj5oyl0tmRupO8lr6PGPvPX8Bpx/zUwUBgE/o4TOf00vDL3lecBM5K8DiYWJFMI3C/F0B6qp1v4M
/5V6x3oy2v3tWbjY2EgnAstivrldkYhZnLutHss1WmLWceqyzRi8Y23vCPmTMb0if3071OVyP4+1
PHVLYJy0Y4ilIK731ftTnYbcrd1A3pWmvUYxmhfX2XzOwaBt0e4HeQLq43w+IVGoaRY1BFP0TZ2/
4IJhC5iuJ/RW8ve1AvrFxlpEW1z5itT5Bae3dcz0P81Y2zA8UUT4NrsA357Ei9yCQBicQumdefus
2/NhSZU+CokVeMdEH+2Sa1gOvlvtmgrateHMVS8iMHOEOY+i936E90ToHQ3ZjS0XKH4a3JvFSvJy
dUGAjgVV9aGBvYT8VwyvTwzCTKANnqd9U9l+6kS0tLrE8V/+fuao6AGwAiEOqmKx0sWoVaNCiDye
JRXyOq6U/VTSlTNlnv3FooOkznjAWM+UrsV7WIb/oYuFLxw1Pa3dXssFW+nl9HB7JB8aBRdhZnCI
jFgSOJ7F52miRI3bIBGO3lv1JL2qEk0vp/09+fY4bu/0L1q3gRCMrv1K3PnnL+KC8KXq94FmRmBk
sSwMrRIyRRSOYvUQ0eEfNc2u4+/YX3dNZqueKxcA8KSVJX95RPGGNDmoeWBDpFiqs+NrJ4Raofgn
WO52N/2ymtru2p+G9I5V2Uqsy1OD/gs1Xw4MJpe1cj7CMuqiWMim4NRnv4dQejXbRzFuXdB4yDmq
br/mjfwB/DyfUmJRDeP/DRAeBuB5wLYK6mrCtOukcj6l9Y/WicUTnmuQsBBWmR4a7d8eUcq2/QJb
ClNa2CNCc4/W2C6c20Tv2C4ZBTLmFhumoouyJtBzZfKBPVLgmbMx3ruLpTaNk+5ZYR+eTO8hLnwK
ZNpWqH8X3juGpSvnwYXiLBkXFV7WFcx+ts+S/tZptJg9bDxOWfcSZd+8/m0aH0YEoz293vQSK/pX
Kdgh7w8I6dm/WXWSkeNU/+kKBampSbQVTGiamV/hryGyL3c22SDrfpbi5cZQFwtDbGBcjakSnaQQ
uHSdUTlPBs9a2WEXngnMAEscmxs6HUDMl7XuafQo9CKCctJkNnPTuIkYH+ZXZIE4ny88NXl5aAvR
Nf7xhtymkiIHIFDA2aY+rbvkH/jQjsD7Yiw2Y7RtPsDcA3pKmpuGa/tyPjAXSxfk+GzdgTICmlOL
/AnUpmcEoxif2sCpsxc1r7bl7Oeg/2zlfu+l2D2tHHxXFiP4Wx6iNJ7oxy65DUEmS8lkmPGpsu6C
6lVqn0L/rqkfAOWvnAOXLxD6PvO/ACtiYksicb4vURMvEXn2slOQd1tg03YYj3bFSHtZswu/OlFE
YBl6bjx+lbzssRy6vx4sc4v4AS0oUNuwSM5/QRvGRtF7pXYUBMsJR8AWNXJmdD3kZGeuIFYuJxbZ
3rnfBY9qfhcsPqWvj3ElmyH3VqY12zAVAJsMmvzg5RJMLrVWT2q7ahByPSiqm2QAICkurKmTYEpD
MxaOYSFhB6IGvelkli9tpgTkvzjWtdNAZ/p6+xK7POEBwVFrBVrBdr7YYVKud1IhDwIVILOanKwI
Nd3h+W5WnPB57dn16Fl0T0OxFjfgvdI1F94rSwsxUzhPFBFBAWModP5hqU+lqtRP/ALPD3J7SFCA
AfgbPGS0BpwuY6N2SZq5AnK+dpbG6Mbq1Z5UVt5pDWpot+fjMqE0AWBinQBekTbk8pHWB2GWGaaY
nAJxkDaZIA8OMYEEFO1a/nAlFEVT6LGADqh5LzlfWU+Fuwqs+FQPiuLGM7Z0qKC6lcO4JhB4qdXD
mFC1AmiNHwCH6rz4Pr10cwGQadhG6anAP7KBU2aWNQqyldPd6+QqnBvy8MY+fuAQ6UY3q4x9k6S7
ot4aWm5X1bAd0/JnDWtYXtlrly+92ROH3ALVO1LfixmXlC4JgiZNT6JnYYbNVS/tujF1vQIezHep
ah1D2yo4Fza7xrhPUuGvvziqd+ZMR8UBivNlsdk5XdVGzo305Il3aqay5xI3XWsNXWxuCCaIpaJh
Y84u5x+p/6f599WWPYD5FXmNeheostPWzxayNK12ogO9vb2GLx8Si2iLIWmq0Lb+6OenyewOZtnb
oncoBvctQu8UARvtKCtrmeJlEj7HRBBqfiDxEY1FTNKxurOGKj/VqNXYgdTlm0jOnuGZ/qjUsd5y
WYX3UReiMN+mo6uMdXSHAASKzKKVu4UXCT+CTFjrW1+bd6roqHChf4dsyeLe8jtlbMZuzE90zlhF
oQFJvOkMOA/R96BPys2krktiymyms0yAqeA5gogqBTOS9EXQyoz0uq/1/JT1GDRptSoffBWueNmn
PqWs2t+bvs/tJQiCq8epd4+L/bdcMspDXzbmn5XFMKekF7+GMsoM2kLSdfl4Fc2+h/Ao5yftxdgr
91FBWcnu7OGPgpa7HR7yxoZ7uQakvewvz5PA4HXKebQmP6phn1Z8ISIUb5RqfhqmfF9Kuu0/V2Ph
1l1tW1gxxvpda2Fm5mJYd3vAVz/5/D5CL0bEcWtxn1jhiLDJ5BcnsW3e6naMNl6JCoasTeouykQD
YdQp+3k75sVRzmBRX2SHUwg1L/izmgBmTpim/BRSGYaEFWExWrSCU8EA29wOdZF5z6FoMAPDI/fj
EXJ+kuvTWJNrScXJ8L4r8ptuvd3++y8SgsXfv9jHkhBoehapxUk2XO9r1OBjYVelkyU7FsrtUPM+
WKxM2HEzAYhXJu22xZdKcEuPvMQoTvGf4lA8xbFtumXrtK+B+v+MNH+/T4uxl/AHSyylOGnWyTAP
eec2sTPUX8YXQXOlZuX8vbICz8Y178hP0UJ50vtkHpeavGjhRtKegx9++rpagLjyqWbiHxkSN/r8
z/M4JUZysWaOfCps7dHc7f+UZEyi/4IUqRMPpXv7c11ZeWfh5mF/GpZpCSNJIOEmHGWj13YNynBt
OYDaA0aDbAFJmHL+91uCaWYhpf9TIle2UL/q413s/fHKg1Q6Ov7QHVost0d0mXtQ1uA5zwuT8h6S
6YuQKDV2jR+z2KEuT8VjiCUPukoPFJt/ea9IieTmIUKBYI3wc20mcU9CcZNSH3qYi7AyRUsIhywQ
M7sPBH+jYmZ3e2RrEeb//dO3qgMRwTiTCDAKhU0a+2iOjRTxb0e5tgD/VwgI1AbZ2+KsIFsC1qIQ
Ba1J6TVRD0oNR3Afjbu2XdlT81penhW0wnUE28mfKEmdD0iPktGKw7w8+fo2QHI+eZbTzB6MFZDz
tXn7HGbxZTpU7/K6nsOwEJrsLpD3t6fsWgCoVzBL0FDCx3qe0k8fZmj0seDBU55Ms3ak9DFbz/Xn
qVhMFTsINIbJKxK00eJYSDBb1ahTVSejvcMKBa6VfujdmBRfMbZi+CTJ+250hs2wt+q3MFA3sh3F
du9UratJW9oq6Rrp6srHO/tFy5Mji8q0HgwaHEKzF2NxXot2FvzpxL/uB1AnQ3aB4aMtAa9zse59
ISfRk4z6NGwj8y3pH4q1nuGVw/0swuIqidK2wcaECEo/OmL3RzfvQ/JZKfKxrnm+vVjmv2vxJSGn
8iynRYk24tJyahD1pCzSojm1GKw41BoD3g1Rsk8iMBR/H4pFCYsTsSHaoYu0otc7Msegbk5TLzmq
/ChF/8PZee3GrTVR+okIMIdbsqNSd1uSj+0bwpE5Zz79fPQA86vZRBOecwwYsAAVd6pdu2rVWiQe
hv19Iwv7ACqKKRKn6s8hnm1+7A7maNT1KYEcO0pgw4mi70Y2PBRdvhIF3qYVpoypNckYka0ijzrz
TWFX4WJRoTgh1PUoVfvBYPOrr4rxatB6mKjhLoIG3BXUQyXoez9e43K+HSv8AmTnaQIE1AnH5fVB
V6GmRkykqE58CHjc37H85gqbHsH6+3N6u0d4N4PM/UvJypaf7UdUOIIQxefqJAlIUaQZhNzyXsjW
MoC3rh5kHgMi+zcprc/JfmuUGuS0HetTqoZ2J71l4VEfnUFBH2JIaek83h/VgjkyYLSNgqfnv3kd
tq8Vpe4ipSag1j8LzQ6QXls5YvNWOmMhrpVib880vHz/s3ZTie2B+/qhVJ+KP94FUn/D3723cbwW
bUxLfn2cr83MtqQEATWaIUN90tOfQ0hXrPFYFl8lxC7dTRAQariqXYe/7s/kwj5UkNkgl8VfnIlp
7B8unC6rektI1Pqk7mES+tQ8rYGHbsM2RvXBwOxQw9hpNVGIAUjDHN2RbH2j7LNNsLs/joV9fmVm
+owP43CjuExKVJFPASK5avs45aLcfOUwLWyECYPNSxlCFrrAZ2OR4iTPh8ytT3EOfQZkMx0JUDcF
3X9xjXzFuy+szCSyguYkGBTSPzNjdUue1wy65jSE6a8RvqUQUFw5ShutW3sTLwS6kKH9hdWCIJqy
E9ezVw+i3qme3Jz8o/eSH9uf4gMa0/v6IXqq/7hf2pV5XMhAXdubeSUxcYU+FKXmVO/qI5HHm3rM
t/SrHeG3/ed9cTWyaZY/7AupE8O8VkQsqe+WV/wYrehb7/07HoXsETgvcuQkuMjVzsw0mh5nhDHN
qQuf3fCkKd5rqW0F4UEv/+gd1D0eJUdLOoRjAql89in1DvfH+bezZ+Y9SN1OFNDcn+ixzb5gFF04
sJusOVlmDBGw3YmK7XuPcrZztfM4bsY4dUrDHnxIsM81ObjcelrDpU5b8t43zJyJLGfuMPZtwy1A
qrZ+apT4yayrQ1UWdMeMX0dxTV9m4djDxKCTTAOVw0Uw85lZI1cdaO3mJA8Hf/id5r6dZ7uVqV1w
zFdGZo+LNoU/34z65hR3j60BwlJyeg0yGPGT0u9j71jq/wWv921Oq3Uzk4Bu2VMAwm6C9EwOEz2B
h5ZtGzgK6pyI+6X/udpaeWXRDuTC8EiSjQTqe308Rt3yk1hXmlMQWt87JBRNX/iRhP8N6hqD1KKP
QTTj/5ma+ZhmNOIO1HRzyneEBfWmNu283GXZrulsP97QHlTWm/7rmvTJQqTH0dSVqWUHoCqKLrMh
tqE0ijlDtMLsKYie6ybdFhB2UMrZgKfZdiPlcL5Bal3I1vp3Ma1O9xdzGtnNYn74gtn+Eaq+1APE
U09xW55DuX7X/LV1XDwHH0zM1rEJTatLgVSd0FrYVpJvW+2Tqq+M428Afm8gsyVMmmKAERIryiH4
VsFw/+uHL9nBVoZovrATgEiP7SEmfUwW9Qsl+eqQ/85+pL2j0z+BxiU14N4Jf6/iUNYmeHadKK4f
ZF7D1hrkdNNKW6Nbm9/l3QttJi1uAHrRbbjeRRL8gAaicAi3y7Ya0WLe+5vy+FPud01rh9+jo/zp
/qZZPJkfDE4//3BxBQpsR4E+jekhPvY70emUlTfdbdVvurQ+mJi566YLRDSRrenKUN/i4jnwoHxx
EBzM6wdS90ct1h/SwFHpi6JX6iUytSdP92ytr45iTl1fbW1VGGwN4UezW8m0LISNV982i37igniu
Mxl+sc3rgvTERb9I0Tv9k3avn4dSXnlRLLoJ0L6kXAwAK5I429t+FTWVInjtqak/iQPAGCt4doMJ
oSU/j/2nlMT9SA4wEat9qYmH3s/XSD+WVpz4AVgrfR0ELbMnoQ7326DLY3cSutJWvH0ld7ZS/lTX
lFmWfMUk1Yo8DA1H2hxHmFZQAEWW1BGlkGYhtf5jLIaVsGspEkDMEeYXmJImHr/r3augo1LKRtif
irHYhuKTIW/7+tz37ibvt2tCykt7hbZg2k55pFFSm/nXxGoEV9aT/iRErdP54V6jPxePXtTpYxsa
dgFLvDhs7p/PpbfAR6Mzj1sKlOHjJOp5rf32o51hgKn6omdHHm73Df2tc8y8LkElImUTmhDo52xn
di2M+pmOJSPznDKonNQsD41Yv9E+v3GjH2r6Na3tIqhOAa2vqHLvdelrHnzPhPabHpj7ERI3vUy3
vRQ7ueLuCgR2m9e6QFhHTNYi+4VNDEacZABIHMO4eUlImu+j6cNaJOKhyTb6FyQivX5rDbGTxD/q
bfIzoAf+N5x1vfvTL+x2JbEzTcZ8sj7an/lpOLD7CtAZeyGUj4UhvJp9thZqT5v3xgZ8IyLukwLV
PINqlIEUa0XRn0YuARRKv5nKi67Vz0l28kfTruj3ypo/wOW3xqitTfC0mefGIYWfCtbAtcnGXZ+s
uNEaVXG74RQ3VufI5nAQUVClk1xx34Sg/SEqkFd5tbAPCrnY+iJ62I0RbvpR6lbmYeGMa5A6ARcn
606ef3ZDtQKvnjoJ+RJV/Fpkv0WrOaNM7HQCnW/fRGutQWLBb4F2pEpPbYS0z/z1DQGypnZ1O1B6
zB3J6w9qvm2Nzun92B59iFG9B6B9Q/49Uf8rC+tUfm889yEO15jLblshGDJwb+QNpqrkjeaImVZm
7FXjcKrTUwgXXOPbsvJotHvT2A71rjWsfQ4HFQzkx6mnVwx2Ity00u9U81Z2+9KtRfMouBFq6ChX
iTPX15qy4TXiMJyq7LHJia3yjdXaI8DLF7ndGs+j+cXw1hh3lrYgdRuqB8TzQAZmZ8wVxgFSyGQ8
5ciy9igH+w1aOSg9jZQKAFeaJBhlO/JGO0cM3jWstYTcwgrQgDHxtCHSygrM8/h6kPWloSnjqQj/
g9f0qfrOFD0WoVU4RQdTlJs7gujkg027TCkcvAaaKO9Xm6a//OjHffd863BgHSR/DOsp60DL7PV5
NJUBhXNZHE9ND5xWL8YjzCJrFcFbr3ptZBapSVGq+cg/jKe4fshgbsqpcG1XybCXrIBVhzgCrhku
7dmV5redppR1KZ600HMyQ7YhuPkTt2//PmG0OrNuYIS5rye38iGwNUP0QzWhEE/6MDx2shHYSmJe
7ttYSDDR9s6tyXuTvi1rfi6EEgglPZHiyW8e3P6AyFogPNfhS+xWVHKVjWJ5jq+utQUv7QX09KhQ
A6Sb8uHXQ5PzEKEeF6vIYA42nJTR1gAovhK3Ly0TJLGQXdAtNvE1XlvxI0OL8UziKeP3l5G7B773
iqD399wPtvfncXFAH0zNBjRaaSzWsSaeJHXctsMzcgYrg1mzMP38425A/1gpChUL4gC0sMhsS4lX
Yvvbi4Mcyl+gPJUr9twssPbDQDZKLREnTEyEmJ9YPGfSuDKQBUTTZOX/tjHTDTmPCoKsTZrc4PSk
LVR1Fm+ixlYe5E36UD+n3/IVc7fzRkpKJaUBJxWInznOx/CrVmJQ8slDl6Eu9zGqxPfX/nbW+NXE
GWQ0QVsAQ71eGasShCqsYuUkjmD14nLb0eGXgM+6b+Z2NxNJ8eCaCt7cYPMCRF+Sos3qUT0NOQw7
4rGmu2nUHoJoDU+7YAhfQL/RxB/Bs2TmQw0hkdsuktRTWhe7UA/OuWv+USp6Serkv/tjWlgcHnEI
wkERS6PKvFrK+y1NkE0xTtyUti9+y3Gk9y0s7DYAbGCiKR9S+0VM4Hp16kHV0rHOzJMBTi95qovh
UrkSXruz7CpsUppAhO9a0IG46J8t9INWPuB2NkGn4IFod5l80bwCF9AG2Y9qYJ386rlpRNQ9nvWS
FF6wgv9dsTOvvfVD61V+61snwQ8dNwjtFqyvbB3b+Mf9Gb2NZqcBof3JbFJOn0eX/SDK5dBG1im3
ngf5gUSB7UK426TfJU860pD+6b69237faXtMD3CaNOgRM2YrmOlaGkGwI5w0v4bvVj5U0oOYdefS
FGnSbh2IcOALo2f82RovY+zblfAr7xQCGdhjgNAG/x7WXX/QtBQfXLFl1rIRi6Zwki9FbAtftNo+
urXjvaUP7XP5LOzuT8DChIPmgoGHKjySGPMJV+AXn4rj/tnIhM0ofI8a5VAKxTZwEVbpgOCtQrlv
9hKG6GgkJCB0RH91yiN8GKCpdZ4re8Uk9vFqDQioCB4p59YQ/nQop98f3bKtyafxNGJDyde26rIp
E9/s9JfG1IaHoKrezQq1wLIojV2oKfHKZE7O6+pVOFG60CQAVp64mNfAtbkyRxO3LjXY8NtN3iAp
oO/bsn1Vdfez3kZr1m4SLlOv8NQTQmkSOKs4c6Venqt1BUvNS2N80Y3/2sJ71Eq7Ngqo0Uldqaaj
NmsTejtCbBJbcUKpr7GO1yOMSzcjHQPlRdmO8OAW9ZnYcl+2LonneNAczaLJ7P4a3h7RaZwciqnB
jNrS3I93USrlTVSbL0UJBTQ2D5mhV/vME6UD2I5HpXHDJz8S6n2UpV8zUg4ONHS5rfmj/ppZBbKQ
1Rk0knty9THeFO0qPdjNJa1S6uMum9YdXsM5ZMboBCuAfcd8CYWabmAoybwmgaYgeV2ZCuVmg2EI
FnIiW9wVdBLX058IUosIqgcT/zPj/TzWe/iqWxR163daYuzgVfkzHMkpqvVaxuPmMmWIE+8aD1w6
hWFkuLZclZbqt00OCX8YdzuppHGRrj9zJUa8bVDADE9pwkPeDUznLNzRLC93y1i1Xgyx1L8NXsNd
I/mq9cWQx+pHUSc46aHzrC8jDBWF3bhB5NkCvibf9UMHM0kT+EZ88Mes3Sel2a3peCxNAwI6yHmj
FUI6cPr5R+flVWLSTNJO5eiNT2hfZbYvD91+ZZ0XzOjcgPQlABqm0DGbBj2Dh6KSXZrMjTp/HAn+
LVsqI3A1aMna+qhn+8gYzK0addqLpACVTvXcc+ouabaCGRrbvJFjxJajNe7HG58DsHMiwp6yixNf
28zDVUWfR2IYJadEluOLGvjS3nPj+uJ6UuX4Ab2OdAbB4WkWA31ZMGPcn5ibg/bXPGqnk84k8OP5
9PtwVDe5TxuSkVibtBWDbTS6AUnN4p/hkDrexiRy1Cj+ykjDXK/0UAQxVGCmf0YcpvsVJwT4bSCV
h6GKRdpn/Ob7/aHdPpYxOE3u1DYwPVtnL/JIT7UmDrzgrFc/1f6tQ2MZgs1d8J7LCLb5xc4VHEFd
4yG7uSGRPMZlscnoxsDDznaa5yPkVkRmcE4VtTzIheztyrFWt5Fe5XYwpGsqFDfxxsze7EbuUJTL
ebYzSuOx6D6hSxrRBKKRo3USRNXuz+nfp/7VhYw1ohpAz/R2wG4w91p17ccVmehz5yAOd7C28abd
QOC7MTfxBp5QSMwFZ9dRFP0q/0zOjeRoqdOtwaInK7OvmKgxRcJZunIRgb/eSoKE+GRDg/Q50UjK
pcjzhi00Kar2Ay7VH5HvmStxyMKiEtIZU2fP1Eg4PyZyo6pC0cTxWQmepBHJ7vH8PlRrhENLO/bK
zMwZSEWlojSUxAgneHu6wozUe5S8YJ9F28xznZjqd6OYh1wyV57dN16IcO7j+GZRCMpgcW9EQnQW
EZfX+scwPhU9THpnalA2pPx6mG/v76SlJfxocbaROiGqVQ5nfC6HF8EqN4iJes9CvivRmr9vaWHt
yGijJE9K3+DxOptUQ0AFUg7k5KyWJNTbYJ8En5WkexnlanPf0sL6cclALToRCRFjzUkqzDK06lGO
svOQGXCXaQ7zGPQOEl9hEqJw5KR0E2khTXErhqcNf30gQDGD06JmQbMb7uf6QHRlFsidMULZU9Xf
it4ZRrsibW/tZH9bJ0cpLuxS3EtBfNBX2fRu5/fa9mwlrbiGDUyUsN2/+tAExukhaTxn+G9ljDdw
JTp+eMBOG1WjYjjnuU7DrDbDqMjOgnSuNEhqK2/fu0+h9UjGmJwoTAlnTfh53+rfh/jtzP7P6nRy
PsQnwxD0Rppl2bnFwUXv5av2I7qEp/ZR3cBS62R7UNVP2U58pHX3NDzlL+E23o9n8ZP8adjXO+24
dlRv/f3VNPzdgx8+KJlSB3VTZWepFjYCvDxarzpJeZREhFbG0kFl9Ov9Obh1DtcWZzda6fehJ45M
fFtdPBE3Pz6n1a4INkH3gj4hrRb7+wZvghKiNLAoHKIpYQ8NyPWc10metkQs2RluIKeVhI1nyock
XVHqWbLC5cH/3GlkAqenwYeJtKrCtIpszM+KaxNlCd9W8Tu32awp3GS/IhJJOgsI47UJ1+tTnut+
cRZc2JMoQrSbDkFVW1EqZVsX/FvVR+Im65FejZU++Y9+n8SpPCM/3p/RhTNKRRMSC3q9/z6qrj8k
HdyAqEXLz4Ha8V6b1E4f6CWBIn6NsGJhVskOUD+GOJs6uTlbuyynUEtaLj9nzWCnYn8uwaGFNI7c
H9A0c7NjydsJpDD3MSmPeY+IpSaRNrZJcTbTuN0VvghRdTOuaYgv7HwaTinKwltHTnBupfLHIiqD
oThTtt5pbvcAVcUlfBSC4askmN+HeNwX3sppu619EmR8NDp91Id96Xfe0GRmVZwHITtG4eeiJCtW
PiRCa6dlbxtaAxD82OdOKgjvXhmc78/s0gLSZMuWpaYAxn12LFrZ6P2klYqzW2u7pq+dtm22tZCt
3JWLZqYcC6lxilbzG8sdyWlZuVqcfYGCbgHOTqjN3ZDrv+4PZ8Fdglz+n53Z7WT6gdaBdyjOmnGU
i5Jm+DcphbL9KYtP9OWvwLum3zbfluZENTc1p9LvNls7r2mSyNfK8txXaX1Rs1D/3GSR5VA1RI4q
k/NtKIVrJHdLbgbQBA+OqVPwlj7KiEm1FmpSnrXQP4g1h7uwNeknudVI+QQ7F++rZkz3QrzGXbkw
ufB9U1YFoETlU5tNrgREwcxhRTqPWoaOovnWFma26dPootHQGtSm4VgCldD7S3p79qfigIxR3iHk
UKat9eGARIAQklioqvNglCAmpNj/XOl6eLlvZSGYm2RSCeg0shOkcmeeLC0SUQgSlcElQ3So/EF/
0Aor2CiC5kHFI1afsqLrP4dCQ/+23gi7iPfvYeUjprv1ekPxEeSHEK5DA4DK2PVY9ciso1iyqrNS
FrKN9jk5t9L6LkEnfBwHkI1GO/GHuFriZHGTbWOvtMjGhv/cwDmlkMhO8pqmNgNk6/o7sgqqepIm
1bkhE7EFPFIfxjApVi7+pZX9aGUWabRmSdEqILkIBW235c0C6dpQ1dv7k3p7SKexcPFOmmcQNcys
uHRzV0HCnEpN8ajUbgiVk/4zlP2953ma4+vNCsTn1tdhEEIMTILY5rxcT55cBIkiWBjUxAFtc1/6
KUtuRst6aax41dt7ngexzhtABrg0oRGuLZHhNGhhLOtzVf5q+88KQpvJe+mu+NSFCbyyMr1GPhzA
lMxvrxRZfSZ1h0IJDIW2j1QxLIcQ8aZqRFtIaqwR1sz3BuEIRWFKS9zHMMrPM3hDScef1WjlGdxM
5+R5UZIg99WVh/CNL52bmY1NrvN07AsTQLtZwQUFGRK62N1vFxFRuboY/u9hqI50umT/uEfmdmfX
7tjlfUyquDxb+ucu3NfDex9+vr/vJ1/x0Zf8NTHNIZEopYa5Q/NUKsNx5VVnI/omV4jPAydFi31L
Owtc3nTXqJqNbvOKt/6rKD03i+cArDJxHJDyvt4txZiUee4OuGt1F56Cd/mr/hY8tw/uU/rHcLyH
jIwRqvROdYy9h7BfcSnzvSrTmIHbokJOsmgq61xbH1AbdF2XskoQ29rPtPOPoalvCknb6Kq1Ejrd
IM/nxmbeOo992U88qT5bMUmknQhTAFJ+6UDbWYvYlj0K0fDQ93ing5r2hr4V5LTynbop4QjVDM0N
9q5ktVP3ei7HB7eoDNOJo4DuOD1AsHuTt5U4HmQ9Buej5HoVO8XYjn/u75O5E2EUAEBZKVCNVEXm
rFm8Kz29jsf2rAxtuBco/+yjwX+kCSk8uEOZrt1xC0s0HWyuWpJ5IBhmRy7Is05J4rg70xkoPwdJ
LbxXQ2Ic9aDzt67QVriXfCSxKFato0S5sMlzBR5fPWwdnneyk43yIcxzco2CIB9DjBF6JasdN/ME
BPMyETLqdNkTZeHKr7eSJwxqD3Vxdw4b17J1OXvUrLL6Go9S+RQroWL3pAm3hZ4FR5p2pIcSgZIV
YOTtEZ7QX1N5HfgXt+zMv6ddquRZJnfnoFO7B9I+LwJUCl/UMq+3gdBnpyZw3w1PeZHydo2P/W8p
8vogTyUkPD/ZdF61c/B7LA8xdXSlP4eeXJzK2O13mqwMlI/80SFGEXeRQktgIwntkzUitqsnrX8A
5p1vEy/vvodxmL5EtSI7YSdAzxlrHQkMFN+UvjLsqEO+MfYL/GxeGg+I5BWwNrXRC/SHnVNbqmvz
IIJkNnM1RxeHT3owWrtWbL2D0OqvZVa0Dg2fW4H40O6SGhWqNM1Wnp0L1wPVWOh7oW6eYvw5AC/1
ojL2xaA/+9aPJpM33oAYq/8ZGa2DGcnn3gWNJe8IBF/5wvvHcuGYXJme3RAUidGjGVDVTWXtRYvc
11KXvvRW9FK1D5FAyv2+uZv4d9rulN6nvncq4nDTX2/3Kof7rhfj/iyFIapk6iaE1BeErBPLip0J
taPU2VHIga146m7F9u1lf217ts/VtG2M0kj7c2sMqIsVNOaM8qaN943wPXENR7bczZDC36FW0b4L
doZoOkCmlXgN+rg06X9fN7DR0lkyD92sUBzboi9Z77Cx6UIViQNaevqG6g+Ii5XgY2nUXFF8LBkA
itKzGTcGq1KqduSAhQK1R1eTDlpplf++j6B5nHI0Cu8nemWu19VU/MQyQ7M/64l2aX2Ud1UaBH+p
FtQv7yvruDB9FOFUQJ34K3zn9PMPkWJmeDVFJH04B3VxCHzNLs3PxXBUacwZOsGWrPFBq6xTioag
T92ZsQ6Wb2fGoTJ+pgC/0zLe3/+keSyO7+ahStKBIhaJufkcD33pankRjGfPVXmdNn0Fay7w42Dg
Ir5v6nY5J7wk/RQMnst7/jq2kPNU0jEZz+i4dnZA8L91MyXd3LeyEHRwFeGO4L4BKE8SYDbHrZYK
XlBK58hr620cB/UxF9XMzk2123eDIF8GCveQQnvezisUY0NPvLGBXdfcaO3Y7qXYNZ4iK0t3np8U
z3UWS3tD7AzHLxvUI32pUS4WRL4rAe9CXEiiBNeikeqly2LOrdHm8WC2ZqicBy/ZkLFQt/6msf6o
ja3nOw36tcEJbTQGocEINhAspl/G6dyVdr6WTFxwddefMq3kh21KXdwQtIRP0R90J935m3P5HXXZ
XbEW6kyhzPUVitYHcTSgjEnzfk6Polhd1ElKqpy5/uxkWzxIm3D3U3lwH1Mner2/MRZ2OrZ48eFK
obqdtzOMTSZ6uoStmvg+zT8jqFpaa/Cl21jxr3jJBKll+wEOup45KFJbvwoT5VxG7/D37cKh2sYd
gpL+2tRNbulm6gjnNLTDp6LAzFKgKIVZ65lyjr/qwsHYFvsh3Kfljpya8DBmTnfQJDtZI5teOMPk
QWUaksCETenQ6/GFXcAmDUbtXGr6w1AMqqNpkbX955XCD0/qnxNKx5wznityF6h9VJrnWmrLjRHV
sT2U5dNYB2ui8gt7gn33V9EGyiMi2evhqHIby70nm+dQE4KNZgT1Rm3UZGNl0NrcH9TCzNFxKgLY
h+qNdrLZZSYqVZ34oWGehULVkTKRTdQ6+zVltMUBTb4cCkoQdHMrhlApdd4L5jmplPLYEoUG3CJN
+F+NpMnl/ohubBH3Ttos4A1Io1DeuJ48Q/DyOA9i61zJYnaJXC9TdoKMJrpd0py3SiV6aw6wDDVd
BfriaVPMYqCA9jczNwyBWD+2LeRyLPeboXRI++67JrGVaDwPxU6lT1svC9sr3T3/tG0FypLeClr5
Zi3Z/5w77ks6gkARz9ZS6iwtqNrYuwwZtBcIWf2JRm9NZGDBCKzjkBLzAqTfYJ6WMwtU1QXL9C+n
7YrvWPvNs10vCpbEtc9vJuJw1q6xGw84wWA+fPbktz7cHUbdZAl9jf5lCP7Dkxw19SR8ieDPruCU
i8edoh616C33X1JvcOTy2ZPFx153StNaCZqXPoRWA7YLLxPQx7PtKUpJVYU440uthgc/iGmiKeuc
1lgjtaNgrct+wRp5OP7wEKQcP2+qElxJiGFmCC9FO9ocTECF7Ub0oW3f3j91i4aQaiEK5wIBo3Y9
v/jcPGpKN7yYpvA4jt3BSsYfoRk5hrfKhjBN0dUdo/wVu6GuoICi4KV7bUtLYtWkyTa8BKF/7vOv
ybgX29cm3rf9D41AUdTtUEL2iVaOkZwZaFFKBHaJKnz4Wxfi8/2R35Az4G1IwLCW3OIUw63Z0NOk
kYZKbKPLQPC3D6owVWzL6nI77/wHK7TST32PyrhskbUOpYzeYy3yj12rdY9Mpe94WrXaCH1zDXNt
SOCVp/bEift38loft7uVI4rcq9HF7eI3ZD1PkdlsB7G15besVBwl26eUlYkeW1P04Vof7XjtmXQb
rk0seiSoRGpOlH6lWcSLKEHs16iCXTL9kSfsSxhdimjvq8fMOFYy21AA5yJG9v3lWPDHvAHJUNGf
TC7zb932w8hh4vJMsirRhfjZDialgPxP46/hohZ8FTc04QZ1EIKB+dha3xNLDajkJZDM3ilSkWdn
awqb+2O5gYCztYyJshxqW9SfgT5fL2MeGqqrmV18ceUEle9dqZG+9+tjqu0VIYVsaHDiFsaMrLel
OtiU5mMb/wJtuSkBhKnCc+JGK+f8pu7995PgvCO2m7KO6mxVdV/LNbcGBBv78avlmsc2K39q3U5L
rZ9F3jqD69rCcBiU3wh21tGwuz8lSxNPGDsRWU8l6XnnmSB0qd5mfnJJe3DAUo+IkubBwXvfyoI3
g59igoehakgScXakw1BNOympk0uCuJVSBMdhfBuT8FVI/r/GA/aEJnYAsGTurle4pXbZ+qrOdKYZ
MtfH2utXNtHSgSAHCd0GxTTGMrtWA2nsFDkIkktJ54BTdfpPt2/gHRfStZ69pRMP+JIeNyaPm2Ae
t0Yx8KOmyNPLsBchcun0XTQcev3iBp8a+SwMb4X476cdOjxALAwPNNKcrBjw65gkwOMvUStriE22
gm0JylGU3+9viJuMLqccyWyubGRIJHm+IXIr84ZMDdOLqrzVMAk7IglF672GsbD8VMrFyrAWbrgr
c7Og0i1DY4yHNL2IWga7x6C0myavfwcDpPhxa5UPiukJ/77nsUkShBoMWrjqzKbeVpIrjdgMpd9j
E+80NXe08RL8MxR6is5RxuNcESwgITV3aq6bCGpcpRcvcOrQ2knDtn+n3SwliyDyCL6/cn+5kWbR
Aub4g3IN73lz9jZ0UzNEribJLmE8ek9KoAZbt47as1yl/UYczWrfeWK/qT2qiGUuq7uilGXHEHSU
Rryo36kkr51MQy6tFJRqh3SVQqO9ajl9mOvHou/FSSXC38idrtmhH2aPYlJJB8vtoLzz0PtK9brZ
lfirXWD1wzbPh+hYhnn4VBWBZrd0D7zH0mg4LpMC/rPDiXt++ikqpHhfJuiMtw3FRqGoN54g+w+k
tvMHmfT2qRpLBFmMptnfn7LJhc9nTKHojvCLSLrAmnzwhyu0lLlt+GF2GdQk2SuulO6I+XtHM0gx
90ks7drSKN+tuFnb97eJe/aGKlLSIkAmnppHx/5oKVWi8m5roG1QJaeV5L05Hrvg0mv7qAw3hThd
d/mOdufj/VEv+HxuFJpboL3kKXdz1wrmaBZ1mF0606R96nMb5Bdj8skr52zJlXy0M7tAZa2RM9TV
s4tb7JToPT2JqmAb7hdzogxvf9RrrOFLvuSjvdn+r+lv9wDfZJcy+Ga2nzqI6q2HKCbzyO65P4UL
Vw2pH8CUk2jCBNm83jiZEXmgiaz0UsiBemzNgMqLiZJyF9e/71tanEQYY8kxQaV9oz7ntkkWpwmD
UtunrNcck0K5HvrQ6/0kzf0fqLFqLRMqL42OdDwdUMR80KTPFk6wWgLPVsBB+hspP3qBb5vl90B9
6+TG1uJw6yUHU4t2ZuZkrr/pCLhDWzvwKrUj4cFrHKJsOdjU1tMgxg96i9abBrzEfLs/NTdcnJN/
Jc1C+M9aUAmcOfLaNy0/tHB4+WZq1nUAkGalQ6DtbcVj9YX+FpTf/NKm0ff1vumlVfloWb5ef6MZ
zcDVouyS1qaTj/quyqPNSO1HMLtd7hZbsfA/0wa3cqKWdjgtaRNzLEUM+l2vzZpFIvlKmGcXk7aI
qk0cP/0TWD/1+C20Pt0f4ZJr/GBqHn42eZaWpczcaqVScjXATyfF3bOpA/RURrncwo6BRnicrDHJ
roxxnnbpqTmlQpXhk/v0ddQbe5Ce8iLf9MGXOPp1f5CLy6jg+KdX2yT+dT2fkZI2o96W2cV3Azsv
Thkd4NFJNMOtbAUvXfwslmvpmSWTOmsHgg+AM9qV1yZ5acm53kT5ZYQfH+q04pBqSWJLSqE6sd8P
j1areTaVemHv92N/qH0/2xUWKhidMsJOqge/xs5qNlWh1gdTauND6ubtQeaKdyU/2dyfoKWrAgom
yjiAFLgnleuvbS3RJaHILeX2VksTXpIczZi+YC8TPKgZyzWA85LnmZ5bcPzQgEkb7MyeOebxKCT5
pd8de+dfO+8nf/Hxt89O7RjHvRK4/HbFrHZS9xolX2Pt6LoQ8cA3uW+y763pbXKTTpXL/Xn825A1
jzQQOEHODuQ9Utqzd1aTp9bAIcov9Zhv3egRsqbXWrEcNTC3hdy8NtEv6HL0/qEvPxVxY1vnMX4c
tNjhqUy03z364l6IUIPrHqBEh3L7wQvtRFjjvLk59VSUgWNNSX8QITc9COIY6pkfCvlFNwbo+gun
d5/N9qkSxUORhW8k19OVm3Tpmc0YSLdTR6GYMucn8NW+siyxZ2Zar937Zc+jP6Y1Cdmy0QlLOX7w
uffsXu6LQ61pw4scDsk+UBprQzlQXtsj0w67WSicAT1TU3Z9DqpRm0JqIiHPL2rubQvpUBW26x3T
/8PZly25jSvbfhEjwJl85SSpJptVJbvsF4bbbnMCB3AAh6+/i77n7JYgHiF6Rz+0IypCSQAJIJG5
ci37oVb89VW3FyggvpQ/Je6xLf+NVbRlaKhAgtBEFzwTGbJlWJ26jUmuRgDWNyCpSH/RrPWc1Py7
a+fKZ7Pzvayjsp49xUmfp2nyp3bF7a98pKBlM1h6bJXfvQ75Jil5zN6hhWZ0YC7w2gUpm/B5LZS1
LDKPbTy103dEqq6v9KCPMJxqOGktqFD00gE8jCtGqIxNL8mE/Ik3xNnBSqB2A+Kvjfv7+lQYnLFW
nJq1YCZdQRnK5go5x8JJx28u3jtPE7OSrZtlhTol9tORcwayNJfr/WkoCq31FjttH4nRp1/bekSZ
Hw7Fn2bNaKetegb+8Eovv91f0d34/g8IHYcn2jVEHgWrIClrDQI/0paHxpxPFku8okbYO6Vh9aZb
j1nir53hg75KEiXsZSfwuAArFyJA0M2L1F8qWPOactYwXx/lI/Uc/Kejdi1LSfwfY/zHjnB9DuVc
2oULO1b1206eM2dT8nil7be1c3zgF0LX8lSnf3Flkf7tNYFdstGwb9Q4mF7hNGW0Z7VdYbvkgCOC
c8fOflXSLgaZEeEucmbqIn+N20KL07Xx+HufPKeT4/GuDYriWNGz/s02n0rEmwCSBQ2CUEUSLWzB
wLXj43UImA/wMeh/uVlIZrLEGJYJ16FBI73i75zISLt2nAUvQegeIAcIDAA29/XmApE44XNXsVhd
Mr9E3wttDA+tJKe8espSEPzZi8/IlyaRjO02zru2u/394u1NsnICvhJ2Letx7R5m9WC4h8L2dRlw
bG8dkRXcQKQ6GlJFiFzV6I5SpzWLe9PF2ykbE18xdYZ+2FSK1r49xzEoXPM4DpHygZze9aC6WRlB
kduxuIaIaz4Yzy1k4e2tmy/FdcXaY1soj1oC+lq3/iw5cbZYTHQWUHaC5Aj8iBuK6do2S9aFzWgO
i13AZcEsgEDDJpkF7GHhuejJnNnSBL0Fot6i72lYz3nnO8vUn5q+AzsxRLwlV/tNMIG7DGq3loHy
CFA1YoojwWlnLhNhsV5rb0DHvlq8xvzbPxtzOdVGfbRn2cm3XUTiHGwZPRgFjy82z/UcmBoHV8XU
sJj3RWhnEIGw2tMyxUija2wJJoTWKMT4JRh96wVSoMkqGfOes6GFbEvTbj1rhvAB+oh+EVSf4GzW
iMiSWuDctxA5QBhQNtbb2Bw0Ehemtk+52EDFUDVrqUIThTfr93kuECr8Tif6O23Vh9Xu/E6fnnLL
9YmxeHNZPfbc8NPMRvxCDot5nFsZ8mtv7CgUqaiFofJyQ8s4lsxlpU1ZDOoUj1DioRLLW1nAuDds
cMJu2VuodONNcj3s0qCQiECuJ7YSfuhbzeuJ+3drtEewFYSSLbWznZGjA4RtW1ADTbnXtgxG9Hwe
3S52EiVkpPUJd2I6dN5cITu3cuW9aRQQRbPy2cqi+8Z3zn5gz12C7YMeHSCmrm2j6tDYIIbsgHV7
b6yfiy2JUHbmETkeNHJpAAPiCt3+fuE+rUbqmaxjF6ODWtGA6FifNfqcygBLO05xZUY4ETNjHFtT
hZnuQw+Mz+P7/Vna/Xlg4IFkQCoO9enrUXT9oo/ruHYxRRMOoeECanIIfP0XRhB6IpuPCjN4Da+N
9MTOaQvUbbwanc8ySAShBD/925a2rQkG8Jr/WBGcjY2poy4jrHSB4UmOpd3F/ue3xaoOyfkAjQOs
QlHxyKaKT/TfTPvhZP+NU13YEWOmlOSMTrCzDicnAXFT2nlucWhL2Tm7g0XYZgsoP8gX4KwXU/dK
PRZT0WjYmhToB5Dn6Bz1g8rLFUCQPBdMzeDVrQ+IPrMz587hvkfsz+c/1gW3o3ldTgwCqTF0eHxd
R4rRAgkyBzMAiKjvm9qWXbjS0GKBex0tQ0gZiY+fejbypOlpD+ezSKQzhR4UjYOVG3ATOqktuCA1
sunWV88WAG3hfet7+0sHFxMQKLhOIcp17frAezVqg6ageOle0WsTUV5469JIrOwkAbY2S0C6/sgq
ARF4bUZR637UrLaPWa6i/ZHxqNG1CLpdj6Y2Rm6qPLXVERRJJ9cag2LVI9NUjvdH+udlfzPR4PqE
wiMapVE/u/4GzQadlep0fQz+8G+t82wC108UEi4u9SAvOSLh0tZKYE6ap9l97TGVPSmrfsy6NOLm
u5rJkjG7c48HDkJWEIUBeHP9QVliOc0MTu0YrWKrmXscDdTZKkl4bKO6GfWFEWHm02ZBL6jK+1hR
1sNiMc9ZXvTuh5O+qgQ8LZKFlg1pi2EvLh0nKzSFArMXK0OL9syx9BYrrrRGtmn29uf2NvzfqRPD
MEqUArF4Hw+JZ9TvrrN6g/ZRS4+h7fa6nT20tkIaCyyxYrzPSWtkI1qvY7ySoG6khWl2AuWT16tG
uJiSydsf1D/GBAfNq8aszBTGauu3635LnTOq1jqSx/c3wt6BsxWrwc8BrKwlut3MGgQN8zLEDO8j
Uv/k5gcHVHCaD6R819LHsvm4b/B2928AS7wzgbVBotkRn/O5zlfNhGgsonbm51Md9CbzGBovALB3
ybF8KkZ2MMvcM4G0+bfN0GAO3gApW7cf0GOa2KLsLGmalw1yW9Q9I6ArusHrufZv5xR5VRDXo80O
4SSILoWlS4fFJKtlIWExvs6n9DRakZ0cVOVRpzzIZMjVm10mWBMiCVoqY7kQswVOL1aT0Z+M3GOa
DFB9W37bzOAFsvVMYPVc4XyyazcpEtdpY6YgD2NPFvOpzR7mlCge3mDG50kv0ESBh+axcurmoCma
Ejp01KNuGR5xWzIPKZ4pyLZq+32X2p0BoMm2Vz/weGLE5oIQtMx40saZb5S/uvXdkjHP3ez8bfAX
FoQ5XmgBlbcCFvoc78m2jnScl9T0oDP7rKeS4dxm2q6tifHbyMy0G3tYoy1aUEHfbRSDDzEyv2yc
Z9Jwr0N2cSgyD6cDs9Xj/dm8eYoI1oWFVoZppcNqt7GpJKDDtNbEz+1WBhfY9sDVWQorgG6h+IOj
xwSxlnA3IMhxeIIxOtVhbY+FeeQKOidPFUp/tmQ/7k4ornkIQFkIO26awPV2KUZ3LllsgkYDjee/
7O6NTWrYltD/DDpbDftlGraaWwjyivj+fN7m3LahQmYItwaYbwHDuB5qvYBYrOowoZkBTZPmN3oe
gsYY3jOziedCeea28QDenVdrldF73twhfyxvfU7oGUZiUYjn1qapVLNMWTwwchhAm6X86Hr3AEK6
0/0x7u1AgGpUKGxByg2Ur9dDLLIObEQdEiGEQtE8ZY7uZ04HmASqiZLdceue2FtohgHT3SZWIlYn
+Lhww2lUFtOVrv5sMwtRxSDTQpZZEUKXplZMPuQWi2ctSBSPseD+hO24JNKTfygI8QREnVLwf4VS
C/ebzeLsvR8Lr5kdb6IHUL8vme5bSTSzyKleqPLlvt0btUHUnCB/iZh7YwUDV4dwks2DYRdqn+Mt
02nAymQIe80ZAVNOWuUAshcN1WirQNt/OQUT6EvQaws1JDRGIDrg9AzgLigZ06591Y1sDruavK+g
pz4uUEn1JzJVUaWwiCUEUZFBXhsjzZ7LxdZBskQnMMUYPMo7B1SdttJJHGP78usTZRsZNjgKruBU
E/uY1pVxR6cZUih6FxZdFqK5JWpARf4Z+b8RytaeNvLw/nTenmKXNi2xyRKSUdDgWtMuVr5W5/K7
+2X0KrwZJOfXnjOiIO9aIHRF4VR8q5hociidqkXaA3qJPidgIxhWwiRvgxt21c01wOKODiPgTfAu
2j7jIlxX6q4BsVHTxZr5mGb067z0PtDYGzU+kkeHoS0CS3FBpzYFBHrQabq+ZCuaJCFN5eQ/dauC
r6AJrvFbZHtL+qmdwESAQnbLPu7P+u2xtn0o2luhOIFYXLwfS71qUdqvurgq39b5MT0n6MtTJc32
t1c+jCAi2ZhmQaYpNqADrjCvroOMnJZ8ZsP6VOTcHzPjARnnwM0kzAq35yeMbSyAoM5RLQh3XE99
nbjgfSk7pOdsAJtKdiRFgtBKpi+xawZlQrRfb8UfsTiSDdigWk+6eADNUbA2To6Cj06O4FaQUTvv
Th/esaitA2uJhN31iDodRFGzoXZxrz3kLgEt1zFDJxlNv6aDZPL2Nj4qPmANQfM6CjHCUZrnjKUF
2LjiMVd+VZuOA17Ok0c6QDtUZMpJ+5UwGZh01yiKP2hCAnIaHWPX42vWJkWLA3JC9nhIEnDW8twD
uVvj64hhKvtQjr/uO/1txzK2J27W/7Foie8mspJGU2oLDnlQT1QJvuq+ES1RGXAvCRp/9iEWEHYH
/c3xE8kxt7eYl6YF90wma2irVcFiKonyZrrsR6YOQduxyrOrqQbBhu5ICly7JiFjgSwRjiKEitfz
29ksrYstP8PKkxFSHOGDip6MQ1pJWx1v8v6YWHCMgtIZ1Debs16bgt6KirIhkiLL/D1HsO0XRqSV
VqCap8wxI0Ze3U6mm3PDjL8dttBd2LhNcb4gpLk22qY9Mp551semGjTf2bk5L+fiU3JSfDsEg+6H
pgS2jB1z7x4BeBKvXwTe0GQRbDqZNuhqw/oYqAuAbYZA/bdkrX9GhSMTDDVInaNB6npUVZc2taHO
PULd16L+PvdHit4INwvRCR5mae0bmSzJtHcFg8IRKCZYRWSzOdLFreUoZWEsnY68WWo+2B9FMx7U
VwpOZxDRfMGTURJlyMxtf78w16d0tJPE6GPSL14C5RjOQLVU1j86/VnVHlvkMe7v+12DKK2i/Icm
jRvEFE0bWxlbtUdVylyj1Cmh8A3h9ENZ19XRneYhbAbUxRIoA0rO1b3bAhHilqhBbRWP6+uhOp1e
gNnQwsz24xaQZn2U2kUVNOlAg/uD3PPMrelqox1BKVdkw+UZm5cuyYeYLg0Lh0mrPTvFrXHfyl7c
cGll+4qLtdPVVS2JWwyxRRMvL8zQyF7T9GywTrJmu4ZwyW7YLtDQitU2a+CmOyTjEHeE+ZqSBTo/
5+rXwZUZ2pk3SNi6W8MYsPBgGLseUd66XTnYGY+1qlhDUo71i52kpQS8seMICLLwWodQ6IZGFg5I
TpMpSzlkIXDOn4EBitcM6ptmdri/PDtmkJTbmuBA/oN+euHNVdHa7fTWHmKe1x7K6h5mTVdlRFI7
FwswwGhthQgbnEFsIeXESBY3r8Y4syAYr4x14bdT/5sDXhlVaEJ8aierlxwauyND4gzR25aeEnv3
y6LSVKZksJn/NWSf9OpFySUPux2XwyWC2i5oJcFm4gjHIKhr+9kB4C3uCQphdDK1QGmBHx0hbBj0
gKRJXHzH83SAPPDcRzUWFLeCTwA+5C5aZo5x3bssWgZrBUsSaFjvu8TeYmEPgf4Y9VLUrQWXMJPV
TqxyGpElAslX0j01q+nrryprI4fWr/eN7b3J0SSGIw0bCalh8SrpW06yNDen2K3U+SUbKjNwlU6L
0Y1pHhW8Z/2MuWAGZYoWUZJrD1yzeNSVYOK6/yV7w0ZNCh3OCH427qfrbc2MAnVuu5hidbDqg6EA
F9+pc2AN9btmlZ8WuLfEQ3ey8oDYIReHVm/0lIFU99qk27d97xoKj601x90JhGrQqXkeuW05oNbZ
Ni/jUJMAsYXygvumfaxSFykLgqYRYisyNfWd6Prqa4SrR0EyaeaTxeN5IG2gN8kQcstVfJBH1cFc
6vnD2Oro4xv78UHlqQxZtHPnAlWEYAJY5Y3wUzDvsiFvqqqa4hoXrd053+3+eagsfx1+r2w9ZgmR
ydTvDvjConCQoxHThcg2LNIMUlj8GzuXSXfcOqlA7Gc/LdnX+x62c1wg7Yrua2QFUekVL9wGHQd1
YjVzvILOt44nd/aSBbkfmaD7zslnIEeHtmY07d/23Ok2N03oUsxxAXr0EQp4qMo91OrH/dHsWEEp
10Dvkom2I3B9XjuvA9xdR7VpiTvTftIV9BqnBg2VoZdx5eycerhtIa8LDCUagsWEKpmGdAU73BoX
3FIeoLPRB6zVmCTwurWyAR1ceB9uXfxf2IvMmhYGslkeK3kDgGbnGTI42e2EwQLwtHi8ojUFuYzr
CWNZqqRpAnfrFxa6DJ0Rtl340A+WHSvby/A6KbcZQgwEWAFiOyIYKhGWcnUeppgsz4qePbEGxIxr
8boV+jSvXb/V2d/J9HOcZDTdtw6OKtX2DnGgO4YLUXjrGDnVjIT2czz/zN2QA/U0BqouuQT3pnHr
JrKQ+saCmcKu1VOeqWirneNuYVDoHtDE3PiD8/u+d++4A4D4KJJA0gn8zaJ0Vc8V6JFDGj0m6ae2
Lbxx/eu+gdvjDq6AThX8OiRq8My49gaV86Kz6pTEnd1MYVsQAzkUa/4MdF9QV5v4IYTAwnkyK8mN
u2fYQVYTrzeg7nDxXBu2e1Ol5ZoTQP0dr1sia4YYmuLPxM85sAlUxr29s16o/2Kl0A+LTKfYAZY7
STkZPFtjNo8emY5Wyb15OdyfzW13Ci6PbibkDHFQbL1mwu4tkaLCmVCtcbMcq/6vTDf8ErrceEGZ
jcTUjpNv+lMI+8C9DkJyIS+ztPU86W63olPDiWbKX9fJCiaIBdrKero/qh0nNCCEifQzJhBc2EJI
gnxw5+SEk5hX1PXtkWRB1zGZAPPOAqE+hzZp7Fk86sUcfmJTCLO4M4nTavJrGq8p820Za9fmzsIC
AQEPxl/4PEjIROXqMu+UIVF0ErMqXNZPSun4kIKCcvlB18HiWiWhRn7cn72dhQLRIPjrQUoGviJx
oYAFT8rSVEg8zibkmPoKfMLFtHqlxU5D6RLJYu24IEqq4HMDNxn0UETCikRlhsEspsbVSwcFNGbb
UaI+OsAzzbWM6WPPFsh4NBNHIHIFIiimGTW37RNLjZGJz/M56Ofcz8vsU6s9Tm/3Z/GWNwaEHyA7
gBiB4aKYK/Lh6Ys6Fh3ttbhVjEMyP2dKCr6/zrNA1NmSv5beA4c+CGLUyKibZ8qTkGR1uE7taczU
lzblEUncr/c/aucMu/wmkdJzNNE828ytFpdtHq55MCeRYj0MxqFyzqMxyC7U22Tlll5Ddg1JQ6yu
2KM5Z86Ksm5JYsU60rTyEv0972gALja7eimVM4q86NSM7o9xZ/PjeoCo2KbcequLnTedMQ12rcZD
tWTeZPMZLbOJLjnNdjzpysq2iS7SM3ZlcHvtCzXextWY6NxSB4jOrH6qLZ5eSFjl9qwhoY551PDy
Qa/otbUKKa+sZFyNexVk9K2vJc9oC56HoOolHrKz+bd3lb49qzZSl+3QuxiXZpYtSVJDjfPODs2C
l9ArKDhY1gFhraksnb3jj0idaDht3A3sLZaSmDnVk7kkauxOfZBY6Qv4OgrzXeXfVQUad1N83zV2
Ho6IH9FTBFpC1FwRcV2PbursktYUqAkNCTXG39fmt14Pfq0uJ9MM50aJnARk1eWTW7pPPJEx7O+U
Rbb4FYlcXLaImMUro7AHajkpw/6rfi1F+nUB1SPEU07KYD20tu4tgCGVnX5A5BQVKvnRz4ufWvzE
mhj0huc8yp7aV3Sc35+WW15cHLuYk41NC1pCWP/raRkp5KGYjeRBM3SBTmHT+Nw5sTpF1PlWFFmI
1L+DQlX59+h6KVonOsC06ZmD0bonf4Ng/alAj1niyj5sB42yfRhAvoAWuiBoEtaLAtmQAjKG+cLj
ZYG6U5EuQZG3nm2PYTo63mKA4IUuh16qrLZzjNgIVZDnRZEeoBQhXFHZRI3BmbR4HCGAyxXOgExX
ZFWOve2GhiyQQoHsZWsivZ75aTLVGvAlLTbYl3kqArNfkcrQo6SWsaXtHCHb7wMYDmzY7VncF7me
OXqlxfWqB2WVBkC7gOon9XKQ77ROeN+l9q0hSnY0hMx47F6Pq0pnHXwnWLiqcOyImXjWpGiFjWYQ
kHozUha/lSmr/30kATVZEHmhUPUHeX9tNLesMrPtRQOo4otZ2wHg0eGoPE/DeLBqWdZnB2OI2wVP
UoTP23tHpCIxumwcoGCvxaqyhg1kJEdwyFipHq5kCUCk4CdWe7TylzT/4bbFwzj9atXjpIOCZJkk
G3jPi5AYATUB3t9oPhVme7Ymla3aqsXOcnL7rxN/L+y3RaY+sWvFQMrCRhM+bhzhlFD54trzAJJs
UtDPKp+f9a5qDqYz/JW4lgyscot5x5m0dTaBcg91iZuWrcUqqqbEiRVXPTLf3cEtIyDCI7MvH2bS
v6X5a81/tm44jIa3uiTU6BDQysa/7cBmsk7NnbFjh4KNGo3LSA2I8nZrPc11UVMjbqqDO08gCao8
c34Hj9X9fXPbPAKc2KUhYZLTxNRrOpcwZDwqExAqaRksI6Td3flJr8u3xXkFr0mnnmoNYlYr/VL1
ikSZbeddgxZtBBq4l/G6ER+ehc3XFnQKRrzWSRrmQ8OPSdERvzHQTnB/uDuH7KUpERwDWfGcsGI2
4qohT8pM30uwKN43sbdyW28K8H6Ab+LdKRwKINBvq9wwYlIP5muvocRbTY1ymqHZHhnyKsCePSwh
Mkl4FaK/VLBXQ2/NnLB7Yr7UYWcOgWWfW9MI0kFS6Nqbu0tD24dcRGrqSMoC5wHmjoEhps69yYnv
T92eI2CrAyuJEw5NBNsXXFhwxo7yWevNGMUgBjFyG7BpCXBpb5ujAPCPDWG6IBHV2qTqTBiYw6X1
s/7kKuWjmvTRQk6tBizx2r64NBjnz67JH8buUzueJxJ1aHq5P9y9lbv8FGFCyUZfXgE9gRuSho3W
+9uk5pBkcWW3/u7E4pJCIA91BeDkrid2MfsFb0ZMLKXgAqtBBHXWCkledi/WRSIbUR0q1Rs3hWDE
tRgDAYBtxkk1UOqVao84szWR2rQ7HjSJnj5pKn/lRmVToN3zk56gJaUZ7fbJMTJZm8Hu5OJiRmcs
GIpvCHpNt9abmidmPI+Henzk/ZN5ljqszIhwD4K5LlkY6A7jRoNM1vqYZJ9pUvj/3fpdDEZIBeYj
MHaEu2bcla1XFd8NMCZyRRLN7DrJhREhiYVMWpWXkOAAhcVBmyEJ8gqFn/sev3eEoAT7n0URNngz
pnWadRgH5qo3fk7Ov+6Ixm2GFYeamQuiEVW8ShIXEBvidlacuT87dQUc9Nuqj3i1/r4/kJ2FRyHl
z/EO4swbSpMEZFk8N2rYyUBd1UPNKIT+Yxc2Zc6e0TomG9decmfLlqIWhVZPIPkED7DbfugKklvx
RL5pPcR17Bd7eqz7+oVmqW+BDLdcrM+5dSgsrzLtozOc+NkowZcU1jKS593BI7+0RSdQ3xVThKPR
rEUNzrc4weutal6VLgns7sVdZL0eO+4C9d5/DAnba+xGpwXAA+5ipR4qr6Dz/vehBxwFSRtgiJBp
F0voJQr4ZE22ddRmry2QVgfmLHn9L5zlwojg9eaGJ81SZsWd9rTYT3b1COqU6V93l4NMGJgaZGxR
FQciRbAChuTBSdrR2rYvyvQe9i+4yyVX1g4KAFa2VwhBxQWQ7u0ddnFF83bIzAW5jpjRYnmazOSs
gL8s4AxgL5vWBBz6LmgG8VpqTyp3nEO5liAbByarjO7P6s5xhXelBrgKrpoNaHr9JTrQukvDqR2r
7tk2IdxtRUxaKNs1ssnfgXYGgD0xuFryaZ6YPdhIuZ/A96Rrj0n/+f449nYTGg7+Y0Icx5i2pdrA
hKsjw5apP8b2Y6TofVElEHaZIWHpMjWb0UzD7FjvvpWZE6z8nI4xH2VlYJkdMQ5QEos44wg7/Wmd
zLcqXV7aPP+bE0lAKlsc4eli1g7lXdLY8Hi0ts5enzkQt/l9f3kkRsQXQz5NNFGb1o4LglIz2o95
/lAlwX0j25RcF12Q+0QBGA8glHDgzte+bI9DYtHFRVoS+qohzj3Nt8pFD7tmdf0cXRtZnmbHzBlk
+dA/ld5Ly4gFUTHAAxP1OCQJxcoVhf5tMw/JejY/raOXJKEDwR6PvtEnflw/FHbovzgnoH0fK8e3
nvvnwjjMc2CbYIIDocDDAIq1NvySRRVokOPx+O+m5c/HAUmwQZxtZAoFT0qbmdg05+ScMKvzJ46K
WqOWlte2meJpc9J65ToSL58VFt63fMOztpkGXhfVNnQCIX8q3Lcu1OXBBj+Rc1Z4Wrw6rzNIFH4s
f9kPXXlw1SgHidDvGYksX4dI6Ev+nuWSWEl0vD9fAIQNEoJgJEHXzrVPGFBEL8vcJmdq0gmbtVo8
jam23yY8k0R+N3jrzRYOUiQegWLEkSrcHcRkYzb3DTkHjfeded8/xvB7/9F6D+3h/rzedFiJlgRP
70c0BuukIufK44HplV7jbf8aQ6BSjtbB9dBJ5TNPD6Kcew+199k8jLk3vi+BZF/vrvDlmIX5zakN
jm4TX/LR/PmIZ9U7HT57q98HTw+FX0vVaLbjSNxqlwaF87cdUjbU+v83OAS2F3DuBczfxsfD1Pd9
9JTJrus9J7q0Keygok81PYXa2PnxOfrrL/fl8JAGPvHejpKj+CaNJK6rcBbnkz2OW7v8+ZFHwfrY
RsbJrwL+HEhSBLuuipIiIIhbb5Mpkv+bRdU6HLXWc+OBSv571oXd1/W1bDwr8fzFy8bgV/H3facV
T+dtbBtfKY4B1KiRjrzeibRIQK7Sz+QcmYqvviqr/xBrMhYXmRFhpSyNYxdSGKEn15ufQM/GwTjg
uZKb5uYhIQ5GWCgKWa4Zz3ByZkbUfKXfjJPzBaDl7BNoBuyQPjaNZ+c+iK0HJ8xsz/hvHMWC8h1I
wbb+FfGqmxrAmKtlUs9B5eH5XxoeM7yFRs7Hy9kvZUHxdnCJew5cgTbKmADjojBwvXRISTgO+iqX
s9KoIHd7VCsS3XeOG4bwbUIvTQgnGrOh1bkq+nJe35LS+1L++B6pXnTqHrm3vgL05LnPYOGpvZfw
eARIyfslsb/dRPeGKJxjTamggxZdHmdwYHRh5QXf3/OwOThBfiinBwuWcbgcFZwtSWj+krG/yyZY
2BtEnaeKOuZybun84ljNcVR6mZrDNoJ7IxS2BojNLA2V1OWspVHWDyEhJ6dlUZ+w9/tzuWvoTz8j
QFDAhgh7w+wy01j1Yj2r2Rma0e7wu1kjQ9Y9/YfBVhwPKg1gv9gaGqGAfu2UUAufq8ZJlvMX3cM9
oH4s/kf3EXx8Ur332at8NfVep2+5H4at52fe8vh27j/7siN772q4/Aph5UBPVxVdoSznrffefFas
x0lGPbE3n5cmhIWjuVqxqsbCQdzBK0GeqU+L141PqyaTPLt5l267cGPlheKHYW18h9dzOuS61sx1
vp6Lk/lRHdVHcJcUf1WnqvUoJKH+uu8ou2HzhTmRkc5kk5OVJSaPj97oPz7PWTAHUR2cGv9g+0/h
FITnb8mnrz8RsIXhj7cYPFwSZ72pVQtDFtnhpypPK2PN1rO2PDObQ4g9Jg7oyFdvGlXP7H8g96OU
uQxjs7OooGvA9Yvj1N265a5nGhS/aVmqznquXqwvQKCp0fhgd49NVKwnSNK+FJ4Cdb2nEoKwqSSc
uaEOx5ChcAZFHpBjgQhQxK3aFMQABRvJmac/Zu2toV9BLIp96hnrjyofDuv0OUO9LiuNtyHnp0JJ
Dgw5RvtjNL2+GtCJfWRJUA0/WNYEZvrbXFePfL/vG3+eBsL2RpiAghXyj1sfoeCK62pRrUR/9Nl4
fv5QEVA/4l6Yf84R3isUsUrTBfVL6mue/5YG8Zf71ve84tL6n79fJGiWFFwsfb2s57l/GF8n26vs
r0SJZh2NagF2nyJZk5u0/7YmuFxR6CLbK1LMw9SNwzlXrfWczGCXhlZM6oZJnoB+8AXkN9zIIJRg
PZD3Sgs1XUbQdFMU/2NdRQUeESEUoURStsIi+ZgNynoeH/rwY46CZjlQJQTFs/8W8MmT0bPtrq5+
YVA4NtcFvegOqKfOMzO9FnCGYfIb3oAYIpj/GsGq5VC/q8GPxn+mKXA1L4r6Sdno7IPUOkzGoctD
d0S2wgUBqWRrbqZFx0PiG1IKoGxHD7sQiVjg5RiUasCnqd53B0xtP/pSki/dNQHs7rbmNjKvgolu
SAq349iAlQeyg/Xonucv9HzfhffeiBYu3/8YEe7HEjiOwdJgBJrkgeY3PjIuBxyslh9Ea9Q+1Sfz
KZosIN8CONRwwBHA3rIH8lg/55EsB7Hv32iHQ/odoEJ0LF6fd7raci21W3JObeNnMeah1p+6qQwV
+ttI3q0pKpS/R8jcq5NXm8H9qdh7ViHVChZ5RCUA0oj9eHZTz4W+MnKeZsWbx4/cIyPxoXVZ0odx
hronnbysVqMGMjNK+4UWkuTk3nMBTRAb6SEAusAnCe4+0hV8VRnWIineRuujbWPrMH5xUj/LIuPd
eNNncN/3BBTnhx4kZVD/Gz+hx0RyyGxHpujZ6HXfFMpwrN5QM+AQaK2cWuQMWRudfGZfOjfIT30W
GF3QLZI86U5gBBgy8k3gG0dfr9jZazv9akw0Vc+qg/oJ9pFueGMveQft3aKXRoRLYmFMmwsOI25/
mK0vReeBGbviHxL/EQGx2/F4YUa8MEvOes1QFPjPYvu2+23gX6riMctix3ymc8inxlNP923uTh/A
CKClRwiti0TBzWxDfnbN1LOuhe4LTyU/fyPt9mdI//y+OKQBsNR5JI121tMUTKM9MfIYiOBWi1Ji
0RoKyysUYgCeWX+oU1eBbRv5Ty/loD0PCjwVZ89wOW4mI81zN5qWloaFmczUm1y8v8N6BBJz1pse
Nxi4gEAfMYx40UCiBlqDxGHQeW2TASoT1aSUvyCMNn7PUPEEQqdbcSMgpQTGZzSrOT+GZVlt0AEt
JfTq+0mtD6rJp8EHOAMp1lXBQ9iv28r8RDhik7DSqfGlUWvHCBYA13uU8QCFObTLCky8tZoU6tJM
+eimbp6j+0u2GzRsAJL/WTNdOON63lRuBRT4ORgAh/DsY3WokJVafQCa68N9Y3sPZiQZ/zGmXR+o
ZNIXpvBCPXdPahD1Pg/oaY3yo/N3pPnDp/VV84aX5cmJSJA9ju+FRyVIhRv4qehCQqV7BA24ZbLN
RclnRwkV0HP3n0z9idGwXT+nJJzbowOlTNpFhH2gRzDgVh0YSbxkUTnwsHY+u1TG07k9hm7OuItp
2V7aF4FbBrVB1lg4EWgf4uAhq0+Tr5rHjvenf+8G/3+kfVeT80hy7V/Z2HdI8EYhbcQteJom2Wy0
e0G0hfcev/4e9Joh0RAhjWZedvabYaKqsqqyMk+eczn7sxt8qKC6M+Qw4w0k5HaSr7eKySHTlFQr
O3UxWkefGbjCEQ6Dkmg2zQr0pCBfg4UWiNCqAbK62+CxtRszwYEakmJH73gLpG9WvAlP3XuuxsWU
cV5Ngk7e+3tm//iO2cxGuZ9mtJswTtJq9bGGftZW3qUj0VW5fLo9u4vx6AQ8mPq+GXCWz2zRftw3
Q5YyDj3oounFFgMdSUZTTt7zxv2oDvmoJueVJV0MUS6NztbUHYtkGMSMcXwbURkIqcRpioFerjT5
0DplbkBx/PZAF+8vIMrRZjE10iizGI31fGgU1zmDrBe7yUBFWuns/5bc42ebXtiYxR6el1dJzsAG
xan0SUx1OnUyLQMIe1gJaxfvLGD1cFvhvYbmoOu9hzVLhQrt/I4cm278LohbOluJKqYL/ZcTgjaM
Rk8aWiLnE1ZnUOTt8Vx0skxHpy/KSqG3y0VCHyGIEwgre2/N2mzqBt9rYi6DtdI1e4mwB3dKg0S1
el5rSls8Ty7GNR1rF8cWPdaRx7awJMdajRDYPxah3rbvwFLc9ril8xENaRNxDohW0WB8bYgtB8+v
ETY5wXfkEUOsA8KELxkNFWzxz9yHl7Zmg8qQGevSpmSd8UAjmFACQjEfHJTTFcg8HspNvpZVWXLA
S4PTel7MotgEgjQoMBjxLaSRLE54jr9uz9+SS1yYmKes5JFpM/COsU6j8ok+7l7bbfooM5q/kv9Y
PI0uDc2Cibzr2wEcrawjFKNNeTIkMB9dFhjitxFrVnh3PX9uzoXfkD4QV/x+MZK5ND4LLuQ+AxdL
lrKOr2xGF8omAGfBQUh6StUgX9nTq0Od3XCu0lcgSMZQK9DB12oW215+pKpNvguy+5Hu1bg2gsaq
1norFq8ZVFGgSj21TaHr9Npf+IovEha9fk4C7Y0pu6PJEtr6rTI/9A+QcU7tvvZ0OddAciIa4xr+
f6kKh25o4Iw4MDlDkXW2Qdgqo1zsUSTiarWsz2muDhq0gnUu2zChSYu7ird7XlOOSrDycFrKnl+Z
nm0Vih3KusaD1RE+jMgSjNHG9ix3FBm12DAo1UVLJ1iIVdeWTryV+STesFuWJiz+pkzK5HcjqAqR
Nri9vZYuxD9mBGih6xUJhSrpkJymHdQNCNKvJ2klF7C0fyegGnTW0akAWMC1AY8q8t7tSsZBS+dg
5tCazQEXUr0HJF1XAuTFtANkk9APgSwMGshmyztkQh17fI9YVGPeXe2uVjeoIJ1cdU1ZbGlQuDxQ
nQO1CvT0ZhsIvFZx5HUM4wB50kXA/SuZBgS43rXR1EFNgvoY56t0LtNUze9ioMtBBAQkJVTCZ8FL
7kp0O+QyHt9WAsEMIBf16ig8uiQ56tF5m23XYvul8gQ0y0D3iIhJQcVnZrFF7/Q4RArjRGRb7vad
GUukMFRP4+9vu+HiyYBypAC1HAwOnYfXbgJplsj3C5dxguG1o74oye68T7GyUz03y1BlwUhD62Wp
Bi9hty2YlUt6cT0vrM/GSfHVoLjZZF3cNpnJvxXeUyTbpXcQkBVeU91bemFIUwMhQjc84sGvfD3Y
PqjwR0PAOgNwhioLOL9CivGZS3VwvZMqQp5IL/dpZCUfVaGfQXuSIWGW5ZZgM2j39r5TD0CP8eX2
Giy4FyA7ExAZxRDwQM0uwGqE+FomM4MDXXMyFqAJgorpbRNLO/TKxuyea4akFVm0kTpgXjI6KjF4
it+JldM1Vl/uQ2/fU5oP6cE864ysODDl//kLZls3LQe2GSPUvbNBD6rWLMF2G1e83iM6A5t/7Xrb
tuAI2IlI1fUGryR2Ua1gpBZnmmGRiQagAG+RmbuhKbvqm54enIFrX3uwNVNhuLKYv4h/8QqRkYH9
l41Z3ClLAP8VI2Z6MAcz3Pm2b1f668Ej+NusSX+P5JLNH0TysjlDEly7vdBL9QaYh44YwAs/+/ra
xcNGYPq4R4H9ef/67pFMpdTErK1INVHYd3Dvko5Ulm+e1gS2p7mbHZKXhud1vqEGTgNaQ4PTjGYl
3knNW5c+x+LKy2vNymyvyKCK7doSXgSxOEjUFc2xSmRrDJFyoxvK+FOTqSCjDRY9HMSzXZP7/5zM
Rq21/f6QGpUJXgJyTzCbLzJp7MI4nz7X2oqX3BQPP6CSFFzfv7TKw54WBuj/AVcgbiLvnhXX2gN+
Drr5Yl1YmAf3DNejYY6HhYR0gyrvRRMdN+TwAOeMSfio7JV9r9bkI1F7+G1AUo3Ve9tXH1BW+Xoi
1KY2BZVRkV1XKY50a/n7n6Tvre+bLTMV14KXBvg+gO2QX0TWLzZCIzOzvXt07UQ19Tsn1COjNBMD
ymUkVTtCGamKoOO2CyzdxHg9/mst5uwfidwpgD2MowO8Ia8Ccv0KvdL9eDeEf8bZLi3NDkhRKpmq
UFAHTjDkapp0DFm2fVASA5Tz4qFGeUaUiC4OM1Zvj/InGLw135NHXrwnI5wmiSL+2H59AH89KQCz
9G0wEuN/YdF7cvxojFxvSW197Z6gnEXOSPWqUL3Tqu0qSmjxukIBB+hmFO7RmzP7Hp6vOM71xwFz
UT5kkZWdZK0r73junDCMFhgpWuujQZXs2/Ow9BwE69kfdmfRUCoKjVzHsMuaEJZ/rr5chaiJYa2c
0qt2pmPuYr7boOM6D4rMiO9qg95o6EdQnY58rgxn6bQEiQOo8FCHxLtrNpzW5QIWBGg0zAgfh8ND
YdqQlwy18TFLcQ9Y7t3Ka2txu1xanA1s9FAzYDpYLPJjKtQA66ldjHSiLWjtzt8rwh363VZGuVC0
AlUFktQoek5NrbMbl6J5EarVgELuWw2pv9cgMj2onZEmUtdoAxYX7tLW7KUTIC8ss9GAZ1tD9s+d
DK5wadxrurDWX/5TQ5lvyYn4CpQXCAkRrVy7iOwPrlJ0DDDWtKw2ZiHtQCt4ZDaJbZJ7tDcRozLU
73QveyQ2T1vu4ZG/e1S0rMJRuLaq03b7/S3IQ0IiAKQk87s9rMYxZXiMeh8+eydJZTZqbYK7hnxj
86847Q+l1y1js7O/k8CQ65XTcm5H4/3VeG3MzpQ3Blz3/l5RWxJvjw9f+pP+VqhPpdk7sWrFuqJ5
5/X35i9ClCmaQwKWRhMsWqWFOUai6+UoVijUAuqWT7dDlGilEkOxCagdvQKyfgORPV9Txj470JSH
y8odpG2UitljIKa0LaA0Z4b0KN21WRDjP8s7kxt56VDhLzTbecrKCbYY/01im3gbQ7kZn33tNtQY
+PkInVrkFTTXlGjCd6pLa6Gl4W5U7FP2/k1p1lawGyKra2iXaafNlw6M6OBPm+LfX2DrIs1lv8uQ
ga9GfWTeOeZhoAyfoKl3Zc+vGZoc9uL8lEOQC7tI9jut5LzyTQ6Ku1OOCc2ZFUOL4fzlkGbzGYpc
hiEhjSKlRHveIh5pUPrVyxc0Dwk6cioCuhKO8hZq3xT5tB5XzralnTd1jk41E6hwz5czKVvFixOY
z0sPEmF7gfviw4g0QaDy1LcL3ReaUvm2QMWRVPmG8fSIHx9uf8SiTyE/gOY5VK0Bnp0d6nWau7Ec
1YyTema0HYny9lQZZu2Ro6nr3svdZnOSXnDqQFHztmVm4QJTpr2HAjZopuFTs3VOKE4aS4AHm01E
9ki7dPo4YL5LJJhO3LEhK+He0nIrSLog7TJN+i927j6SYx5iKIyz5XzoCJGn8jtFj0dO7ghKIamq
aMU2VTn70bJuD3UayWzrTAzaeGgA3gY2iNlxX/Q4f7iSpZ20M5T0tfA+6m4HIegG+Hou1Fp2rT4y
Oe4tg7MtJLCpIPdItDnhB5PtJabURHkN7LewTfHQRlMslOR4EQfS9fIlLE2JWQEbSbsfWn1Ug1FL
6zWKhjUrM/fkxazK/QBWxkr1NofgFFm0zhHmg1XAX6eJFu5EK+ke6VxfcZelvPaUSUCKDtxFaKWd
3VWB6EPwosVpK4OKwZPPCrPLEj2JdABLir7RSgj19V8SVLUoNa6c7P220yzArXA4MD+USVPUOqee
DXKeSdqxZoEdZU/SxwTFiHSTke7oZ/CvWUAhVLqrj8fbZhcAEddmZ+s68j6VyhnMQtFHHDyNTQGq
2yuG3FllS2R0PeaSoWj4hMR/E+5p5DkEjd+1j0qkFeVKdPL7jMDHsBOFBKgMkfKY7ZzW66oIb1kW
4Z8dEH+7VrSZ/vvrjXL9+7ONghQ618XNiMGC5UaUbD7wVaQWVWHcpuWZh0Q9Xe2VUCsGOxv3dbvm
Y7836rX92WQjCQEyn2l8IO7LnvpjJTy4keYm95H7Nr5F4kHqVOkzIwMBfvX2Qi+Eu9e2Z1srl4aW
KwSMPY5V1KzaKidUduyfisoqgZPW+WqtlDAF0L9mG3Q4IPZHgymUVa6PjIath0gokGvnojoGWpNu
wZkkNTEaKKVO5M+Ry9LnpgpaDUJe4K/vUl/gSFxGokggOg9oYZsI3ACFDTnYjkmU52Twu/49Grvh
LaOT8TOTPHCV3p6o30cQ5uniq2fPgnEAQ7IiAiFUQpWQrkSLA2478rdCX0Frck2lZcEj0LQw4XYn
rOcvuRuGqXM5Q7OUEwhPfGHL4UPSGLcH9Ps6QlP+pF0GLCeoCOa4lCaWOy4d2gkDkwDNGKtDUdmU
H2lS/sjFWhcnapatpUB+BztIdwG8Ch4O4Ue2+XrtJaVRmgbM5M4YlaHpJ/Fb3/prWpkLMQWsQNpu
4miGnMicUjjt+MRzA591xArw/nhTlSTg9w0YZaLYNdoW3FxVOWpyYwTJM7hQm+SUpAURwo81bNVC
8QWfwoEPBFcIdEfmXNFeFTVgTU5Yx93nD4VaaIJuB5t8W2m6TEY95Qm3EsstlKBhEp6D+xjKvSg7
XM8x5ctDQwso1Q2njFTIDScqrzF3vXoXacKfiN+QhUZDNiqQaFjHwl5bw6NJkoIuBoggxk0EGGP+
Sb+xaqIGqswQ1yfNs4j/8757WuMlXni5oRqJmQXiiEXf4Hxug0GEvBaCD8fPCOpYAwks16630l2N
5O221jdfhQ3YvYOn48obbOEIu7T8c3tePE7QlpnEHptzDtOCmTg36Q6MXoBu6mOsuf7KybM2TnYW
glDsCLYwCuOkv3OtuOM029skKrpB3UOp82gPc5FArM3IJ8VaPW1xK13M8c/D4WKktTzyiRvBdn7s
awLiJM3bcui5U2lfV6FA22wxv2ry9CdSPleLO4+Wa0Tw0GKBYSnXojdejQ9CvxNU+gEBRhyuBBhL
tyDySmAuRGoQzWJzYaC0RnJNVnogVPpt36qtQj49wcgVDdjozn8bqzVIzNIBf2FwzpjDjowy+m2L
axcA/oH0LGERx+7Q4i5sut2b+7SJ8QZZe72vWZ15EhLdfV30sNonOzpVq8ZsxD81MtBGgNIDh/wv
gluqY5s6CjngbdjHmuJtyEhpNRMSgXUKjsiUndDyK5N+V64RswYbWpRrdWsKQguXmwDuYEBNcYuC
Q3D68wu3jf0oy+kg5ZxO7e34vbE9A/O5Fjux+JVZJHNpZb6IedbH6D+EFX6fEP6116Cl9lo8ZzbK
+GsJ/IV3K+57PFynNnewbM6f6EONayYWf4akJRZfIyRX+3v54aP7kD8cligMEbfsfjyg4dc3uJzw
9+naa2/h3Lv6hlno1lejEGUCviFC+w14SIIjt4Hodffur8kWL7y7roc7u1eCmA6lZhruYSTip+mZ
5Ilwm+9MV6xqrRi1sC3QQQLQ1DS1Uzr22luocnDDfrK1F/TPVS9Z/nW84SCKCqDiD2ThwhcbVvQy
hcs4pzSgR6QaiXUfmJVGG3r2AjfRbod1zMJjBoP5w9z0ORfmykiC8p08rREpjeq7MwGsxnVIH5rd
ubHaNcrCpXADh+aE5wZ+BhRr0ya5sCfITJFHacM5bhKSbtNyOivvw/fgBAoXwh/b8p4ed1WarY1z
0RcVZKtx0ABawc98sQmRTOuijnW0Z3Yz4qkSqnc+6Z3ujMTRaQ2vswAym3JUuAVAygPiJ36KbC+G
WctRM/h1DmBJoue0Fimq2wRaTMfoYYx0L5a11I0xB7s8Bw9mDiV47sRICMD8Tm8Hh4m3/riJM1at
MqsGCCTfRawm+eeOUflSFV85H89LjW4/Y9RRYnPFKZYma2ISAoM1khigxL/+ej8HaroTGtZ51EaW
tJYdqa1F43DEC69A9+k9u9UqCfliEOrcNr3Qu4eJuzA928hhVwjgesadM5zApIv+vVpzT62mECEg
3BNd6voLcm8qH5CXF/Ou3VvpamP7oo/iIQAypUnbHU+D6+H3Hpq6FBbXO0dCZHEy1WVIraIf9LTK
77602y9NzWZadAPghEeYetS0Z35TeCSiCLOnEaBZFr+Cdvkh/Z3fQGAmgAwbqAfRdjKzhuyb5JUR
rlbhuXqjH6Vtr7UP3F2kP0iquWNAIQOmtVPpnM+c45SE6E+ptSPI555PnrGyIxeyNCC+/uNbZgst
9QOXcpQMODYaTUHJZAg8lptfy1gsuTKU2NHZD+wc/UvpthUKKRrkkXNq4T5USJKant4jNEz1IHJu
++5S5C1c2ppdDAPVs+6Q0Ti6NTTHKGdeHd8Dh9IHY5e+yWSzsXL1W12xupR7u7I6O1FbVDuqsGM5
ZyoBDITZuRtx0z4QUTvqu11JWONtHFXfEtTq8/aAl5wXfDbICoigYgGa93qfBG6djk0k4qUhq23r
ke4cdi+3TSx5CffTusoC+iL8PJgvztFyDJiArTC4eAAoFwqfXLMLk42/EtEv9JRNzxaQaUw6HMgy
zbyRrT1ZSigMpUM72fDoPaF1+FiBkKG1CEl2H3BQPIk/WvJF6e9cRfzBZFZmU1yazstvmEWhlcD7
HhPInJMJGYW2pqiKBTPlRuVJKfzCqaNsePCgufElgr680bLGRbc4T/nSvvdG9AIqRVsnkHcdUgYd
IsXAESFCiEHEPKLf2YQHMCdrUVQiRUFVEHr0KB/bPXRT9N0yYYw8lSekH7HIJ7Ehuomkl1TzPqLl
5G7wm7wlXTk2L8DjN/bI9A0kuRRKcCS2Eh+yPI2PbFZCcqCo2bxQ0wFcTiqXipynV0A0efjf/vAS
ZlKJXCmT5xbFJwjMakkB4NwP5X0kcLGVxxL0/3LR+2QF1HzVhhcyNU7rlCFj0tYbOWUpO85TKSAx
k0utmrNxAz2FNKY7PS3RhklAJQDodOqXbzS0a2gidl3jqmjUjd4TTFVFJtHNNdXTxRvjj6X7pR7e
BS0aO0H174QPBQTCVeGsDKBbywhl+1tXVzzD81cScosh76XN+Wkji9WQouTq+DtR9c+HUPNOjMmA
FyLWY1NY2YgLNT/sEFSQ0UCN3f6rY0DuICAbpi68U/d3Wmvs95FVAJiUkWfhAAa0tyxX+UITY1Wl
MlNbuS2WRysit4maykTfMdscAh+4g9gnvMO3WkudxuwUPfJoFCoJbcOnJA6ERdW+6e+GNWzc9Mvz
SxPCcP+0PO8X9jI2yUch4B3lmc3ViHClyWa7rDWr9ni6fdotngCILcBdjjMVYh7XByp6QqHx3ac8
HtzPyrBvWoAGVqoXyyfdhQ3+2kaSD2wg0LBRGvstyEXAGeRr91+u4e1alegb6/xtSfajvPr+XRwc
IJM8A0w13k7Tn18c5RQ3UgPjjbyzDWDm9sRNgcuvNbr47VnE1ojoMeSm3x4cfeP4AADe/v3lDX5h
YBY5SUIfikoOA3JouaYPYOFz1qKkx6OcJ+Vk5E5ZIxIl23X1StD2E23eGtvsaiqkBA5YwHSm7/ev
BwNoLdIVwPuAbXC3K+y7uw1LtLMUEk9buxaXoqcJ5vrPNZvtut4L89DzaX5qO9gP3694jxBeR4OQ
fR9vzfz76SV5uNs4QJCcLOQQ/tSm/8P8HJVKMTnNdSGG3j4zu8P0AHC1e0kdDuca6EczXPGixUMG
DzbE/XieAmQ/m+p+zCqGCXCkRkA77gcVEsW1PjxswLPz6a7xOS7N7aWx2dxClCP0xkFAGoHXo42k
xvcW87LittMdMPcdrB1OlImcGmyH13subSMPSukxj1SFkW9pQ7VOn1az9mZbyiHgSY98BaTjQPM+
j0CxL2RBwgkZlKr7bbwXJAUvP3lXtgf7pdX9e7nU7lQuIk7rRNr59hiXIsRJ2h6SRJAIxRdcDzGW
moQrWpZ3QvG9GN6G7CGh3oY1qewFQCzeEBdmZmOkOKiciBWH0+t5OjV9tT2GQEwV5P3BIz72A0/I
jjqBl3un1iDfBXllYAyE0hQN3F0NKg63h73oPcCGAJ3KTAo6M+/Jfbag2UHiHfqVOsSdKTY2hLLR
QSGu1PaXDU36wgqejVje6/mV2IJRMtkXnFqTRYN7p10rTfU2snLl+/aQuEU/Qt0LlOyTjuMcVQjR
XCpPEpjK9EqXCHUejZFTY/t1b0Aw5Iym3S9vSk5B/eEUf+spiR5ApZkc0ZUcaKD2c25/z1I1A/Vm
8CBNOmNA4kzfe3FjuQmlMJ4P19L2nbqHPDpBWV8tn+JtshM2vqg26tqOZZduskubs+tZFlyfqqGu
iyOIQ/YD9FsToW5/NuBmxPwgO70uVN2aKFhP2uPKgJcWAE1HgK8A7QT47Oy4qGp+YjrAeUud81gx
uPhZ9u850AT1qQ7es7DPVbkwEX5R8O61JPziHXtpfXbH8kE7Zrw8TEPfa+VReZIgCQ8+rFD9Bvud
tTLW3yBhHBdIB044YeTH5xm6UXZ7hgpE3knQDlPbhemVaupLWhS26AuXtT7Uav/jttHFu/zS6CwG
aoIhrXKEt4jZH5/dPaBcZH+oiP3VHY/Hp2y349Q71bLUx7XjYsGtwBkAfADid/CsibNdHBWhG4pV
IjjsN0hKOqR5NXDV9JR5e4ALMd6VmdmOyXgvjuo+x2EhjLk5hjLmlApCdXBRgbhtainbAmg3IlnQ
CIJcd/5k98QoF8a2EBzkIsnEmHpvHk21JD45A8+6sjWmbXd1keJygzXsi4lkHRnK66MgGmnI6wle
54Az3tP8BgNrOr/RV8b067CdzECkAxJ003U670frkIkXSk9unf4Q3TEaZyV7pMW/QNdlBqqwf6p1
Xqs0pT2tDO+Hhf7X+C4Mz/aeEAhhCkabzvHEO7fcUufa5hI78A2gWtv6TWI/k0H1VXGHppvMiHzj
XXmLeT3B81yBnkhFoOx5X2jBvnCGxo6CJ/BTxKwa73yzdEnVojuj0iqEzbr3kB2yWG13isOET3Ki
+lrikTI+9LkpFGoVgA7Mys9icSwhUArp0IEioZW+FeBAqRTDY/HO5a0cbb6bACDQcJcwWsdqiRqh
RklSIPwEWe84wFHYmkR3/dS9vy+EhKAxCMX2mnoCmwnyArzu7/n3sFptbZ+20q2pnNb44tZQ3ADF
aFlqHQEN/Y9VoXI16JB3DMj88DHSSaD0ytfl+9uus+w5qEkxKIRDqnN+b0T+0ErTAjKGf5CQq3I9
skZlt2Zjdnq1GYr7ZQ4bW95E91u+Zdf29K9D+cf//xjF7ALq+3yQCw/bDGT1WnqoAVV4jOAipNi6
b7cn7DfWZmZr5vLdUKRCy0y2CJoFhcziYl043bkkJ4xaGN2WUc9KstKuuDiFgMDgDYzgDZz5186R
DGJR1XQEo3XVGI0LnauBiXo96+wyAeKor/vH1KfXGKt+40KnwaKYMUnRT+ors4lNsjCR0hZLF4av
9Ih+NRbdMHdpwEx44oomHBgne1P8DNhd/kUfSlmDrADhm5VgcopKf+2Ni8+YzTlwk0NKp2E3VftT
g0IZvMSQXT1APac4JBJn3F7kn2rpLYOzzRgK2cj3NeabL4zaJ4ICxYAgtEteqz8yAZJbEBDIQPmm
ikc50BM7kqzsg/lqO83HE1unPxmgCLOn21+1uhqz4L3ygyaTgnhyvSy2ouZeYFT/3csfFDXJCG83
z12wizAlKalELaK2wbByXPyus03XC9gZEOpBuAPF1WtHTNmkapJc6JxK3AYicsTH9Khwap3hyH0R
3JT0lpCS2C4EaCugZSQkyj0TPPWcMcg42fUezS8CcrkdtKNNrtuLvC2s4myWjtLpHpwILBGEz7P/
A6pjPJuK+EiokG/CHgsonlLeFmvT68042ETCa6UcBe68skBL1z0oECamDE6i8fK5nh0Or8qKEuse
6h07Jrivxl4doWzMFcEx5F57kQalz6ZkDcYNdQq6UqLyWjYryNf5UwBNjtAnkNGrx+DxheftzHcj
ypUqoUGT1TNvPsND5JDIL3hYmpkJhaZGBVJtsCAyiqZL9x7IKk3cp4CSCD9/356Q6Xi42Ea/PmU2
HxQgZUDzj7RDA9bORR2J6DuAud1kZczzN8DcEDM7HzlQMLQRBUMlGA4D5rN3j3KRQ6+c1YVSMOpE
TbZcU4Ms53Vo0pXTYnY6/TI+C/K8YGz5rKJpp84esjc3OY/0JmitgNGY2hCpleTa7Cr4ZW1y/os4
gaEpuaYGLG+EYo74AKEgyOZAaq48JNFab8fqvM62uxsrdJ8JaMNMbVr3KqOgrbRRexDuhGjr5lIL
YuKr9Bo/qzV3G+AtQKzAiOBK+XnwXw4xKAcJMr+gvgUWXTYhz2KEoNOGWgTQl8z7GsPN4ignSiMc
FRDeAczzekqbkAYpKqD4TsjrQqwKtRXaCmcVwxFBpB9/V4pZ4sZl3I/b22OuBfOzlrheaaQNwUYD
/O614TEqpNAd0H7GNb77KDZDZ/YsKmpZ6rGES/zhdQja5JGSudBmaGmwEmpAG16cvSRj+R0xSWdW
Ep+dYmDhDmPGArdEC2/5EGbW7S9d2sgohKOTiWNFHuLL1x/aJ7SfxS4+NKiMSSbcZ8xM4+RVWajZ
AfozIVOkAQSJOGGlZuFo27pVh3IGCEFLDXUiNTyCpfOYnEQ9/OzMGjT3lC7oO8kIbMHstMSmjQKl
MpCbniJNsSFagHg9MKi1AHPawnOPvPyuuYdkDOtyHL5LYr/EJLZao64CvUdax/NepQ7PGC5Vhb9b
/feP/j+8r+z499+v/vaf+OePLB9KaGnVs3/82/9rILD4Fgdv6V9IU369NX/Jvv9yrt/qoKqDj+o/
px/713/8t+t/xG/9w5b2Vr9d/YOe1kE9nJqvcrj/qpq4vv2nf/8qfPT0Q8csSOuH7NdP/I/+pZ/R
/rc/9Jevn+96GPKv//rrR9ak9fR9XpClf/3HH9mf//XXaf/++68f+hnMrR+IMWl184lfpljh3yR0
WWHTMdASmP7661/Azub948/BwPxvuERxHoA3cfoL7gCDF5P5383B/+hf+se6fMRfb+Xf/j8AAAD/
/w==</cx:binary>
              </cx:geoCache>
            </cx:geography>
          </cx:layoutPr>
        </cx:series>
      </cx:plotAreaRegion>
    </cx:plotArea>
    <cx:legend pos="r" align="min"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800" b="1"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800" b="1"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hyperlink" Target="#'Sale form'!A1"/><Relationship Id="rId13" Type="http://schemas.openxmlformats.org/officeDocument/2006/relationships/image" Target="../media/image8.jpeg"/><Relationship Id="rId18" Type="http://schemas.openxmlformats.org/officeDocument/2006/relationships/chart" Target="../charts/chart5.xml"/><Relationship Id="rId26" Type="http://schemas.microsoft.com/office/2014/relationships/chartEx" Target="../charts/chartEx3.xml"/><Relationship Id="rId3" Type="http://schemas.openxmlformats.org/officeDocument/2006/relationships/image" Target="../media/image3.jpeg"/><Relationship Id="rId21" Type="http://schemas.openxmlformats.org/officeDocument/2006/relationships/image" Target="../media/image11.emf"/><Relationship Id="rId7" Type="http://schemas.openxmlformats.org/officeDocument/2006/relationships/image" Target="../media/image5.png"/><Relationship Id="rId12" Type="http://schemas.openxmlformats.org/officeDocument/2006/relationships/hyperlink" Target="#'Descriptive statistics'!A1"/><Relationship Id="rId17" Type="http://schemas.openxmlformats.org/officeDocument/2006/relationships/chart" Target="../charts/chart4.xml"/><Relationship Id="rId25" Type="http://schemas.microsoft.com/office/2014/relationships/chartEx" Target="../charts/chartEx2.xml"/><Relationship Id="rId2" Type="http://schemas.openxmlformats.org/officeDocument/2006/relationships/image" Target="../media/image2.png"/><Relationship Id="rId16" Type="http://schemas.openxmlformats.org/officeDocument/2006/relationships/chart" Target="../charts/chart3.xml"/><Relationship Id="rId20" Type="http://schemas.openxmlformats.org/officeDocument/2006/relationships/image" Target="../media/image10.emf"/><Relationship Id="rId1" Type="http://schemas.openxmlformats.org/officeDocument/2006/relationships/image" Target="../media/image1.png"/><Relationship Id="rId6" Type="http://schemas.openxmlformats.org/officeDocument/2006/relationships/chart" Target="../charts/chart2.xml"/><Relationship Id="rId11" Type="http://schemas.openxmlformats.org/officeDocument/2006/relationships/image" Target="../media/image7.png"/><Relationship Id="rId24" Type="http://schemas.microsoft.com/office/2014/relationships/chartEx" Target="../charts/chartEx1.xml"/><Relationship Id="rId5" Type="http://schemas.openxmlformats.org/officeDocument/2006/relationships/chart" Target="../charts/chart1.xml"/><Relationship Id="rId15" Type="http://schemas.openxmlformats.org/officeDocument/2006/relationships/image" Target="../media/image9.png"/><Relationship Id="rId23" Type="http://schemas.openxmlformats.org/officeDocument/2006/relationships/image" Target="../media/image13.emf"/><Relationship Id="rId10" Type="http://schemas.openxmlformats.org/officeDocument/2006/relationships/hyperlink" Target="#Sheet2!A1"/><Relationship Id="rId19" Type="http://schemas.openxmlformats.org/officeDocument/2006/relationships/chart" Target="../charts/chart6.xml"/><Relationship Id="rId4" Type="http://schemas.openxmlformats.org/officeDocument/2006/relationships/image" Target="../media/image4.png"/><Relationship Id="rId9" Type="http://schemas.openxmlformats.org/officeDocument/2006/relationships/image" Target="../media/image6.jpeg"/><Relationship Id="rId14" Type="http://schemas.openxmlformats.org/officeDocument/2006/relationships/hyperlink" Target="#'Retail Store Sales'!A1"/><Relationship Id="rId22" Type="http://schemas.openxmlformats.org/officeDocument/2006/relationships/image" Target="../media/image12.emf"/></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5" Type="http://schemas.microsoft.com/office/2014/relationships/chartEx" Target="../charts/chartEx4.xml"/><Relationship Id="rId4" Type="http://schemas.openxmlformats.org/officeDocument/2006/relationships/chart" Target="../charts/chart10.xml"/></Relationships>
</file>

<file path=xl/drawings/_rels/vmlDrawing2.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5.emf"/><Relationship Id="rId1" Type="http://schemas.openxmlformats.org/officeDocument/2006/relationships/image" Target="../media/image14.emf"/><Relationship Id="rId4"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1052513</xdr:colOff>
          <xdr:row>14</xdr:row>
          <xdr:rowOff>80963</xdr:rowOff>
        </xdr:from>
        <xdr:to>
          <xdr:col>6</xdr:col>
          <xdr:colOff>438150</xdr:colOff>
          <xdr:row>16</xdr:row>
          <xdr:rowOff>71438</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82296" tIns="82296" rIns="82296" bIns="82296" anchor="ctr" upright="1"/>
            <a:lstStyle/>
            <a:p>
              <a:pPr algn="ctr" rtl="0">
                <a:defRPr sz="1000"/>
              </a:pPr>
              <a:r>
                <a:rPr lang="en-US" sz="2200" b="1" i="0" u="none" strike="noStrike" baseline="0">
                  <a:solidFill>
                    <a:srgbClr val="000000"/>
                  </a:solidFill>
                  <a:latin typeface="Calibri"/>
                  <a:ea typeface="Calibri"/>
                  <a:cs typeface="Calibri"/>
                </a:rPr>
                <a:t>Submit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25</xdr:col>
      <xdr:colOff>0</xdr:colOff>
      <xdr:row>41</xdr:row>
      <xdr:rowOff>0</xdr:rowOff>
    </xdr:to>
    <xdr:sp macro="" textlink="">
      <xdr:nvSpPr>
        <xdr:cNvPr id="14" name="Rectangle 13">
          <a:extLst>
            <a:ext uri="{FF2B5EF4-FFF2-40B4-BE49-F238E27FC236}">
              <a16:creationId xmlns:a16="http://schemas.microsoft.com/office/drawing/2014/main" id="{D8289CC8-00E6-94F4-B04D-FB088F6CA23A}"/>
            </a:ext>
          </a:extLst>
        </xdr:cNvPr>
        <xdr:cNvSpPr/>
      </xdr:nvSpPr>
      <xdr:spPr>
        <a:xfrm>
          <a:off x="0" y="0"/>
          <a:ext cx="16271875" cy="7485063"/>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52387</xdr:colOff>
      <xdr:row>0</xdr:row>
      <xdr:rowOff>38100</xdr:rowOff>
    </xdr:from>
    <xdr:to>
      <xdr:col>1</xdr:col>
      <xdr:colOff>181839</xdr:colOff>
      <xdr:row>40</xdr:row>
      <xdr:rowOff>181841</xdr:rowOff>
    </xdr:to>
    <xdr:sp macro="" textlink="">
      <xdr:nvSpPr>
        <xdr:cNvPr id="2" name="Rectangle 1">
          <a:extLst>
            <a:ext uri="{FF2B5EF4-FFF2-40B4-BE49-F238E27FC236}">
              <a16:creationId xmlns:a16="http://schemas.microsoft.com/office/drawing/2014/main" id="{11086024-08D8-A239-3F23-92991757045B}"/>
            </a:ext>
          </a:extLst>
        </xdr:cNvPr>
        <xdr:cNvSpPr/>
      </xdr:nvSpPr>
      <xdr:spPr>
        <a:xfrm>
          <a:off x="52387" y="38100"/>
          <a:ext cx="778885" cy="7417377"/>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399617</xdr:colOff>
      <xdr:row>0</xdr:row>
      <xdr:rowOff>18618</xdr:rowOff>
    </xdr:from>
    <xdr:to>
      <xdr:col>24</xdr:col>
      <xdr:colOff>150813</xdr:colOff>
      <xdr:row>3</xdr:row>
      <xdr:rowOff>134937</xdr:rowOff>
    </xdr:to>
    <xdr:sp macro="" textlink="">
      <xdr:nvSpPr>
        <xdr:cNvPr id="3" name="Rectangle 2">
          <a:extLst>
            <a:ext uri="{FF2B5EF4-FFF2-40B4-BE49-F238E27FC236}">
              <a16:creationId xmlns:a16="http://schemas.microsoft.com/office/drawing/2014/main" id="{6733237A-CD8A-4C3A-5CEC-011C3D7960AC}"/>
            </a:ext>
          </a:extLst>
        </xdr:cNvPr>
        <xdr:cNvSpPr/>
      </xdr:nvSpPr>
      <xdr:spPr>
        <a:xfrm>
          <a:off x="1050492" y="18618"/>
          <a:ext cx="14721321" cy="664007"/>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US" sz="3200" b="1">
              <a:solidFill>
                <a:schemeClr val="accent1"/>
              </a:solidFill>
              <a:latin typeface="Stencil" panose="040409050D0802020404" pitchFamily="82" charset="0"/>
            </a:rPr>
            <a:t>Sales Analytics</a:t>
          </a:r>
          <a:r>
            <a:rPr lang="en-US" sz="3200" b="1" baseline="0">
              <a:solidFill>
                <a:schemeClr val="accent1"/>
              </a:solidFill>
              <a:latin typeface="Stencil" panose="040409050D0802020404" pitchFamily="82" charset="0"/>
            </a:rPr>
            <a:t> Dashboard</a:t>
          </a:r>
          <a:endParaRPr lang="en-US" sz="3200" b="1">
            <a:solidFill>
              <a:schemeClr val="accent1"/>
            </a:solidFill>
            <a:latin typeface="Stencil" panose="040409050D0802020404" pitchFamily="82" charset="0"/>
          </a:endParaRPr>
        </a:p>
      </xdr:txBody>
    </xdr:sp>
    <xdr:clientData/>
  </xdr:twoCellAnchor>
  <xdr:twoCellAnchor>
    <xdr:from>
      <xdr:col>1</xdr:col>
      <xdr:colOff>404380</xdr:colOff>
      <xdr:row>4</xdr:row>
      <xdr:rowOff>47192</xdr:rowOff>
    </xdr:from>
    <xdr:to>
      <xdr:col>14</xdr:col>
      <xdr:colOff>417079</xdr:colOff>
      <xdr:row>11</xdr:row>
      <xdr:rowOff>173181</xdr:rowOff>
    </xdr:to>
    <xdr:sp macro="" textlink="">
      <xdr:nvSpPr>
        <xdr:cNvPr id="4" name="Rectangle: Rounded Corners 3">
          <a:extLst>
            <a:ext uri="{FF2B5EF4-FFF2-40B4-BE49-F238E27FC236}">
              <a16:creationId xmlns:a16="http://schemas.microsoft.com/office/drawing/2014/main" id="{37EDB561-FFD4-283D-8997-BF6B4A3DC714}"/>
            </a:ext>
          </a:extLst>
        </xdr:cNvPr>
        <xdr:cNvSpPr/>
      </xdr:nvSpPr>
      <xdr:spPr>
        <a:xfrm>
          <a:off x="1053813" y="774556"/>
          <a:ext cx="8455311" cy="1398876"/>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315334</xdr:colOff>
      <xdr:row>4</xdr:row>
      <xdr:rowOff>178234</xdr:rowOff>
    </xdr:from>
    <xdr:to>
      <xdr:col>4</xdr:col>
      <xdr:colOff>279368</xdr:colOff>
      <xdr:row>11</xdr:row>
      <xdr:rowOff>86500</xdr:rowOff>
    </xdr:to>
    <xdr:sp macro="" textlink="">
      <xdr:nvSpPr>
        <xdr:cNvPr id="7" name="Rectangle: Rounded Corners 6">
          <a:extLst>
            <a:ext uri="{FF2B5EF4-FFF2-40B4-BE49-F238E27FC236}">
              <a16:creationId xmlns:a16="http://schemas.microsoft.com/office/drawing/2014/main" id="{AB4D4351-801C-2D06-9713-26507A15F4B8}"/>
            </a:ext>
          </a:extLst>
        </xdr:cNvPr>
        <xdr:cNvSpPr/>
      </xdr:nvSpPr>
      <xdr:spPr>
        <a:xfrm>
          <a:off x="964767" y="905598"/>
          <a:ext cx="1912328" cy="1181153"/>
        </a:xfrm>
        <a:prstGeom prst="roundRect">
          <a:avLst/>
        </a:prstGeom>
        <a:solidFill>
          <a:schemeClr val="tx2">
            <a:lumMod val="20000"/>
            <a:lumOff val="80000"/>
          </a:schemeClr>
        </a:solidFill>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US" sz="1100">
            <a:solidFill>
              <a:schemeClr val="accent1">
                <a:lumMod val="75000"/>
              </a:schemeClr>
            </a:solidFill>
          </a:endParaRPr>
        </a:p>
      </xdr:txBody>
    </xdr:sp>
    <xdr:clientData/>
  </xdr:twoCellAnchor>
  <xdr:twoCellAnchor>
    <xdr:from>
      <xdr:col>5</xdr:col>
      <xdr:colOff>174045</xdr:colOff>
      <xdr:row>4</xdr:row>
      <xdr:rowOff>179821</xdr:rowOff>
    </xdr:from>
    <xdr:to>
      <xdr:col>8</xdr:col>
      <xdr:colOff>138079</xdr:colOff>
      <xdr:row>11</xdr:row>
      <xdr:rowOff>88234</xdr:rowOff>
    </xdr:to>
    <xdr:sp macro="" textlink="">
      <xdr:nvSpPr>
        <xdr:cNvPr id="8" name="Rectangle: Rounded Corners 7">
          <a:extLst>
            <a:ext uri="{FF2B5EF4-FFF2-40B4-BE49-F238E27FC236}">
              <a16:creationId xmlns:a16="http://schemas.microsoft.com/office/drawing/2014/main" id="{4511F982-CFC3-4718-9ADE-DB34B6E4D3F5}"/>
            </a:ext>
          </a:extLst>
        </xdr:cNvPr>
        <xdr:cNvSpPr/>
      </xdr:nvSpPr>
      <xdr:spPr>
        <a:xfrm>
          <a:off x="3421205" y="907185"/>
          <a:ext cx="1912329" cy="1181300"/>
        </a:xfrm>
        <a:prstGeom prst="roundRect">
          <a:avLst/>
        </a:prstGeom>
        <a:solidFill>
          <a:schemeClr val="tx2">
            <a:lumMod val="20000"/>
            <a:lumOff val="80000"/>
          </a:schemeClr>
        </a:solidFill>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US" sz="1100">
            <a:solidFill>
              <a:schemeClr val="accent1">
                <a:lumMod val="75000"/>
              </a:schemeClr>
            </a:solidFill>
          </a:endParaRPr>
        </a:p>
      </xdr:txBody>
    </xdr:sp>
    <xdr:clientData/>
  </xdr:twoCellAnchor>
  <xdr:twoCellAnchor>
    <xdr:from>
      <xdr:col>15</xdr:col>
      <xdr:colOff>616239</xdr:colOff>
      <xdr:row>4</xdr:row>
      <xdr:rowOff>10102</xdr:rowOff>
    </xdr:from>
    <xdr:to>
      <xdr:col>24</xdr:col>
      <xdr:colOff>138753</xdr:colOff>
      <xdr:row>11</xdr:row>
      <xdr:rowOff>147925</xdr:rowOff>
    </xdr:to>
    <xdr:sp macro="" textlink="">
      <xdr:nvSpPr>
        <xdr:cNvPr id="5" name="Rectangle: Rounded Corners 4">
          <a:extLst>
            <a:ext uri="{FF2B5EF4-FFF2-40B4-BE49-F238E27FC236}">
              <a16:creationId xmlns:a16="http://schemas.microsoft.com/office/drawing/2014/main" id="{BED289AD-9114-FDEE-265C-C00B1CC13C0F}"/>
            </a:ext>
          </a:extLst>
        </xdr:cNvPr>
        <xdr:cNvSpPr/>
      </xdr:nvSpPr>
      <xdr:spPr>
        <a:xfrm>
          <a:off x="10379364" y="740352"/>
          <a:ext cx="5380389" cy="1415761"/>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9</xdr:col>
      <xdr:colOff>56572</xdr:colOff>
      <xdr:row>4</xdr:row>
      <xdr:rowOff>173470</xdr:rowOff>
    </xdr:from>
    <xdr:to>
      <xdr:col>12</xdr:col>
      <xdr:colOff>20605</xdr:colOff>
      <xdr:row>11</xdr:row>
      <xdr:rowOff>82693</xdr:rowOff>
    </xdr:to>
    <xdr:sp macro="" textlink="">
      <xdr:nvSpPr>
        <xdr:cNvPr id="9" name="Rectangle: Rounded Corners 8">
          <a:extLst>
            <a:ext uri="{FF2B5EF4-FFF2-40B4-BE49-F238E27FC236}">
              <a16:creationId xmlns:a16="http://schemas.microsoft.com/office/drawing/2014/main" id="{A13CF446-5D84-42B2-A8C0-F1620FDB5F32}"/>
            </a:ext>
          </a:extLst>
        </xdr:cNvPr>
        <xdr:cNvSpPr/>
      </xdr:nvSpPr>
      <xdr:spPr>
        <a:xfrm>
          <a:off x="5901459" y="900834"/>
          <a:ext cx="1912328" cy="1182110"/>
        </a:xfrm>
        <a:prstGeom prst="roundRect">
          <a:avLst/>
        </a:prstGeom>
        <a:solidFill>
          <a:schemeClr val="tx2">
            <a:lumMod val="20000"/>
            <a:lumOff val="80000"/>
          </a:schemeClr>
        </a:solidFill>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US" sz="1100">
            <a:solidFill>
              <a:schemeClr val="accent1">
                <a:lumMod val="75000"/>
              </a:schemeClr>
            </a:solidFill>
          </a:endParaRPr>
        </a:p>
      </xdr:txBody>
    </xdr:sp>
    <xdr:clientData/>
  </xdr:twoCellAnchor>
  <xdr:twoCellAnchor>
    <xdr:from>
      <xdr:col>12</xdr:col>
      <xdr:colOff>493279</xdr:colOff>
      <xdr:row>4</xdr:row>
      <xdr:rowOff>168708</xdr:rowOff>
    </xdr:from>
    <xdr:to>
      <xdr:col>15</xdr:col>
      <xdr:colOff>458931</xdr:colOff>
      <xdr:row>11</xdr:row>
      <xdr:rowOff>77931</xdr:rowOff>
    </xdr:to>
    <xdr:sp macro="" textlink="">
      <xdr:nvSpPr>
        <xdr:cNvPr id="10" name="Rectangle: Rounded Corners 9">
          <a:extLst>
            <a:ext uri="{FF2B5EF4-FFF2-40B4-BE49-F238E27FC236}">
              <a16:creationId xmlns:a16="http://schemas.microsoft.com/office/drawing/2014/main" id="{EBFACFE0-156B-49D8-980A-8710019EF357}"/>
            </a:ext>
          </a:extLst>
        </xdr:cNvPr>
        <xdr:cNvSpPr/>
      </xdr:nvSpPr>
      <xdr:spPr>
        <a:xfrm>
          <a:off x="8286461" y="896072"/>
          <a:ext cx="1913948" cy="1182110"/>
        </a:xfrm>
        <a:prstGeom prst="roundRect">
          <a:avLst/>
        </a:prstGeom>
        <a:solidFill>
          <a:schemeClr val="tx2">
            <a:lumMod val="20000"/>
            <a:lumOff val="80000"/>
          </a:schemeClr>
        </a:solidFill>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US" sz="1100">
            <a:solidFill>
              <a:schemeClr val="accent1">
                <a:lumMod val="75000"/>
              </a:schemeClr>
            </a:solidFill>
          </a:endParaRPr>
        </a:p>
      </xdr:txBody>
    </xdr:sp>
    <xdr:clientData/>
  </xdr:twoCellAnchor>
  <xdr:twoCellAnchor>
    <xdr:from>
      <xdr:col>13</xdr:col>
      <xdr:colOff>378979</xdr:colOff>
      <xdr:row>4</xdr:row>
      <xdr:rowOff>17969</xdr:rowOff>
    </xdr:from>
    <xdr:to>
      <xdr:col>15</xdr:col>
      <xdr:colOff>20203</xdr:colOff>
      <xdr:row>6</xdr:row>
      <xdr:rowOff>176791</xdr:rowOff>
    </xdr:to>
    <xdr:sp macro="" textlink="">
      <xdr:nvSpPr>
        <xdr:cNvPr id="11" name="Oval 10">
          <a:extLst>
            <a:ext uri="{FF2B5EF4-FFF2-40B4-BE49-F238E27FC236}">
              <a16:creationId xmlns:a16="http://schemas.microsoft.com/office/drawing/2014/main" id="{3FF806E6-C338-4D59-80D1-58B7A2A33C40}"/>
            </a:ext>
          </a:extLst>
        </xdr:cNvPr>
        <xdr:cNvSpPr/>
      </xdr:nvSpPr>
      <xdr:spPr>
        <a:xfrm>
          <a:off x="8821594" y="745333"/>
          <a:ext cx="940087" cy="522503"/>
        </a:xfrm>
        <a:prstGeom prst="ellipse">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147206</xdr:colOff>
      <xdr:row>4</xdr:row>
      <xdr:rowOff>17969</xdr:rowOff>
    </xdr:from>
    <xdr:to>
      <xdr:col>3</xdr:col>
      <xdr:colOff>437861</xdr:colOff>
      <xdr:row>6</xdr:row>
      <xdr:rowOff>176791</xdr:rowOff>
    </xdr:to>
    <xdr:sp macro="" textlink="">
      <xdr:nvSpPr>
        <xdr:cNvPr id="6" name="Oval 5">
          <a:extLst>
            <a:ext uri="{FF2B5EF4-FFF2-40B4-BE49-F238E27FC236}">
              <a16:creationId xmlns:a16="http://schemas.microsoft.com/office/drawing/2014/main" id="{4EC0CE19-8914-CCD4-2050-B7D6DC111A15}"/>
            </a:ext>
          </a:extLst>
        </xdr:cNvPr>
        <xdr:cNvSpPr/>
      </xdr:nvSpPr>
      <xdr:spPr>
        <a:xfrm>
          <a:off x="1446070" y="745333"/>
          <a:ext cx="940087" cy="522503"/>
        </a:xfrm>
        <a:prstGeom prst="ellipse">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9</xdr:col>
      <xdr:colOff>517237</xdr:colOff>
      <xdr:row>4</xdr:row>
      <xdr:rowOff>17969</xdr:rowOff>
    </xdr:from>
    <xdr:to>
      <xdr:col>11</xdr:col>
      <xdr:colOff>159903</xdr:colOff>
      <xdr:row>6</xdr:row>
      <xdr:rowOff>176791</xdr:rowOff>
    </xdr:to>
    <xdr:sp macro="" textlink="">
      <xdr:nvSpPr>
        <xdr:cNvPr id="12" name="Oval 11">
          <a:extLst>
            <a:ext uri="{FF2B5EF4-FFF2-40B4-BE49-F238E27FC236}">
              <a16:creationId xmlns:a16="http://schemas.microsoft.com/office/drawing/2014/main" id="{19FFE3CF-7890-4E3D-A2F6-4E276D2B4B29}"/>
            </a:ext>
          </a:extLst>
        </xdr:cNvPr>
        <xdr:cNvSpPr/>
      </xdr:nvSpPr>
      <xdr:spPr>
        <a:xfrm>
          <a:off x="6362124" y="745333"/>
          <a:ext cx="941530" cy="522503"/>
        </a:xfrm>
        <a:prstGeom prst="ellipse">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6</xdr:col>
      <xdr:colOff>7506</xdr:colOff>
      <xdr:row>4</xdr:row>
      <xdr:rowOff>17969</xdr:rowOff>
    </xdr:from>
    <xdr:to>
      <xdr:col>7</xdr:col>
      <xdr:colOff>299603</xdr:colOff>
      <xdr:row>6</xdr:row>
      <xdr:rowOff>176791</xdr:rowOff>
    </xdr:to>
    <xdr:sp macro="" textlink="">
      <xdr:nvSpPr>
        <xdr:cNvPr id="13" name="Oval 12">
          <a:extLst>
            <a:ext uri="{FF2B5EF4-FFF2-40B4-BE49-F238E27FC236}">
              <a16:creationId xmlns:a16="http://schemas.microsoft.com/office/drawing/2014/main" id="{D61FDCF8-54DD-46C3-AE42-CDCB9D802202}"/>
            </a:ext>
          </a:extLst>
        </xdr:cNvPr>
        <xdr:cNvSpPr/>
      </xdr:nvSpPr>
      <xdr:spPr>
        <a:xfrm>
          <a:off x="3904097" y="745333"/>
          <a:ext cx="941530" cy="522503"/>
        </a:xfrm>
        <a:prstGeom prst="ellipse">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editAs="oneCell">
    <xdr:from>
      <xdr:col>13</xdr:col>
      <xdr:colOff>637886</xdr:colOff>
      <xdr:row>4</xdr:row>
      <xdr:rowOff>66330</xdr:rowOff>
    </xdr:from>
    <xdr:to>
      <xdr:col>14</xdr:col>
      <xdr:colOff>415636</xdr:colOff>
      <xdr:row>6</xdr:row>
      <xdr:rowOff>130690</xdr:rowOff>
    </xdr:to>
    <xdr:pic>
      <xdr:nvPicPr>
        <xdr:cNvPr id="20" name="Picture 19" descr="Money Icon PNG Images, Vectors Free ...">
          <a:extLst>
            <a:ext uri="{FF2B5EF4-FFF2-40B4-BE49-F238E27FC236}">
              <a16:creationId xmlns:a16="http://schemas.microsoft.com/office/drawing/2014/main" id="{2C9EBED7-EB6B-5A4C-0B66-E34F65FD54D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080501" y="793694"/>
          <a:ext cx="427180" cy="4280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393269</xdr:colOff>
      <xdr:row>4</xdr:row>
      <xdr:rowOff>50512</xdr:rowOff>
    </xdr:from>
    <xdr:to>
      <xdr:col>3</xdr:col>
      <xdr:colOff>171017</xdr:colOff>
      <xdr:row>6</xdr:row>
      <xdr:rowOff>115592</xdr:rowOff>
    </xdr:to>
    <xdr:pic macro="[0]!Visible_">
      <xdr:nvPicPr>
        <xdr:cNvPr id="21" name="Picture 20" descr="Dollars - Free business and finance icons">
          <a:extLst>
            <a:ext uri="{FF2B5EF4-FFF2-40B4-BE49-F238E27FC236}">
              <a16:creationId xmlns:a16="http://schemas.microsoft.com/office/drawing/2014/main" id="{E48EEA58-6FF8-AD00-756F-3B17A891EB3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92133" y="777876"/>
          <a:ext cx="427180" cy="4287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131330</xdr:colOff>
      <xdr:row>4</xdr:row>
      <xdr:rowOff>129165</xdr:rowOff>
    </xdr:from>
    <xdr:to>
      <xdr:col>10</xdr:col>
      <xdr:colOff>622011</xdr:colOff>
      <xdr:row>6</xdr:row>
      <xdr:rowOff>61219</xdr:rowOff>
    </xdr:to>
    <xdr:pic>
      <xdr:nvPicPr>
        <xdr:cNvPr id="22" name="Picture 21" descr="Money Icon Images – Browse 4,222,894 ...">
          <a:extLst>
            <a:ext uri="{FF2B5EF4-FFF2-40B4-BE49-F238E27FC236}">
              <a16:creationId xmlns:a16="http://schemas.microsoft.com/office/drawing/2014/main" id="{41EFE722-D065-D966-A456-83BD4B1285D9}"/>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625648" y="856529"/>
          <a:ext cx="490681" cy="2957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303070</xdr:colOff>
      <xdr:row>4</xdr:row>
      <xdr:rowOff>103909</xdr:rowOff>
    </xdr:from>
    <xdr:to>
      <xdr:col>7</xdr:col>
      <xdr:colOff>25977</xdr:colOff>
      <xdr:row>6</xdr:row>
      <xdr:rowOff>96141</xdr:rowOff>
    </xdr:to>
    <xdr:pic>
      <xdr:nvPicPr>
        <xdr:cNvPr id="27" name="Picture 26" descr="Cost saving - Free business and finance ...">
          <a:extLst>
            <a:ext uri="{FF2B5EF4-FFF2-40B4-BE49-F238E27FC236}">
              <a16:creationId xmlns:a16="http://schemas.microsoft.com/office/drawing/2014/main" id="{A0C0536E-CF1D-8B66-22DF-A5F2B95F321F}"/>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199661" y="831273"/>
          <a:ext cx="372340" cy="3559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614797</xdr:colOff>
      <xdr:row>6</xdr:row>
      <xdr:rowOff>147205</xdr:rowOff>
    </xdr:from>
    <xdr:to>
      <xdr:col>15</xdr:col>
      <xdr:colOff>121226</xdr:colOff>
      <xdr:row>8</xdr:row>
      <xdr:rowOff>8660</xdr:rowOff>
    </xdr:to>
    <xdr:sp macro="" textlink="">
      <xdr:nvSpPr>
        <xdr:cNvPr id="28" name="TextBox 27">
          <a:extLst>
            <a:ext uri="{FF2B5EF4-FFF2-40B4-BE49-F238E27FC236}">
              <a16:creationId xmlns:a16="http://schemas.microsoft.com/office/drawing/2014/main" id="{69408420-A1D9-EC65-5A4D-01D2B804768E}"/>
            </a:ext>
          </a:extLst>
        </xdr:cNvPr>
        <xdr:cNvSpPr txBox="1"/>
      </xdr:nvSpPr>
      <xdr:spPr>
        <a:xfrm>
          <a:off x="8407979" y="1238250"/>
          <a:ext cx="1454725" cy="225137"/>
        </a:xfrm>
        <a:prstGeom prst="rect">
          <a:avLst/>
        </a:prstGeom>
        <a:noFill/>
        <a:ln>
          <a:noFill/>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t"/>
        <a:lstStyle/>
        <a:p>
          <a:pPr algn="ctr"/>
          <a:r>
            <a:rPr lang="en-US" sz="1400" b="1">
              <a:solidFill>
                <a:schemeClr val="accent1">
                  <a:lumMod val="75000"/>
                </a:schemeClr>
              </a:solidFill>
              <a:latin typeface="Times New Roman" panose="02020603050405020304" pitchFamily="18" charset="0"/>
              <a:cs typeface="Times New Roman" panose="02020603050405020304" pitchFamily="18" charset="0"/>
            </a:rPr>
            <a:t>Total</a:t>
          </a:r>
          <a:r>
            <a:rPr lang="en-US" sz="1400" b="1" baseline="0">
              <a:solidFill>
                <a:schemeClr val="accent1">
                  <a:lumMod val="75000"/>
                </a:schemeClr>
              </a:solidFill>
              <a:latin typeface="Times New Roman" panose="02020603050405020304" pitchFamily="18" charset="0"/>
              <a:cs typeface="Times New Roman" panose="02020603050405020304" pitchFamily="18" charset="0"/>
            </a:rPr>
            <a:t> Orders</a:t>
          </a:r>
          <a:endParaRPr lang="en-US" sz="1400" b="1">
            <a:solidFill>
              <a:schemeClr val="accent1">
                <a:lumMod val="75000"/>
              </a:schemeClr>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230333</xdr:colOff>
      <xdr:row>6</xdr:row>
      <xdr:rowOff>152400</xdr:rowOff>
    </xdr:from>
    <xdr:to>
      <xdr:col>11</xdr:col>
      <xdr:colOff>386194</xdr:colOff>
      <xdr:row>8</xdr:row>
      <xdr:rowOff>13855</xdr:rowOff>
    </xdr:to>
    <xdr:sp macro="" textlink="">
      <xdr:nvSpPr>
        <xdr:cNvPr id="31" name="TextBox 30">
          <a:extLst>
            <a:ext uri="{FF2B5EF4-FFF2-40B4-BE49-F238E27FC236}">
              <a16:creationId xmlns:a16="http://schemas.microsoft.com/office/drawing/2014/main" id="{5DDFE08D-3349-46DC-8E0C-B08ED98891FE}"/>
            </a:ext>
          </a:extLst>
        </xdr:cNvPr>
        <xdr:cNvSpPr txBox="1"/>
      </xdr:nvSpPr>
      <xdr:spPr>
        <a:xfrm>
          <a:off x="6075220" y="1243445"/>
          <a:ext cx="1454725" cy="225137"/>
        </a:xfrm>
        <a:prstGeom prst="rect">
          <a:avLst/>
        </a:prstGeom>
        <a:noFill/>
        <a:ln>
          <a:noFill/>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t"/>
        <a:lstStyle/>
        <a:p>
          <a:pPr algn="ctr"/>
          <a:r>
            <a:rPr lang="en-US" sz="1400" b="1">
              <a:solidFill>
                <a:schemeClr val="accent1">
                  <a:lumMod val="75000"/>
                </a:schemeClr>
              </a:solidFill>
              <a:latin typeface="Times New Roman" panose="02020603050405020304" pitchFamily="18" charset="0"/>
              <a:cs typeface="Times New Roman" panose="02020603050405020304" pitchFamily="18" charset="0"/>
            </a:rPr>
            <a:t>Net</a:t>
          </a:r>
          <a:r>
            <a:rPr lang="en-US" sz="1400" b="1" baseline="0">
              <a:solidFill>
                <a:schemeClr val="accent1">
                  <a:lumMod val="75000"/>
                </a:schemeClr>
              </a:solidFill>
              <a:latin typeface="Times New Roman" panose="02020603050405020304" pitchFamily="18" charset="0"/>
              <a:cs typeface="Times New Roman" panose="02020603050405020304" pitchFamily="18" charset="0"/>
            </a:rPr>
            <a:t> Profit</a:t>
          </a:r>
        </a:p>
        <a:p>
          <a:pPr algn="ctr"/>
          <a:endParaRPr lang="en-US" sz="1400" b="1">
            <a:solidFill>
              <a:schemeClr val="accent1">
                <a:lumMod val="75000"/>
              </a:schemeClr>
            </a:solidFill>
            <a:latin typeface="Times New Roman" panose="02020603050405020304" pitchFamily="18" charset="0"/>
            <a:cs typeface="Times New Roman" panose="02020603050405020304" pitchFamily="18" charset="0"/>
          </a:endParaRPr>
        </a:p>
      </xdr:txBody>
    </xdr:sp>
    <xdr:clientData/>
  </xdr:twoCellAnchor>
  <xdr:twoCellAnchor>
    <xdr:from>
      <xdr:col>5</xdr:col>
      <xdr:colOff>426028</xdr:colOff>
      <xdr:row>6</xdr:row>
      <xdr:rowOff>157596</xdr:rowOff>
    </xdr:from>
    <xdr:to>
      <xdr:col>7</xdr:col>
      <xdr:colOff>581889</xdr:colOff>
      <xdr:row>8</xdr:row>
      <xdr:rowOff>19051</xdr:rowOff>
    </xdr:to>
    <xdr:sp macro="" textlink="">
      <xdr:nvSpPr>
        <xdr:cNvPr id="32" name="TextBox 31">
          <a:extLst>
            <a:ext uri="{FF2B5EF4-FFF2-40B4-BE49-F238E27FC236}">
              <a16:creationId xmlns:a16="http://schemas.microsoft.com/office/drawing/2014/main" id="{107ED3A6-C730-4909-88F9-75125B6D36DF}"/>
            </a:ext>
          </a:extLst>
        </xdr:cNvPr>
        <xdr:cNvSpPr txBox="1"/>
      </xdr:nvSpPr>
      <xdr:spPr>
        <a:xfrm>
          <a:off x="3673188" y="1248641"/>
          <a:ext cx="1454725" cy="225137"/>
        </a:xfrm>
        <a:prstGeom prst="rect">
          <a:avLst/>
        </a:prstGeom>
        <a:noFill/>
        <a:ln>
          <a:noFill/>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t"/>
        <a:lstStyle/>
        <a:p>
          <a:pPr algn="ctr"/>
          <a:r>
            <a:rPr lang="en-US" sz="1400" b="1">
              <a:solidFill>
                <a:schemeClr val="accent1">
                  <a:lumMod val="75000"/>
                </a:schemeClr>
              </a:solidFill>
              <a:latin typeface="Times New Roman" panose="02020603050405020304" pitchFamily="18" charset="0"/>
              <a:cs typeface="Times New Roman" panose="02020603050405020304" pitchFamily="18" charset="0"/>
            </a:rPr>
            <a:t>Total</a:t>
          </a:r>
          <a:r>
            <a:rPr lang="en-US" sz="1400" b="1" baseline="0">
              <a:solidFill>
                <a:schemeClr val="accent1">
                  <a:lumMod val="75000"/>
                </a:schemeClr>
              </a:solidFill>
              <a:latin typeface="Times New Roman" panose="02020603050405020304" pitchFamily="18" charset="0"/>
              <a:cs typeface="Times New Roman" panose="02020603050405020304" pitchFamily="18" charset="0"/>
            </a:rPr>
            <a:t> Cost</a:t>
          </a:r>
          <a:endParaRPr lang="en-US" sz="1400" b="1">
            <a:solidFill>
              <a:schemeClr val="accent1">
                <a:lumMod val="75000"/>
              </a:schemeClr>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543792</xdr:colOff>
      <xdr:row>7</xdr:row>
      <xdr:rowOff>6927</xdr:rowOff>
    </xdr:from>
    <xdr:to>
      <xdr:col>4</xdr:col>
      <xdr:colOff>50223</xdr:colOff>
      <xdr:row>8</xdr:row>
      <xdr:rowOff>50224</xdr:rowOff>
    </xdr:to>
    <xdr:sp macro="" textlink="">
      <xdr:nvSpPr>
        <xdr:cNvPr id="33" name="TextBox 32">
          <a:extLst>
            <a:ext uri="{FF2B5EF4-FFF2-40B4-BE49-F238E27FC236}">
              <a16:creationId xmlns:a16="http://schemas.microsoft.com/office/drawing/2014/main" id="{EF480E49-B3B1-44C4-A9E7-6CABA13C12B8}"/>
            </a:ext>
          </a:extLst>
        </xdr:cNvPr>
        <xdr:cNvSpPr txBox="1"/>
      </xdr:nvSpPr>
      <xdr:spPr>
        <a:xfrm>
          <a:off x="1193225" y="1279814"/>
          <a:ext cx="1454725" cy="225137"/>
        </a:xfrm>
        <a:prstGeom prst="rect">
          <a:avLst/>
        </a:prstGeom>
        <a:noFill/>
        <a:ln>
          <a:noFill/>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t"/>
        <a:lstStyle/>
        <a:p>
          <a:pPr algn="ctr"/>
          <a:r>
            <a:rPr lang="en-US" sz="1400" b="1">
              <a:solidFill>
                <a:schemeClr val="accent1">
                  <a:lumMod val="75000"/>
                </a:schemeClr>
              </a:solidFill>
              <a:latin typeface="Times New Roman" panose="02020603050405020304" pitchFamily="18" charset="0"/>
              <a:cs typeface="Times New Roman" panose="02020603050405020304" pitchFamily="18" charset="0"/>
            </a:rPr>
            <a:t>Sale</a:t>
          </a:r>
          <a:r>
            <a:rPr lang="en-US" sz="1400" b="1" baseline="0">
              <a:solidFill>
                <a:schemeClr val="accent1">
                  <a:lumMod val="75000"/>
                </a:schemeClr>
              </a:solidFill>
              <a:latin typeface="Times New Roman" panose="02020603050405020304" pitchFamily="18" charset="0"/>
              <a:cs typeface="Times New Roman" panose="02020603050405020304" pitchFamily="18" charset="0"/>
            </a:rPr>
            <a:t> Revenue</a:t>
          </a:r>
          <a:endParaRPr lang="en-US" sz="1400" b="1">
            <a:solidFill>
              <a:schemeClr val="accent1">
                <a:lumMod val="75000"/>
              </a:schemeClr>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424292</xdr:colOff>
      <xdr:row>8</xdr:row>
      <xdr:rowOff>77934</xdr:rowOff>
    </xdr:from>
    <xdr:to>
      <xdr:col>3</xdr:col>
      <xdr:colOff>493567</xdr:colOff>
      <xdr:row>10</xdr:row>
      <xdr:rowOff>0</xdr:rowOff>
    </xdr:to>
    <xdr:sp macro="" textlink="'Pivot tables'!C8">
      <xdr:nvSpPr>
        <xdr:cNvPr id="34" name="TextBox 33">
          <a:extLst>
            <a:ext uri="{FF2B5EF4-FFF2-40B4-BE49-F238E27FC236}">
              <a16:creationId xmlns:a16="http://schemas.microsoft.com/office/drawing/2014/main" id="{C66AFB71-12D2-C5D6-86BC-3145BA339D58}"/>
            </a:ext>
          </a:extLst>
        </xdr:cNvPr>
        <xdr:cNvSpPr txBox="1"/>
      </xdr:nvSpPr>
      <xdr:spPr>
        <a:xfrm>
          <a:off x="1073725" y="1532661"/>
          <a:ext cx="1368138" cy="2857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8307DB1-87AE-4C85-A78C-C7F34680B621}" type="TxLink">
            <a:rPr lang="en-US" sz="1800" b="1" i="0" u="none" strike="noStrike">
              <a:solidFill>
                <a:srgbClr val="C00000"/>
              </a:solidFill>
              <a:latin typeface="Bodoni MT" panose="02070603080606020203" pitchFamily="18" charset="0"/>
              <a:ea typeface="Calibri"/>
              <a:cs typeface="Calibri"/>
            </a:rPr>
            <a:pPr algn="ctr"/>
            <a:t> $48,974 </a:t>
          </a:fld>
          <a:endParaRPr lang="en-US" sz="1800" b="1">
            <a:solidFill>
              <a:srgbClr val="C00000"/>
            </a:solidFill>
            <a:latin typeface="Bodoni MT" panose="02070603080606020203" pitchFamily="18" charset="0"/>
          </a:endParaRPr>
        </a:p>
      </xdr:txBody>
    </xdr:sp>
    <xdr:clientData/>
  </xdr:twoCellAnchor>
  <xdr:twoCellAnchor>
    <xdr:from>
      <xdr:col>13</xdr:col>
      <xdr:colOff>221671</xdr:colOff>
      <xdr:row>8</xdr:row>
      <xdr:rowOff>57151</xdr:rowOff>
    </xdr:from>
    <xdr:to>
      <xdr:col>14</xdr:col>
      <xdr:colOff>585354</xdr:colOff>
      <xdr:row>9</xdr:row>
      <xdr:rowOff>143739</xdr:rowOff>
    </xdr:to>
    <xdr:sp macro="" textlink="'Pivot tables'!G8">
      <xdr:nvSpPr>
        <xdr:cNvPr id="37" name="TextBox 36">
          <a:extLst>
            <a:ext uri="{FF2B5EF4-FFF2-40B4-BE49-F238E27FC236}">
              <a16:creationId xmlns:a16="http://schemas.microsoft.com/office/drawing/2014/main" id="{4D0CCA2E-C08A-4117-AED7-68BF3B6BDEB3}"/>
            </a:ext>
          </a:extLst>
        </xdr:cNvPr>
        <xdr:cNvSpPr txBox="1"/>
      </xdr:nvSpPr>
      <xdr:spPr>
        <a:xfrm>
          <a:off x="8664286" y="1511878"/>
          <a:ext cx="1013113" cy="2684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E919C26-35E7-4393-A206-C254A418AE75}" type="TxLink">
            <a:rPr lang="en-US" sz="1800" b="1" i="0" u="none" strike="noStrike">
              <a:solidFill>
                <a:srgbClr val="C00000"/>
              </a:solidFill>
              <a:latin typeface="Bodoni MT" panose="02070603080606020203" pitchFamily="18" charset="0"/>
              <a:ea typeface="Calibri"/>
              <a:cs typeface="Calibri"/>
            </a:rPr>
            <a:pPr algn="ctr"/>
            <a:t>40</a:t>
          </a:fld>
          <a:endParaRPr lang="en-US" sz="1800" b="1" i="0" u="none" strike="noStrike">
            <a:solidFill>
              <a:srgbClr val="C00000"/>
            </a:solidFill>
            <a:latin typeface="Bodoni MT" panose="02070603080606020203" pitchFamily="18" charset="0"/>
            <a:ea typeface="Calibri"/>
            <a:cs typeface="Calibri"/>
          </a:endParaRPr>
        </a:p>
      </xdr:txBody>
    </xdr:sp>
    <xdr:clientData/>
  </xdr:twoCellAnchor>
  <xdr:twoCellAnchor>
    <xdr:from>
      <xdr:col>9</xdr:col>
      <xdr:colOff>166252</xdr:colOff>
      <xdr:row>8</xdr:row>
      <xdr:rowOff>19051</xdr:rowOff>
    </xdr:from>
    <xdr:to>
      <xdr:col>11</xdr:col>
      <xdr:colOff>311725</xdr:colOff>
      <xdr:row>9</xdr:row>
      <xdr:rowOff>129884</xdr:rowOff>
    </xdr:to>
    <xdr:sp macro="" textlink="'Pivot tables'!B8">
      <xdr:nvSpPr>
        <xdr:cNvPr id="38" name="TextBox 37">
          <a:extLst>
            <a:ext uri="{FF2B5EF4-FFF2-40B4-BE49-F238E27FC236}">
              <a16:creationId xmlns:a16="http://schemas.microsoft.com/office/drawing/2014/main" id="{73764CE0-22C0-4ADF-83B5-41553997C22E}"/>
            </a:ext>
          </a:extLst>
        </xdr:cNvPr>
        <xdr:cNvSpPr txBox="1"/>
      </xdr:nvSpPr>
      <xdr:spPr>
        <a:xfrm>
          <a:off x="6011139" y="1473778"/>
          <a:ext cx="1444337" cy="292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92F1BBE-E61A-49FC-8563-68CB51488A94}" type="TxLink">
            <a:rPr lang="en-US" sz="1800" b="1" i="0" u="none" strike="noStrike">
              <a:solidFill>
                <a:srgbClr val="C00000"/>
              </a:solidFill>
              <a:latin typeface="Bodoni MT" panose="02070603080606020203" pitchFamily="18" charset="0"/>
              <a:ea typeface="Calibri"/>
              <a:cs typeface="Calibri"/>
            </a:rPr>
            <a:pPr algn="ctr"/>
            <a:t> $15,648 </a:t>
          </a:fld>
          <a:endParaRPr lang="en-US" sz="1800" b="1">
            <a:solidFill>
              <a:srgbClr val="C00000"/>
            </a:solidFill>
            <a:latin typeface="Bodoni MT" panose="02070603080606020203" pitchFamily="18" charset="0"/>
          </a:endParaRPr>
        </a:p>
      </xdr:txBody>
    </xdr:sp>
    <xdr:clientData/>
  </xdr:twoCellAnchor>
  <xdr:twoCellAnchor>
    <xdr:from>
      <xdr:col>5</xdr:col>
      <xdr:colOff>214742</xdr:colOff>
      <xdr:row>8</xdr:row>
      <xdr:rowOff>102179</xdr:rowOff>
    </xdr:from>
    <xdr:to>
      <xdr:col>7</xdr:col>
      <xdr:colOff>389657</xdr:colOff>
      <xdr:row>9</xdr:row>
      <xdr:rowOff>164522</xdr:rowOff>
    </xdr:to>
    <xdr:sp macro="" textlink="'Pivot tables'!A8">
      <xdr:nvSpPr>
        <xdr:cNvPr id="39" name="TextBox 38">
          <a:extLst>
            <a:ext uri="{FF2B5EF4-FFF2-40B4-BE49-F238E27FC236}">
              <a16:creationId xmlns:a16="http://schemas.microsoft.com/office/drawing/2014/main" id="{24BBA4B4-0E97-4C22-961C-014A2A3F161A}"/>
            </a:ext>
          </a:extLst>
        </xdr:cNvPr>
        <xdr:cNvSpPr txBox="1"/>
      </xdr:nvSpPr>
      <xdr:spPr>
        <a:xfrm>
          <a:off x="3461902" y="1556906"/>
          <a:ext cx="1473779" cy="2441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94CC013-454A-4898-8AD2-E5BE0CD8C2CA}" type="TxLink">
            <a:rPr lang="en-US" sz="1800" b="1" i="0" u="none" strike="noStrike">
              <a:solidFill>
                <a:srgbClr val="C00000"/>
              </a:solidFill>
              <a:latin typeface="Bodoni MT" panose="02070603080606020203" pitchFamily="18" charset="0"/>
              <a:ea typeface="Calibri"/>
              <a:cs typeface="Calibri"/>
            </a:rPr>
            <a:pPr algn="ctr"/>
            <a:t> $33,326 </a:t>
          </a:fld>
          <a:endParaRPr lang="en-US" sz="1800" b="1">
            <a:solidFill>
              <a:srgbClr val="C00000"/>
            </a:solidFill>
            <a:latin typeface="Bodoni MT" panose="02070603080606020203" pitchFamily="18" charset="0"/>
          </a:endParaRPr>
        </a:p>
      </xdr:txBody>
    </xdr:sp>
    <xdr:clientData/>
  </xdr:twoCellAnchor>
  <xdr:twoCellAnchor>
    <xdr:from>
      <xdr:col>1</xdr:col>
      <xdr:colOff>432952</xdr:colOff>
      <xdr:row>9</xdr:row>
      <xdr:rowOff>138545</xdr:rowOff>
    </xdr:from>
    <xdr:to>
      <xdr:col>4</xdr:col>
      <xdr:colOff>129886</xdr:colOff>
      <xdr:row>9</xdr:row>
      <xdr:rowOff>164523</xdr:rowOff>
    </xdr:to>
    <xdr:cxnSp macro="">
      <xdr:nvCxnSpPr>
        <xdr:cNvPr id="15" name="Straight Connector 14">
          <a:extLst>
            <a:ext uri="{FF2B5EF4-FFF2-40B4-BE49-F238E27FC236}">
              <a16:creationId xmlns:a16="http://schemas.microsoft.com/office/drawing/2014/main" id="{EAD11C45-DD13-855F-3798-89B348856870}"/>
            </a:ext>
          </a:extLst>
        </xdr:cNvPr>
        <xdr:cNvCxnSpPr/>
      </xdr:nvCxnSpPr>
      <xdr:spPr>
        <a:xfrm flipV="1">
          <a:off x="1082385" y="1775114"/>
          <a:ext cx="1645228" cy="25978"/>
        </a:xfrm>
        <a:prstGeom prst="line">
          <a:avLst/>
        </a:prstGeom>
        <a:ln>
          <a:headEnd type="none" w="med" len="med"/>
          <a:tailEnd type="none" w="med" len="med"/>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15</xdr:col>
      <xdr:colOff>454810</xdr:colOff>
      <xdr:row>4</xdr:row>
      <xdr:rowOff>17317</xdr:rowOff>
    </xdr:from>
    <xdr:to>
      <xdr:col>18</xdr:col>
      <xdr:colOff>616238</xdr:colOff>
      <xdr:row>10</xdr:row>
      <xdr:rowOff>147926</xdr:rowOff>
    </xdr:to>
    <xdr:graphicFrame macro="">
      <xdr:nvGraphicFramePr>
        <xdr:cNvPr id="41" name="Chart 40">
          <a:extLst>
            <a:ext uri="{FF2B5EF4-FFF2-40B4-BE49-F238E27FC236}">
              <a16:creationId xmlns:a16="http://schemas.microsoft.com/office/drawing/2014/main" id="{D2602AB2-E1D6-43B0-9112-DE38BB5AA6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437492</xdr:colOff>
      <xdr:row>6</xdr:row>
      <xdr:rowOff>42162</xdr:rowOff>
    </xdr:from>
    <xdr:to>
      <xdr:col>18</xdr:col>
      <xdr:colOff>151741</xdr:colOff>
      <xdr:row>7</xdr:row>
      <xdr:rowOff>130606</xdr:rowOff>
    </xdr:to>
    <xdr:sp macro="" textlink="'Pivot tables'!$F$12">
      <xdr:nvSpPr>
        <xdr:cNvPr id="42" name="TextBox 41">
          <a:extLst>
            <a:ext uri="{FF2B5EF4-FFF2-40B4-BE49-F238E27FC236}">
              <a16:creationId xmlns:a16="http://schemas.microsoft.com/office/drawing/2014/main" id="{4ECC227D-8468-4C68-9C4D-7BE235ABB18A}"/>
            </a:ext>
          </a:extLst>
        </xdr:cNvPr>
        <xdr:cNvSpPr txBox="1"/>
      </xdr:nvSpPr>
      <xdr:spPr>
        <a:xfrm>
          <a:off x="10851492" y="1137537"/>
          <a:ext cx="1015999" cy="2710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8FEF642-CE4B-4528-9B49-59AFF86D12A6}" type="TxLink">
            <a:rPr lang="en-US" sz="2000" b="1" i="0" u="none" strike="noStrike">
              <a:solidFill>
                <a:schemeClr val="accent2">
                  <a:lumMod val="75000"/>
                </a:schemeClr>
              </a:solidFill>
              <a:latin typeface="Calibri"/>
              <a:ea typeface="Calibri"/>
              <a:cs typeface="Calibri"/>
            </a:rPr>
            <a:pPr algn="ctr"/>
            <a:t>58%</a:t>
          </a:fld>
          <a:endParaRPr lang="en-US" sz="4400" b="1" i="0" u="none" strike="noStrike">
            <a:solidFill>
              <a:schemeClr val="accent2">
                <a:lumMod val="75000"/>
              </a:schemeClr>
            </a:solidFill>
            <a:latin typeface="Bodoni MT" panose="02070603080606020203" pitchFamily="18" charset="0"/>
            <a:ea typeface="Calibri"/>
            <a:cs typeface="Calibri"/>
          </a:endParaRPr>
        </a:p>
      </xdr:txBody>
    </xdr:sp>
    <xdr:clientData/>
  </xdr:twoCellAnchor>
  <xdr:twoCellAnchor>
    <xdr:from>
      <xdr:col>16</xdr:col>
      <xdr:colOff>278022</xdr:colOff>
      <xdr:row>9</xdr:row>
      <xdr:rowOff>128443</xdr:rowOff>
    </xdr:from>
    <xdr:to>
      <xdr:col>18</xdr:col>
      <xdr:colOff>355950</xdr:colOff>
      <xdr:row>11</xdr:row>
      <xdr:rowOff>111125</xdr:rowOff>
    </xdr:to>
    <xdr:sp macro="" textlink="'Pivot tables'!G8">
      <xdr:nvSpPr>
        <xdr:cNvPr id="43" name="TextBox 42">
          <a:extLst>
            <a:ext uri="{FF2B5EF4-FFF2-40B4-BE49-F238E27FC236}">
              <a16:creationId xmlns:a16="http://schemas.microsoft.com/office/drawing/2014/main" id="{AA67D1F3-7F96-4CE5-A9BF-8B91994220AB}"/>
            </a:ext>
          </a:extLst>
        </xdr:cNvPr>
        <xdr:cNvSpPr txBox="1"/>
      </xdr:nvSpPr>
      <xdr:spPr>
        <a:xfrm>
          <a:off x="10692022" y="1771506"/>
          <a:ext cx="1379678" cy="347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i="0" u="none" strike="noStrike">
              <a:solidFill>
                <a:schemeClr val="accent1">
                  <a:lumMod val="50000"/>
                </a:schemeClr>
              </a:solidFill>
              <a:latin typeface="Bodoni MT" panose="02070603080606020203" pitchFamily="18" charset="0"/>
              <a:ea typeface="Calibri"/>
              <a:cs typeface="Calibri"/>
            </a:rPr>
            <a:t>Completed</a:t>
          </a:r>
        </a:p>
      </xdr:txBody>
    </xdr:sp>
    <xdr:clientData/>
  </xdr:twoCellAnchor>
  <xdr:twoCellAnchor>
    <xdr:from>
      <xdr:col>21</xdr:col>
      <xdr:colOff>195036</xdr:colOff>
      <xdr:row>3</xdr:row>
      <xdr:rowOff>25976</xdr:rowOff>
    </xdr:from>
    <xdr:to>
      <xdr:col>25</xdr:col>
      <xdr:colOff>0</xdr:colOff>
      <xdr:row>10</xdr:row>
      <xdr:rowOff>113289</xdr:rowOff>
    </xdr:to>
    <xdr:graphicFrame macro="">
      <xdr:nvGraphicFramePr>
        <xdr:cNvPr id="44" name="Chart 43">
          <a:extLst>
            <a:ext uri="{FF2B5EF4-FFF2-40B4-BE49-F238E27FC236}">
              <a16:creationId xmlns:a16="http://schemas.microsoft.com/office/drawing/2014/main" id="{C7B2463C-FE20-48EC-AB82-4A84212B3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22</xdr:col>
      <xdr:colOff>278164</xdr:colOff>
      <xdr:row>6</xdr:row>
      <xdr:rowOff>13855</xdr:rowOff>
    </xdr:from>
    <xdr:to>
      <xdr:col>23</xdr:col>
      <xdr:colOff>638752</xdr:colOff>
      <xdr:row>7</xdr:row>
      <xdr:rowOff>101165</xdr:rowOff>
    </xdr:to>
    <xdr:sp macro="" textlink="'Pivot tables'!K12">
      <xdr:nvSpPr>
        <xdr:cNvPr id="45" name="TextBox 44">
          <a:extLst>
            <a:ext uri="{FF2B5EF4-FFF2-40B4-BE49-F238E27FC236}">
              <a16:creationId xmlns:a16="http://schemas.microsoft.com/office/drawing/2014/main" id="{D7D1CC34-75E6-4801-87DD-61DD923695F2}"/>
            </a:ext>
          </a:extLst>
        </xdr:cNvPr>
        <xdr:cNvSpPr txBox="1"/>
      </xdr:nvSpPr>
      <xdr:spPr>
        <a:xfrm>
          <a:off x="14597414" y="1109230"/>
          <a:ext cx="1011463" cy="2698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9B1EC2E-B60B-4916-8E6D-BC73F29EC45A}" type="TxLink">
            <a:rPr lang="en-US" sz="2000" b="1" i="0" u="none" strike="noStrike">
              <a:solidFill>
                <a:schemeClr val="accent2">
                  <a:lumMod val="75000"/>
                </a:schemeClr>
              </a:solidFill>
              <a:latin typeface="Calibri"/>
              <a:ea typeface="Calibri"/>
              <a:cs typeface="Calibri"/>
            </a:rPr>
            <a:pPr algn="ctr"/>
            <a:t>43%</a:t>
          </a:fld>
          <a:endParaRPr lang="en-US" sz="7200" b="1" i="0" u="none" strike="noStrike">
            <a:solidFill>
              <a:schemeClr val="accent2">
                <a:lumMod val="75000"/>
              </a:schemeClr>
            </a:solidFill>
            <a:latin typeface="Bodoni MT" panose="02070603080606020203" pitchFamily="18" charset="0"/>
            <a:ea typeface="Calibri"/>
            <a:cs typeface="Calibri"/>
          </a:endParaRPr>
        </a:p>
      </xdr:txBody>
    </xdr:sp>
    <xdr:clientData/>
  </xdr:twoCellAnchor>
  <xdr:twoCellAnchor>
    <xdr:from>
      <xdr:col>22</xdr:col>
      <xdr:colOff>53544</xdr:colOff>
      <xdr:row>9</xdr:row>
      <xdr:rowOff>133638</xdr:rowOff>
    </xdr:from>
    <xdr:to>
      <xdr:col>24</xdr:col>
      <xdr:colOff>136009</xdr:colOff>
      <xdr:row>11</xdr:row>
      <xdr:rowOff>116320</xdr:rowOff>
    </xdr:to>
    <xdr:sp macro="" textlink="'Pivot tables'!G8">
      <xdr:nvSpPr>
        <xdr:cNvPr id="46" name="TextBox 45">
          <a:extLst>
            <a:ext uri="{FF2B5EF4-FFF2-40B4-BE49-F238E27FC236}">
              <a16:creationId xmlns:a16="http://schemas.microsoft.com/office/drawing/2014/main" id="{476A0614-A9F4-47EB-9AB1-2B24C176AB75}"/>
            </a:ext>
          </a:extLst>
        </xdr:cNvPr>
        <xdr:cNvSpPr txBox="1"/>
      </xdr:nvSpPr>
      <xdr:spPr>
        <a:xfrm>
          <a:off x="14372794" y="1776701"/>
          <a:ext cx="1384215" cy="347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i="0" u="none" strike="noStrike">
              <a:solidFill>
                <a:schemeClr val="accent1">
                  <a:lumMod val="50000"/>
                </a:schemeClr>
              </a:solidFill>
              <a:latin typeface="Bodoni MT" panose="02070603080606020203" pitchFamily="18" charset="0"/>
              <a:ea typeface="Calibri"/>
              <a:cs typeface="Calibri"/>
            </a:rPr>
            <a:t>Returned</a:t>
          </a:r>
        </a:p>
      </xdr:txBody>
    </xdr:sp>
    <xdr:clientData/>
  </xdr:twoCellAnchor>
  <xdr:twoCellAnchor>
    <xdr:from>
      <xdr:col>18</xdr:col>
      <xdr:colOff>51953</xdr:colOff>
      <xdr:row>3</xdr:row>
      <xdr:rowOff>165243</xdr:rowOff>
    </xdr:from>
    <xdr:to>
      <xdr:col>22</xdr:col>
      <xdr:colOff>212353</xdr:colOff>
      <xdr:row>10</xdr:row>
      <xdr:rowOff>0</xdr:rowOff>
    </xdr:to>
    <xdr:sp macro="" textlink="">
      <xdr:nvSpPr>
        <xdr:cNvPr id="47" name="TextBox 46">
          <a:extLst>
            <a:ext uri="{FF2B5EF4-FFF2-40B4-BE49-F238E27FC236}">
              <a16:creationId xmlns:a16="http://schemas.microsoft.com/office/drawing/2014/main" id="{1BC3E0AD-5381-6228-7B01-F386959F4ED2}"/>
            </a:ext>
          </a:extLst>
        </xdr:cNvPr>
        <xdr:cNvSpPr txBox="1"/>
      </xdr:nvSpPr>
      <xdr:spPr>
        <a:xfrm>
          <a:off x="11767703" y="712931"/>
          <a:ext cx="2763900" cy="11126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a:latin typeface="Stencil" panose="040409050D0802020404" pitchFamily="82" charset="0"/>
            </a:rPr>
            <a:t>Order by Status</a:t>
          </a:r>
        </a:p>
        <a:p>
          <a:pPr algn="ctr"/>
          <a:endParaRPr lang="en-US" sz="2400">
            <a:latin typeface="Stencil" panose="040409050D0802020404" pitchFamily="82" charset="0"/>
          </a:endParaRPr>
        </a:p>
      </xdr:txBody>
    </xdr:sp>
    <xdr:clientData/>
  </xdr:twoCellAnchor>
  <xdr:twoCellAnchor>
    <xdr:from>
      <xdr:col>13</xdr:col>
      <xdr:colOff>13852</xdr:colOff>
      <xdr:row>9</xdr:row>
      <xdr:rowOff>95250</xdr:rowOff>
    </xdr:from>
    <xdr:to>
      <xdr:col>15</xdr:col>
      <xdr:colOff>380999</xdr:colOff>
      <xdr:row>9</xdr:row>
      <xdr:rowOff>117764</xdr:rowOff>
    </xdr:to>
    <xdr:cxnSp macro="">
      <xdr:nvCxnSpPr>
        <xdr:cNvPr id="18" name="Straight Connector 17">
          <a:extLst>
            <a:ext uri="{FF2B5EF4-FFF2-40B4-BE49-F238E27FC236}">
              <a16:creationId xmlns:a16="http://schemas.microsoft.com/office/drawing/2014/main" id="{182A890B-C1E0-4D95-8F46-91F7EF3BDEB0}"/>
            </a:ext>
          </a:extLst>
        </xdr:cNvPr>
        <xdr:cNvCxnSpPr/>
      </xdr:nvCxnSpPr>
      <xdr:spPr>
        <a:xfrm flipV="1">
          <a:off x="8456467" y="1731819"/>
          <a:ext cx="1666010" cy="22514"/>
        </a:xfrm>
        <a:prstGeom prst="line">
          <a:avLst/>
        </a:prstGeom>
        <a:ln>
          <a:headEnd type="none" w="med" len="med"/>
          <a:tailEnd type="none" w="med" len="med"/>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218208</xdr:colOff>
      <xdr:row>9</xdr:row>
      <xdr:rowOff>121227</xdr:rowOff>
    </xdr:from>
    <xdr:to>
      <xdr:col>11</xdr:col>
      <xdr:colOff>588817</xdr:colOff>
      <xdr:row>9</xdr:row>
      <xdr:rowOff>140277</xdr:rowOff>
    </xdr:to>
    <xdr:cxnSp macro="">
      <xdr:nvCxnSpPr>
        <xdr:cNvPr id="19" name="Straight Connector 18">
          <a:extLst>
            <a:ext uri="{FF2B5EF4-FFF2-40B4-BE49-F238E27FC236}">
              <a16:creationId xmlns:a16="http://schemas.microsoft.com/office/drawing/2014/main" id="{67881979-5331-4662-ACD7-F7D03DF64705}"/>
            </a:ext>
          </a:extLst>
        </xdr:cNvPr>
        <xdr:cNvCxnSpPr/>
      </xdr:nvCxnSpPr>
      <xdr:spPr>
        <a:xfrm flipV="1">
          <a:off x="6063095" y="1757796"/>
          <a:ext cx="1669473" cy="19050"/>
        </a:xfrm>
        <a:prstGeom prst="line">
          <a:avLst/>
        </a:prstGeom>
        <a:ln>
          <a:headEnd type="none" w="med" len="med"/>
          <a:tailEnd type="none" w="med" len="med"/>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353288</xdr:colOff>
      <xdr:row>9</xdr:row>
      <xdr:rowOff>121227</xdr:rowOff>
    </xdr:from>
    <xdr:to>
      <xdr:col>8</xdr:col>
      <xdr:colOff>60613</xdr:colOff>
      <xdr:row>9</xdr:row>
      <xdr:rowOff>136814</xdr:rowOff>
    </xdr:to>
    <xdr:cxnSp macro="">
      <xdr:nvCxnSpPr>
        <xdr:cNvPr id="23" name="Straight Connector 22">
          <a:extLst>
            <a:ext uri="{FF2B5EF4-FFF2-40B4-BE49-F238E27FC236}">
              <a16:creationId xmlns:a16="http://schemas.microsoft.com/office/drawing/2014/main" id="{BD46C6A9-7941-4356-9A5F-092F14D9D337}"/>
            </a:ext>
          </a:extLst>
        </xdr:cNvPr>
        <xdr:cNvCxnSpPr/>
      </xdr:nvCxnSpPr>
      <xdr:spPr>
        <a:xfrm flipV="1">
          <a:off x="3600448" y="1757796"/>
          <a:ext cx="1655620" cy="15587"/>
        </a:xfrm>
        <a:prstGeom prst="line">
          <a:avLst/>
        </a:prstGeom>
        <a:ln>
          <a:headEnd type="none" w="med" len="med"/>
          <a:tailEnd type="none" w="med" len="med"/>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249385</xdr:colOff>
      <xdr:row>9</xdr:row>
      <xdr:rowOff>145472</xdr:rowOff>
    </xdr:from>
    <xdr:to>
      <xdr:col>4</xdr:col>
      <xdr:colOff>389660</xdr:colOff>
      <xdr:row>11</xdr:row>
      <xdr:rowOff>77931</xdr:rowOff>
    </xdr:to>
    <xdr:sp macro="" textlink="">
      <xdr:nvSpPr>
        <xdr:cNvPr id="29" name="TextBox 28">
          <a:extLst>
            <a:ext uri="{FF2B5EF4-FFF2-40B4-BE49-F238E27FC236}">
              <a16:creationId xmlns:a16="http://schemas.microsoft.com/office/drawing/2014/main" id="{539C1786-B3A2-43D3-82AD-9BDAA741EF42}"/>
            </a:ext>
          </a:extLst>
        </xdr:cNvPr>
        <xdr:cNvSpPr txBox="1"/>
      </xdr:nvSpPr>
      <xdr:spPr>
        <a:xfrm>
          <a:off x="2197681" y="1782041"/>
          <a:ext cx="789706" cy="296141"/>
        </a:xfrm>
        <a:prstGeom prst="rect">
          <a:avLst/>
        </a:prstGeom>
        <a:noFill/>
        <a:ln>
          <a:noFill/>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t"/>
        <a:lstStyle/>
        <a:p>
          <a:pPr algn="ctr"/>
          <a:r>
            <a:rPr lang="en-US" sz="1200" b="1">
              <a:solidFill>
                <a:schemeClr val="accent1">
                  <a:lumMod val="75000"/>
                </a:schemeClr>
              </a:solidFill>
              <a:latin typeface="Times New Roman" panose="02020603050405020304" pitchFamily="18" charset="0"/>
              <a:cs typeface="Times New Roman" panose="02020603050405020304" pitchFamily="18" charset="0"/>
            </a:rPr>
            <a:t>VS</a:t>
          </a:r>
          <a:r>
            <a:rPr lang="en-US" sz="1200" b="1" baseline="0">
              <a:solidFill>
                <a:schemeClr val="accent1">
                  <a:lumMod val="75000"/>
                </a:schemeClr>
              </a:solidFill>
              <a:latin typeface="Times New Roman" panose="02020603050405020304" pitchFamily="18" charset="0"/>
              <a:cs typeface="Times New Roman" panose="02020603050405020304" pitchFamily="18" charset="0"/>
            </a:rPr>
            <a:t> LM</a:t>
          </a:r>
          <a:endParaRPr lang="en-US" sz="1200" b="1">
            <a:solidFill>
              <a:schemeClr val="accent1">
                <a:lumMod val="75000"/>
              </a:schemeClr>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107375</xdr:colOff>
      <xdr:row>9</xdr:row>
      <xdr:rowOff>145472</xdr:rowOff>
    </xdr:from>
    <xdr:to>
      <xdr:col>8</xdr:col>
      <xdr:colOff>247650</xdr:colOff>
      <xdr:row>11</xdr:row>
      <xdr:rowOff>77931</xdr:rowOff>
    </xdr:to>
    <xdr:sp macro="" textlink="">
      <xdr:nvSpPr>
        <xdr:cNvPr id="49" name="TextBox 48">
          <a:extLst>
            <a:ext uri="{FF2B5EF4-FFF2-40B4-BE49-F238E27FC236}">
              <a16:creationId xmlns:a16="http://schemas.microsoft.com/office/drawing/2014/main" id="{E91727E4-AD5A-4804-A4B6-521BAFC14AA3}"/>
            </a:ext>
          </a:extLst>
        </xdr:cNvPr>
        <xdr:cNvSpPr txBox="1"/>
      </xdr:nvSpPr>
      <xdr:spPr>
        <a:xfrm>
          <a:off x="4653399" y="1782041"/>
          <a:ext cx="789706" cy="296141"/>
        </a:xfrm>
        <a:prstGeom prst="rect">
          <a:avLst/>
        </a:prstGeom>
        <a:noFill/>
        <a:ln>
          <a:noFill/>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t"/>
        <a:lstStyle/>
        <a:p>
          <a:pPr algn="ctr"/>
          <a:r>
            <a:rPr lang="en-US" sz="1200" b="1">
              <a:solidFill>
                <a:schemeClr val="accent1">
                  <a:lumMod val="75000"/>
                </a:schemeClr>
              </a:solidFill>
              <a:latin typeface="Times New Roman" panose="02020603050405020304" pitchFamily="18" charset="0"/>
              <a:cs typeface="Times New Roman" panose="02020603050405020304" pitchFamily="18" charset="0"/>
            </a:rPr>
            <a:t>VS</a:t>
          </a:r>
          <a:r>
            <a:rPr lang="en-US" sz="1200" b="1" baseline="0">
              <a:solidFill>
                <a:schemeClr val="accent1">
                  <a:lumMod val="75000"/>
                </a:schemeClr>
              </a:solidFill>
              <a:latin typeface="Times New Roman" panose="02020603050405020304" pitchFamily="18" charset="0"/>
              <a:cs typeface="Times New Roman" panose="02020603050405020304" pitchFamily="18" charset="0"/>
            </a:rPr>
            <a:t> LM</a:t>
          </a:r>
          <a:endParaRPr lang="en-US" sz="1200" b="1">
            <a:solidFill>
              <a:schemeClr val="accent1">
                <a:lumMod val="75000"/>
              </a:schemeClr>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614799</xdr:colOff>
      <xdr:row>9</xdr:row>
      <xdr:rowOff>145472</xdr:rowOff>
    </xdr:from>
    <xdr:to>
      <xdr:col>12</xdr:col>
      <xdr:colOff>105641</xdr:colOff>
      <xdr:row>11</xdr:row>
      <xdr:rowOff>77931</xdr:rowOff>
    </xdr:to>
    <xdr:sp macro="" textlink="">
      <xdr:nvSpPr>
        <xdr:cNvPr id="51" name="TextBox 50">
          <a:extLst>
            <a:ext uri="{FF2B5EF4-FFF2-40B4-BE49-F238E27FC236}">
              <a16:creationId xmlns:a16="http://schemas.microsoft.com/office/drawing/2014/main" id="{3C40BF58-7D42-4930-9744-5C5B6431285F}"/>
            </a:ext>
          </a:extLst>
        </xdr:cNvPr>
        <xdr:cNvSpPr txBox="1"/>
      </xdr:nvSpPr>
      <xdr:spPr>
        <a:xfrm>
          <a:off x="7109117" y="1782041"/>
          <a:ext cx="789706" cy="296141"/>
        </a:xfrm>
        <a:prstGeom prst="rect">
          <a:avLst/>
        </a:prstGeom>
        <a:noFill/>
        <a:ln>
          <a:noFill/>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t"/>
        <a:lstStyle/>
        <a:p>
          <a:pPr algn="ctr"/>
          <a:r>
            <a:rPr lang="en-US" sz="1200" b="1">
              <a:solidFill>
                <a:schemeClr val="accent1">
                  <a:lumMod val="75000"/>
                </a:schemeClr>
              </a:solidFill>
              <a:latin typeface="Times New Roman" panose="02020603050405020304" pitchFamily="18" charset="0"/>
              <a:cs typeface="Times New Roman" panose="02020603050405020304" pitchFamily="18" charset="0"/>
            </a:rPr>
            <a:t>VS</a:t>
          </a:r>
          <a:r>
            <a:rPr lang="en-US" sz="1200" b="1" baseline="0">
              <a:solidFill>
                <a:schemeClr val="accent1">
                  <a:lumMod val="75000"/>
                </a:schemeClr>
              </a:solidFill>
              <a:latin typeface="Times New Roman" panose="02020603050405020304" pitchFamily="18" charset="0"/>
              <a:cs typeface="Times New Roman" panose="02020603050405020304" pitchFamily="18" charset="0"/>
            </a:rPr>
            <a:t> LM</a:t>
          </a:r>
          <a:endParaRPr lang="en-US" sz="1200" b="1">
            <a:solidFill>
              <a:schemeClr val="accent1">
                <a:lumMod val="75000"/>
              </a:schemeClr>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472790</xdr:colOff>
      <xdr:row>9</xdr:row>
      <xdr:rowOff>145472</xdr:rowOff>
    </xdr:from>
    <xdr:to>
      <xdr:col>15</xdr:col>
      <xdr:colOff>613063</xdr:colOff>
      <xdr:row>11</xdr:row>
      <xdr:rowOff>77931</xdr:rowOff>
    </xdr:to>
    <xdr:sp macro="" textlink="">
      <xdr:nvSpPr>
        <xdr:cNvPr id="54" name="TextBox 53">
          <a:extLst>
            <a:ext uri="{FF2B5EF4-FFF2-40B4-BE49-F238E27FC236}">
              <a16:creationId xmlns:a16="http://schemas.microsoft.com/office/drawing/2014/main" id="{285B8F91-5DA5-4FDC-B4EA-E3852BA0A183}"/>
            </a:ext>
          </a:extLst>
        </xdr:cNvPr>
        <xdr:cNvSpPr txBox="1"/>
      </xdr:nvSpPr>
      <xdr:spPr>
        <a:xfrm>
          <a:off x="9564835" y="1782041"/>
          <a:ext cx="789706" cy="296141"/>
        </a:xfrm>
        <a:prstGeom prst="rect">
          <a:avLst/>
        </a:prstGeom>
        <a:noFill/>
        <a:ln>
          <a:noFill/>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t"/>
        <a:lstStyle/>
        <a:p>
          <a:pPr algn="ctr"/>
          <a:r>
            <a:rPr lang="en-US" sz="1200" b="1">
              <a:solidFill>
                <a:schemeClr val="accent1">
                  <a:lumMod val="75000"/>
                </a:schemeClr>
              </a:solidFill>
              <a:latin typeface="Times New Roman" panose="02020603050405020304" pitchFamily="18" charset="0"/>
              <a:cs typeface="Times New Roman" panose="02020603050405020304" pitchFamily="18" charset="0"/>
            </a:rPr>
            <a:t>VS</a:t>
          </a:r>
          <a:r>
            <a:rPr lang="en-US" sz="1200" b="1" baseline="0">
              <a:solidFill>
                <a:schemeClr val="accent1">
                  <a:lumMod val="75000"/>
                </a:schemeClr>
              </a:solidFill>
              <a:latin typeface="Times New Roman" panose="02020603050405020304" pitchFamily="18" charset="0"/>
              <a:cs typeface="Times New Roman" panose="02020603050405020304" pitchFamily="18" charset="0"/>
            </a:rPr>
            <a:t> LM</a:t>
          </a:r>
          <a:endParaRPr lang="en-US" sz="1200" b="1">
            <a:solidFill>
              <a:schemeClr val="accent1">
                <a:lumMod val="75000"/>
              </a:schemeClr>
            </a:solidFill>
            <a:latin typeface="Times New Roman" panose="02020603050405020304" pitchFamily="18" charset="0"/>
            <a:cs typeface="Times New Roman" panose="02020603050405020304" pitchFamily="18" charset="0"/>
          </a:endParaRPr>
        </a:p>
      </xdr:txBody>
    </xdr:sp>
    <xdr:clientData/>
  </xdr:twoCellAnchor>
  <xdr:twoCellAnchor editAs="oneCell">
    <xdr:from>
      <xdr:col>15</xdr:col>
      <xdr:colOff>69270</xdr:colOff>
      <xdr:row>0</xdr:row>
      <xdr:rowOff>86592</xdr:rowOff>
    </xdr:from>
    <xdr:to>
      <xdr:col>24</xdr:col>
      <xdr:colOff>225136</xdr:colOff>
      <xdr:row>2</xdr:row>
      <xdr:rowOff>155864</xdr:rowOff>
    </xdr:to>
    <mc:AlternateContent xmlns:mc="http://schemas.openxmlformats.org/markup-compatibility/2006" xmlns:a14="http://schemas.microsoft.com/office/drawing/2010/main">
      <mc:Choice Requires="a14">
        <xdr:graphicFrame macro="">
          <xdr:nvGraphicFramePr>
            <xdr:cNvPr id="55" name="Month 1">
              <a:extLst>
                <a:ext uri="{FF2B5EF4-FFF2-40B4-BE49-F238E27FC236}">
                  <a16:creationId xmlns:a16="http://schemas.microsoft.com/office/drawing/2014/main" id="{DD6ADDF2-A68D-4E7B-8B27-2D903DA81A49}"/>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9764360" y="86592"/>
              <a:ext cx="5972919" cy="4366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77930</xdr:colOff>
      <xdr:row>0</xdr:row>
      <xdr:rowOff>69272</xdr:rowOff>
    </xdr:from>
    <xdr:to>
      <xdr:col>14</xdr:col>
      <xdr:colOff>580158</xdr:colOff>
      <xdr:row>2</xdr:row>
      <xdr:rowOff>164523</xdr:rowOff>
    </xdr:to>
    <mc:AlternateContent xmlns:mc="http://schemas.openxmlformats.org/markup-compatibility/2006" xmlns:a14="http://schemas.microsoft.com/office/drawing/2010/main">
      <mc:Choice Requires="a14">
        <xdr:graphicFrame macro="">
          <xdr:nvGraphicFramePr>
            <xdr:cNvPr id="56" name="Year 1">
              <a:extLst>
                <a:ext uri="{FF2B5EF4-FFF2-40B4-BE49-F238E27FC236}">
                  <a16:creationId xmlns:a16="http://schemas.microsoft.com/office/drawing/2014/main" id="{03A61671-8555-4CA4-83A4-D14A5546AFA6}"/>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7834001" y="69272"/>
              <a:ext cx="1794907" cy="46264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84324</xdr:colOff>
      <xdr:row>1</xdr:row>
      <xdr:rowOff>58638</xdr:rowOff>
    </xdr:from>
    <xdr:to>
      <xdr:col>1</xdr:col>
      <xdr:colOff>83356</xdr:colOff>
      <xdr:row>4</xdr:row>
      <xdr:rowOff>161581</xdr:rowOff>
    </xdr:to>
    <xdr:pic macro="[0]!Refresh">
      <xdr:nvPicPr>
        <xdr:cNvPr id="58" name="Picture 57" descr="Sand clock - Free time and date icons">
          <a:extLst>
            <a:ext uri="{FF2B5EF4-FFF2-40B4-BE49-F238E27FC236}">
              <a16:creationId xmlns:a16="http://schemas.microsoft.com/office/drawing/2014/main" id="{AD003BDF-D60B-8ED8-98A3-056BF8AD4965}"/>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rot="-1080000">
          <a:off x="84324" y="240480"/>
          <a:ext cx="648465" cy="6484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24</xdr:row>
      <xdr:rowOff>129885</xdr:rowOff>
    </xdr:from>
    <xdr:to>
      <xdr:col>1</xdr:col>
      <xdr:colOff>303067</xdr:colOff>
      <xdr:row>30</xdr:row>
      <xdr:rowOff>35301</xdr:rowOff>
    </xdr:to>
    <xdr:pic>
      <xdr:nvPicPr>
        <xdr:cNvPr id="59" name="Picture 58" descr="Data Analytics Cartoon Stock Photos ...">
          <a:hlinkClick xmlns:r="http://schemas.openxmlformats.org/officeDocument/2006/relationships" r:id="rId8"/>
          <a:extLst>
            <a:ext uri="{FF2B5EF4-FFF2-40B4-BE49-F238E27FC236}">
              <a16:creationId xmlns:a16="http://schemas.microsoft.com/office/drawing/2014/main" id="{37DFB294-0C49-8C75-19B8-053FDA6A1A21}"/>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0" y="4494067"/>
          <a:ext cx="952500" cy="9964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xdr:row>
      <xdr:rowOff>86591</xdr:rowOff>
    </xdr:from>
    <xdr:to>
      <xdr:col>1</xdr:col>
      <xdr:colOff>188809</xdr:colOff>
      <xdr:row>14</xdr:row>
      <xdr:rowOff>17318</xdr:rowOff>
    </xdr:to>
    <xdr:pic>
      <xdr:nvPicPr>
        <xdr:cNvPr id="60" name="Picture 59" descr="Data analysis - Free marketing icons">
          <a:hlinkClick xmlns:r="http://schemas.openxmlformats.org/officeDocument/2006/relationships" r:id="rId10"/>
          <a:extLst>
            <a:ext uri="{FF2B5EF4-FFF2-40B4-BE49-F238E27FC236}">
              <a16:creationId xmlns:a16="http://schemas.microsoft.com/office/drawing/2014/main" id="{C348CEBD-634F-EE2A-59CA-6BA3C3E5F005}"/>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flipH="1">
          <a:off x="0" y="1723160"/>
          <a:ext cx="838242" cy="8399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17</xdr:row>
      <xdr:rowOff>103909</xdr:rowOff>
    </xdr:from>
    <xdr:to>
      <xdr:col>1</xdr:col>
      <xdr:colOff>188809</xdr:colOff>
      <xdr:row>22</xdr:row>
      <xdr:rowOff>34637</xdr:rowOff>
    </xdr:to>
    <xdr:pic>
      <xdr:nvPicPr>
        <xdr:cNvPr id="62" name="Picture 61" descr="Analysis, charts, pie chart, planning ...">
          <a:hlinkClick xmlns:r="http://schemas.openxmlformats.org/officeDocument/2006/relationships" r:id="rId12"/>
          <a:extLst>
            <a:ext uri="{FF2B5EF4-FFF2-40B4-BE49-F238E27FC236}">
              <a16:creationId xmlns:a16="http://schemas.microsoft.com/office/drawing/2014/main" id="{DE5936E6-60EB-ADF3-A89A-E8D86E059F6E}"/>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0" y="3195205"/>
          <a:ext cx="838242" cy="8399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32</xdr:row>
      <xdr:rowOff>0</xdr:rowOff>
    </xdr:from>
    <xdr:to>
      <xdr:col>1</xdr:col>
      <xdr:colOff>260211</xdr:colOff>
      <xdr:row>37</xdr:row>
      <xdr:rowOff>171889</xdr:rowOff>
    </xdr:to>
    <xdr:pic>
      <xdr:nvPicPr>
        <xdr:cNvPr id="66" name="Picture 65" descr="Database Icon PNG, Vector, PSD, and ...">
          <a:hlinkClick xmlns:r="http://schemas.openxmlformats.org/officeDocument/2006/relationships" r:id="rId14"/>
          <a:extLst>
            <a:ext uri="{FF2B5EF4-FFF2-40B4-BE49-F238E27FC236}">
              <a16:creationId xmlns:a16="http://schemas.microsoft.com/office/drawing/2014/main" id="{A86D5A04-8172-88B3-9734-63115F0293B8}"/>
            </a:ext>
          </a:extLst>
        </xdr:cNvPr>
        <xdr:cNvPicPr>
          <a:picLocks noChangeAspect="1"/>
        </xdr:cNvPicPr>
      </xdr:nvPicPr>
      <xdr:blipFill>
        <a:blip xmlns:r="http://schemas.openxmlformats.org/officeDocument/2006/relationships" r:embed="rId15"/>
        <a:stretch>
          <a:fillRect/>
        </a:stretch>
      </xdr:blipFill>
      <xdr:spPr>
        <a:xfrm>
          <a:off x="0" y="5818909"/>
          <a:ext cx="909644" cy="1081095"/>
        </a:xfrm>
        <a:prstGeom prst="rect">
          <a:avLst/>
        </a:prstGeom>
      </xdr:spPr>
    </xdr:pic>
    <xdr:clientData/>
  </xdr:twoCellAnchor>
  <xdr:twoCellAnchor>
    <xdr:from>
      <xdr:col>22</xdr:col>
      <xdr:colOff>117475</xdr:colOff>
      <xdr:row>12</xdr:row>
      <xdr:rowOff>96836</xdr:rowOff>
    </xdr:from>
    <xdr:to>
      <xdr:col>24</xdr:col>
      <xdr:colOff>193675</xdr:colOff>
      <xdr:row>39</xdr:row>
      <xdr:rowOff>142875</xdr:rowOff>
    </xdr:to>
    <xdr:sp macro="" textlink="">
      <xdr:nvSpPr>
        <xdr:cNvPr id="68" name="Rectangle: Rounded Corners 67">
          <a:extLst>
            <a:ext uri="{FF2B5EF4-FFF2-40B4-BE49-F238E27FC236}">
              <a16:creationId xmlns:a16="http://schemas.microsoft.com/office/drawing/2014/main" id="{4ED6B970-C37B-3860-B3A2-CA8C22ECC423}"/>
            </a:ext>
          </a:extLst>
        </xdr:cNvPr>
        <xdr:cNvSpPr/>
      </xdr:nvSpPr>
      <xdr:spPr>
        <a:xfrm>
          <a:off x="14436725" y="2287586"/>
          <a:ext cx="1377950" cy="4975227"/>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editAs="oneCell">
    <xdr:from>
      <xdr:col>22</xdr:col>
      <xdr:colOff>190500</xdr:colOff>
      <xdr:row>13</xdr:row>
      <xdr:rowOff>73026</xdr:rowOff>
    </xdr:from>
    <xdr:to>
      <xdr:col>24</xdr:col>
      <xdr:colOff>119063</xdr:colOff>
      <xdr:row>27</xdr:row>
      <xdr:rowOff>39688</xdr:rowOff>
    </xdr:to>
    <mc:AlternateContent xmlns:mc="http://schemas.openxmlformats.org/markup-compatibility/2006" xmlns:a14="http://schemas.microsoft.com/office/drawing/2010/main">
      <mc:Choice Requires="a14">
        <xdr:graphicFrame macro="">
          <xdr:nvGraphicFramePr>
            <xdr:cNvPr id="69" name="Country 1">
              <a:extLst>
                <a:ext uri="{FF2B5EF4-FFF2-40B4-BE49-F238E27FC236}">
                  <a16:creationId xmlns:a16="http://schemas.microsoft.com/office/drawing/2014/main" id="{12064781-A835-480D-8A00-9AF5B80003A8}"/>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14509750" y="2446339"/>
              <a:ext cx="1230313" cy="25225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206378</xdr:colOff>
      <xdr:row>27</xdr:row>
      <xdr:rowOff>2949</xdr:rowOff>
    </xdr:from>
    <xdr:to>
      <xdr:col>24</xdr:col>
      <xdr:colOff>182564</xdr:colOff>
      <xdr:row>36</xdr:row>
      <xdr:rowOff>158750</xdr:rowOff>
    </xdr:to>
    <mc:AlternateContent xmlns:mc="http://schemas.openxmlformats.org/markup-compatibility/2006" xmlns:a14="http://schemas.microsoft.com/office/drawing/2010/main">
      <mc:Choice Requires="a14">
        <xdr:graphicFrame macro="">
          <xdr:nvGraphicFramePr>
            <xdr:cNvPr id="70" name="Product Category 1">
              <a:extLst>
                <a:ext uri="{FF2B5EF4-FFF2-40B4-BE49-F238E27FC236}">
                  <a16:creationId xmlns:a16="http://schemas.microsoft.com/office/drawing/2014/main" id="{C108A24D-45FD-42EE-9930-A8FEFC7CF655}"/>
                </a:ext>
              </a:extLst>
            </xdr:cNvPr>
            <xdr:cNvGraphicFramePr/>
          </xdr:nvGraphicFramePr>
          <xdr:xfrm>
            <a:off x="0" y="0"/>
            <a:ext cx="0" cy="0"/>
          </xdr:xfrm>
          <a:graphic>
            <a:graphicData uri="http://schemas.microsoft.com/office/drawing/2010/slicer">
              <sle:slicer xmlns:sle="http://schemas.microsoft.com/office/drawing/2010/slicer" name="Product Category 1"/>
            </a:graphicData>
          </a:graphic>
        </xdr:graphicFrame>
      </mc:Choice>
      <mc:Fallback xmlns="">
        <xdr:sp macro="" textlink="">
          <xdr:nvSpPr>
            <xdr:cNvPr id="0" name=""/>
            <xdr:cNvSpPr>
              <a:spLocks noTextEdit="1"/>
            </xdr:cNvSpPr>
          </xdr:nvSpPr>
          <xdr:spPr>
            <a:xfrm>
              <a:off x="14525628" y="4932137"/>
              <a:ext cx="1277936" cy="17988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346213</xdr:colOff>
      <xdr:row>12</xdr:row>
      <xdr:rowOff>85726</xdr:rowOff>
    </xdr:from>
    <xdr:to>
      <xdr:col>7</xdr:col>
      <xdr:colOff>355738</xdr:colOff>
      <xdr:row>40</xdr:row>
      <xdr:rowOff>57151</xdr:rowOff>
    </xdr:to>
    <xdr:sp macro="" textlink="">
      <xdr:nvSpPr>
        <xdr:cNvPr id="71" name="Rectangle: Rounded Corners 70">
          <a:extLst>
            <a:ext uri="{FF2B5EF4-FFF2-40B4-BE49-F238E27FC236}">
              <a16:creationId xmlns:a16="http://schemas.microsoft.com/office/drawing/2014/main" id="{4C8867FA-95CB-D1D8-017B-3DDF9CB3C624}"/>
            </a:ext>
          </a:extLst>
        </xdr:cNvPr>
        <xdr:cNvSpPr/>
      </xdr:nvSpPr>
      <xdr:spPr>
        <a:xfrm>
          <a:off x="998470" y="2197791"/>
          <a:ext cx="3923057" cy="4899577"/>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428625</xdr:colOff>
      <xdr:row>12</xdr:row>
      <xdr:rowOff>95250</xdr:rowOff>
    </xdr:from>
    <xdr:to>
      <xdr:col>14</xdr:col>
      <xdr:colOff>428625</xdr:colOff>
      <xdr:row>25</xdr:row>
      <xdr:rowOff>171449</xdr:rowOff>
    </xdr:to>
    <xdr:sp macro="" textlink="">
      <xdr:nvSpPr>
        <xdr:cNvPr id="72" name="Rectangle: Rounded Corners 71">
          <a:extLst>
            <a:ext uri="{FF2B5EF4-FFF2-40B4-BE49-F238E27FC236}">
              <a16:creationId xmlns:a16="http://schemas.microsoft.com/office/drawing/2014/main" id="{5EFE24CF-EE77-C3DC-A76D-D2DE5FCD7264}"/>
            </a:ext>
          </a:extLst>
        </xdr:cNvPr>
        <xdr:cNvSpPr/>
      </xdr:nvSpPr>
      <xdr:spPr>
        <a:xfrm>
          <a:off x="4962525" y="2266950"/>
          <a:ext cx="4533900" cy="2428875"/>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390525</xdr:colOff>
      <xdr:row>26</xdr:row>
      <xdr:rowOff>38101</xdr:rowOff>
    </xdr:from>
    <xdr:to>
      <xdr:col>14</xdr:col>
      <xdr:colOff>419101</xdr:colOff>
      <xdr:row>39</xdr:row>
      <xdr:rowOff>95249</xdr:rowOff>
    </xdr:to>
    <xdr:sp macro="" textlink="">
      <xdr:nvSpPr>
        <xdr:cNvPr id="73" name="Rectangle: Rounded Corners 72">
          <a:extLst>
            <a:ext uri="{FF2B5EF4-FFF2-40B4-BE49-F238E27FC236}">
              <a16:creationId xmlns:a16="http://schemas.microsoft.com/office/drawing/2014/main" id="{F1C4B915-879B-4270-ABB7-ABC1B6E76D93}"/>
            </a:ext>
          </a:extLst>
        </xdr:cNvPr>
        <xdr:cNvSpPr/>
      </xdr:nvSpPr>
      <xdr:spPr>
        <a:xfrm>
          <a:off x="4914901" y="4814208"/>
          <a:ext cx="4552950" cy="2445202"/>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504825</xdr:colOff>
      <xdr:row>12</xdr:row>
      <xdr:rowOff>95250</xdr:rowOff>
    </xdr:from>
    <xdr:to>
      <xdr:col>21</xdr:col>
      <xdr:colOff>590551</xdr:colOff>
      <xdr:row>25</xdr:row>
      <xdr:rowOff>171449</xdr:rowOff>
    </xdr:to>
    <xdr:sp macro="" textlink="">
      <xdr:nvSpPr>
        <xdr:cNvPr id="76" name="Rectangle: Rounded Corners 75">
          <a:extLst>
            <a:ext uri="{FF2B5EF4-FFF2-40B4-BE49-F238E27FC236}">
              <a16:creationId xmlns:a16="http://schemas.microsoft.com/office/drawing/2014/main" id="{AED9A647-3DED-4031-BBCC-B3ABBF2BF172}"/>
            </a:ext>
          </a:extLst>
        </xdr:cNvPr>
        <xdr:cNvSpPr/>
      </xdr:nvSpPr>
      <xdr:spPr>
        <a:xfrm>
          <a:off x="9553575" y="2299607"/>
          <a:ext cx="4610102" cy="2464253"/>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466725</xdr:colOff>
      <xdr:row>26</xdr:row>
      <xdr:rowOff>47625</xdr:rowOff>
    </xdr:from>
    <xdr:to>
      <xdr:col>21</xdr:col>
      <xdr:colOff>552451</xdr:colOff>
      <xdr:row>39</xdr:row>
      <xdr:rowOff>123824</xdr:rowOff>
    </xdr:to>
    <xdr:sp macro="" textlink="">
      <xdr:nvSpPr>
        <xdr:cNvPr id="77" name="Rectangle: Rounded Corners 76">
          <a:extLst>
            <a:ext uri="{FF2B5EF4-FFF2-40B4-BE49-F238E27FC236}">
              <a16:creationId xmlns:a16="http://schemas.microsoft.com/office/drawing/2014/main" id="{599FD1E7-E128-45A4-B21C-E2020E8D7AA1}"/>
            </a:ext>
          </a:extLst>
        </xdr:cNvPr>
        <xdr:cNvSpPr/>
      </xdr:nvSpPr>
      <xdr:spPr>
        <a:xfrm>
          <a:off x="9534525" y="4752975"/>
          <a:ext cx="4619626" cy="2428875"/>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435427</xdr:colOff>
      <xdr:row>12</xdr:row>
      <xdr:rowOff>54429</xdr:rowOff>
    </xdr:from>
    <xdr:to>
      <xdr:col>14</xdr:col>
      <xdr:colOff>489857</xdr:colOff>
      <xdr:row>25</xdr:row>
      <xdr:rowOff>170089</xdr:rowOff>
    </xdr:to>
    <xdr:graphicFrame macro="">
      <xdr:nvGraphicFramePr>
        <xdr:cNvPr id="78" name="Chart 77">
          <a:extLst>
            <a:ext uri="{FF2B5EF4-FFF2-40B4-BE49-F238E27FC236}">
              <a16:creationId xmlns:a16="http://schemas.microsoft.com/office/drawing/2014/main" id="{72B00EA3-9D67-4C6F-94C5-F67197B654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7</xdr:col>
      <xdr:colOff>478973</xdr:colOff>
      <xdr:row>26</xdr:row>
      <xdr:rowOff>20411</xdr:rowOff>
    </xdr:from>
    <xdr:to>
      <xdr:col>15</xdr:col>
      <xdr:colOff>353785</xdr:colOff>
      <xdr:row>40</xdr:row>
      <xdr:rowOff>20411</xdr:rowOff>
    </xdr:to>
    <xdr:graphicFrame macro="">
      <xdr:nvGraphicFramePr>
        <xdr:cNvPr id="83" name="Chart 82">
          <a:extLst>
            <a:ext uri="{FF2B5EF4-FFF2-40B4-BE49-F238E27FC236}">
              <a16:creationId xmlns:a16="http://schemas.microsoft.com/office/drawing/2014/main" id="{2BF54ACD-D6EA-4068-BB10-8857965360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14</xdr:col>
      <xdr:colOff>601435</xdr:colOff>
      <xdr:row>26</xdr:row>
      <xdr:rowOff>10886</xdr:rowOff>
    </xdr:from>
    <xdr:to>
      <xdr:col>22</xdr:col>
      <xdr:colOff>149678</xdr:colOff>
      <xdr:row>40</xdr:row>
      <xdr:rowOff>47625</xdr:rowOff>
    </xdr:to>
    <xdr:graphicFrame macro="">
      <xdr:nvGraphicFramePr>
        <xdr:cNvPr id="84" name="Chart 83">
          <a:extLst>
            <a:ext uri="{FF2B5EF4-FFF2-40B4-BE49-F238E27FC236}">
              <a16:creationId xmlns:a16="http://schemas.microsoft.com/office/drawing/2014/main" id="{E91C48E6-5428-462A-8CAE-339991BCC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xdr:col>
      <xdr:colOff>470808</xdr:colOff>
      <xdr:row>12</xdr:row>
      <xdr:rowOff>34018</xdr:rowOff>
    </xdr:from>
    <xdr:to>
      <xdr:col>21</xdr:col>
      <xdr:colOff>442232</xdr:colOff>
      <xdr:row>25</xdr:row>
      <xdr:rowOff>81642</xdr:rowOff>
    </xdr:to>
    <xdr:graphicFrame macro="">
      <xdr:nvGraphicFramePr>
        <xdr:cNvPr id="86" name="Chart 85">
          <a:extLst>
            <a:ext uri="{FF2B5EF4-FFF2-40B4-BE49-F238E27FC236}">
              <a16:creationId xmlns:a16="http://schemas.microsoft.com/office/drawing/2014/main" id="{F0B8581B-C750-4136-89AC-361A301400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449036</xdr:colOff>
          <xdr:row>10</xdr:row>
          <xdr:rowOff>20411</xdr:rowOff>
        </xdr:from>
        <xdr:to>
          <xdr:col>2</xdr:col>
          <xdr:colOff>444482</xdr:colOff>
          <xdr:row>11</xdr:row>
          <xdr:rowOff>25379</xdr:rowOff>
        </xdr:to>
        <xdr:pic>
          <xdr:nvPicPr>
            <xdr:cNvPr id="17" name="Picture 16">
              <a:extLst>
                <a:ext uri="{FF2B5EF4-FFF2-40B4-BE49-F238E27FC236}">
                  <a16:creationId xmlns:a16="http://schemas.microsoft.com/office/drawing/2014/main" id="{681D1037-AB5E-6D11-E485-4779F711FEF9}"/>
                </a:ext>
              </a:extLst>
            </xdr:cNvPr>
            <xdr:cNvPicPr>
              <a:picLocks noChangeAspect="1" noChangeArrowheads="1"/>
              <a:extLst>
                <a:ext uri="{84589F7E-364E-4C9E-8A38-B11213B215E9}">
                  <a14:cameraTool cellRange="'Pivot tables'!$H$38" spid="_x0000_s2257"/>
                </a:ext>
              </a:extLst>
            </xdr:cNvPicPr>
          </xdr:nvPicPr>
          <xdr:blipFill>
            <a:blip xmlns:r="http://schemas.openxmlformats.org/officeDocument/2006/relationships" r:embed="rId20"/>
            <a:srcRect/>
            <a:stretch>
              <a:fillRect/>
            </a:stretch>
          </xdr:blipFill>
          <xdr:spPr bwMode="auto">
            <a:xfrm>
              <a:off x="1101293" y="1780465"/>
              <a:ext cx="647700" cy="18097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272143</xdr:colOff>
          <xdr:row>10</xdr:row>
          <xdr:rowOff>0</xdr:rowOff>
        </xdr:from>
        <xdr:to>
          <xdr:col>6</xdr:col>
          <xdr:colOff>267588</xdr:colOff>
          <xdr:row>11</xdr:row>
          <xdr:rowOff>4968</xdr:rowOff>
        </xdr:to>
        <xdr:pic>
          <xdr:nvPicPr>
            <xdr:cNvPr id="24" name="Picture 23">
              <a:extLst>
                <a:ext uri="{FF2B5EF4-FFF2-40B4-BE49-F238E27FC236}">
                  <a16:creationId xmlns:a16="http://schemas.microsoft.com/office/drawing/2014/main" id="{78A2B612-2CD8-2BAD-0B6F-A4E457269823}"/>
                </a:ext>
              </a:extLst>
            </xdr:cNvPr>
            <xdr:cNvPicPr>
              <a:picLocks noChangeAspect="1" noChangeArrowheads="1"/>
              <a:extLst>
                <a:ext uri="{84589F7E-364E-4C9E-8A38-B11213B215E9}">
                  <a14:cameraTool cellRange="'Pivot tables'!$H$44" spid="_x0000_s2258"/>
                </a:ext>
              </a:extLst>
            </xdr:cNvPicPr>
          </xdr:nvPicPr>
          <xdr:blipFill>
            <a:blip xmlns:r="http://schemas.openxmlformats.org/officeDocument/2006/relationships" r:embed="rId21"/>
            <a:srcRect/>
            <a:stretch>
              <a:fillRect/>
            </a:stretch>
          </xdr:blipFill>
          <xdr:spPr bwMode="auto">
            <a:xfrm>
              <a:off x="3533421" y="1760054"/>
              <a:ext cx="647700" cy="18097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149679</xdr:colOff>
          <xdr:row>10</xdr:row>
          <xdr:rowOff>13608</xdr:rowOff>
        </xdr:from>
        <xdr:to>
          <xdr:col>10</xdr:col>
          <xdr:colOff>145125</xdr:colOff>
          <xdr:row>11</xdr:row>
          <xdr:rowOff>18576</xdr:rowOff>
        </xdr:to>
        <xdr:pic>
          <xdr:nvPicPr>
            <xdr:cNvPr id="25" name="Picture 24">
              <a:extLst>
                <a:ext uri="{FF2B5EF4-FFF2-40B4-BE49-F238E27FC236}">
                  <a16:creationId xmlns:a16="http://schemas.microsoft.com/office/drawing/2014/main" id="{44FD4DD5-F363-456C-5592-A96185991B5B}"/>
                </a:ext>
              </a:extLst>
            </xdr:cNvPr>
            <xdr:cNvPicPr>
              <a:picLocks noChangeAspect="1" noChangeArrowheads="1"/>
              <a:extLst>
                <a:ext uri="{84589F7E-364E-4C9E-8A38-B11213B215E9}">
                  <a14:cameraTool cellRange="'Pivot tables'!$H$49" spid="_x0000_s2259"/>
                </a:ext>
              </a:extLst>
            </xdr:cNvPicPr>
          </xdr:nvPicPr>
          <xdr:blipFill>
            <a:blip xmlns:r="http://schemas.openxmlformats.org/officeDocument/2006/relationships" r:embed="rId22"/>
            <a:srcRect/>
            <a:stretch>
              <a:fillRect/>
            </a:stretch>
          </xdr:blipFill>
          <xdr:spPr bwMode="auto">
            <a:xfrm>
              <a:off x="6019979" y="1773662"/>
              <a:ext cx="647700" cy="18097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612323</xdr:colOff>
          <xdr:row>10</xdr:row>
          <xdr:rowOff>6804</xdr:rowOff>
        </xdr:from>
        <xdr:to>
          <xdr:col>13</xdr:col>
          <xdr:colOff>607766</xdr:colOff>
          <xdr:row>11</xdr:row>
          <xdr:rowOff>11772</xdr:rowOff>
        </xdr:to>
        <xdr:pic>
          <xdr:nvPicPr>
            <xdr:cNvPr id="35" name="Picture 34">
              <a:extLst>
                <a:ext uri="{FF2B5EF4-FFF2-40B4-BE49-F238E27FC236}">
                  <a16:creationId xmlns:a16="http://schemas.microsoft.com/office/drawing/2014/main" id="{12544A75-FE77-EEF1-A0DB-F81F5EDF4AEE}"/>
                </a:ext>
              </a:extLst>
            </xdr:cNvPr>
            <xdr:cNvPicPr>
              <a:picLocks noChangeAspect="1" noChangeArrowheads="1"/>
              <a:extLst>
                <a:ext uri="{84589F7E-364E-4C9E-8A38-B11213B215E9}">
                  <a14:cameraTool cellRange="'Pivot tables'!$H$54" spid="_x0000_s2260"/>
                </a:ext>
              </a:extLst>
            </xdr:cNvPicPr>
          </xdr:nvPicPr>
          <xdr:blipFill>
            <a:blip xmlns:r="http://schemas.openxmlformats.org/officeDocument/2006/relationships" r:embed="rId23"/>
            <a:srcRect/>
            <a:stretch>
              <a:fillRect/>
            </a:stretch>
          </xdr:blipFill>
          <xdr:spPr bwMode="auto">
            <a:xfrm>
              <a:off x="8439388" y="1766858"/>
              <a:ext cx="647700" cy="18097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300242</xdr:colOff>
      <xdr:row>12</xdr:row>
      <xdr:rowOff>93181</xdr:rowOff>
    </xdr:from>
    <xdr:to>
      <xdr:col>7</xdr:col>
      <xdr:colOff>289889</xdr:colOff>
      <xdr:row>40</xdr:row>
      <xdr:rowOff>51767</xdr:rowOff>
    </xdr:to>
    <mc:AlternateContent xmlns:mc="http://schemas.openxmlformats.org/markup-compatibility/2006">
      <mc:Choice xmlns:cx1="http://schemas.microsoft.com/office/drawing/2015/9/8/chartex" Requires="cx1">
        <xdr:graphicFrame macro="">
          <xdr:nvGraphicFramePr>
            <xdr:cNvPr id="36" name="Chart 35">
              <a:extLst>
                <a:ext uri="{FF2B5EF4-FFF2-40B4-BE49-F238E27FC236}">
                  <a16:creationId xmlns:a16="http://schemas.microsoft.com/office/drawing/2014/main" id="{42731C1A-43EE-4272-827C-89F3E2183DB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4"/>
            </a:graphicData>
          </a:graphic>
        </xdr:graphicFrame>
      </mc:Choice>
      <mc:Fallback>
        <xdr:sp macro="" textlink="">
          <xdr:nvSpPr>
            <xdr:cNvPr id="0" name=""/>
            <xdr:cNvSpPr>
              <a:spLocks noTextEdit="1"/>
            </xdr:cNvSpPr>
          </xdr:nvSpPr>
          <xdr:spPr>
            <a:xfrm>
              <a:off x="947942" y="2264881"/>
              <a:ext cx="3875847" cy="502588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300241</xdr:colOff>
      <xdr:row>12</xdr:row>
      <xdr:rowOff>93180</xdr:rowOff>
    </xdr:from>
    <xdr:to>
      <xdr:col>7</xdr:col>
      <xdr:colOff>476248</xdr:colOff>
      <xdr:row>40</xdr:row>
      <xdr:rowOff>113885</xdr:rowOff>
    </xdr:to>
    <mc:AlternateContent xmlns:mc="http://schemas.openxmlformats.org/markup-compatibility/2006">
      <mc:Choice xmlns:cx1="http://schemas.microsoft.com/office/drawing/2015/9/8/chartex" Requires="cx1">
        <xdr:graphicFrame macro="">
          <xdr:nvGraphicFramePr>
            <xdr:cNvPr id="40" name="Chart 39">
              <a:extLst>
                <a:ext uri="{FF2B5EF4-FFF2-40B4-BE49-F238E27FC236}">
                  <a16:creationId xmlns:a16="http://schemas.microsoft.com/office/drawing/2014/main" id="{056B4349-A1D3-4B1A-AF11-8609157CF9C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5"/>
            </a:graphicData>
          </a:graphic>
        </xdr:graphicFrame>
      </mc:Choice>
      <mc:Fallback>
        <xdr:sp macro="" textlink="">
          <xdr:nvSpPr>
            <xdr:cNvPr id="0" name=""/>
            <xdr:cNvSpPr>
              <a:spLocks noTextEdit="1"/>
            </xdr:cNvSpPr>
          </xdr:nvSpPr>
          <xdr:spPr>
            <a:xfrm>
              <a:off x="947941" y="2264880"/>
              <a:ext cx="4062207" cy="508800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424481</xdr:colOff>
      <xdr:row>13</xdr:row>
      <xdr:rowOff>41412</xdr:rowOff>
    </xdr:from>
    <xdr:to>
      <xdr:col>7</xdr:col>
      <xdr:colOff>548722</xdr:colOff>
      <xdr:row>40</xdr:row>
      <xdr:rowOff>31060</xdr:rowOff>
    </xdr:to>
    <mc:AlternateContent xmlns:mc="http://schemas.openxmlformats.org/markup-compatibility/2006">
      <mc:Choice xmlns:cx4="http://schemas.microsoft.com/office/drawing/2016/5/10/chartex" Requires="cx4">
        <xdr:graphicFrame macro="">
          <xdr:nvGraphicFramePr>
            <xdr:cNvPr id="57" name="Chart 56">
              <a:extLst>
                <a:ext uri="{FF2B5EF4-FFF2-40B4-BE49-F238E27FC236}">
                  <a16:creationId xmlns:a16="http://schemas.microsoft.com/office/drawing/2014/main" id="{F10AD694-ECBE-4943-B1D8-7A39D6A28D2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6"/>
            </a:graphicData>
          </a:graphic>
        </xdr:graphicFrame>
      </mc:Choice>
      <mc:Fallback>
        <xdr:sp macro="" textlink="">
          <xdr:nvSpPr>
            <xdr:cNvPr id="0" name=""/>
            <xdr:cNvSpPr>
              <a:spLocks noTextEdit="1"/>
            </xdr:cNvSpPr>
          </xdr:nvSpPr>
          <xdr:spPr>
            <a:xfrm>
              <a:off x="1072181" y="2394087"/>
              <a:ext cx="4010441" cy="487597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416718</xdr:colOff>
      <xdr:row>17</xdr:row>
      <xdr:rowOff>138111</xdr:rowOff>
    </xdr:from>
    <xdr:to>
      <xdr:col>11</xdr:col>
      <xdr:colOff>395287</xdr:colOff>
      <xdr:row>22</xdr:row>
      <xdr:rowOff>171450</xdr:rowOff>
    </xdr:to>
    <xdr:graphicFrame macro="">
      <xdr:nvGraphicFramePr>
        <xdr:cNvPr id="5" name="Chart 4">
          <a:extLst>
            <a:ext uri="{FF2B5EF4-FFF2-40B4-BE49-F238E27FC236}">
              <a16:creationId xmlns:a16="http://schemas.microsoft.com/office/drawing/2014/main" id="{017810F8-F95A-4C01-7F81-E09A0BED97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159542</xdr:colOff>
      <xdr:row>13</xdr:row>
      <xdr:rowOff>95250</xdr:rowOff>
    </xdr:from>
    <xdr:to>
      <xdr:col>11</xdr:col>
      <xdr:colOff>423862</xdr:colOff>
      <xdr:row>17</xdr:row>
      <xdr:rowOff>57150</xdr:rowOff>
    </xdr:to>
    <xdr:graphicFrame macro="">
      <xdr:nvGraphicFramePr>
        <xdr:cNvPr id="6" name="Chart 5">
          <a:extLst>
            <a:ext uri="{FF2B5EF4-FFF2-40B4-BE49-F238E27FC236}">
              <a16:creationId xmlns:a16="http://schemas.microsoft.com/office/drawing/2014/main" id="{AC205168-B6DB-8594-484D-10C2455BEB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333376</xdr:colOff>
      <xdr:row>18</xdr:row>
      <xdr:rowOff>38101</xdr:rowOff>
    </xdr:from>
    <xdr:to>
      <xdr:col>6</xdr:col>
      <xdr:colOff>1300164</xdr:colOff>
      <xdr:row>32</xdr:row>
      <xdr:rowOff>28576</xdr:rowOff>
    </xdr:to>
    <mc:AlternateContent xmlns:mc="http://schemas.openxmlformats.org/markup-compatibility/2006" xmlns:a14="http://schemas.microsoft.com/office/drawing/2010/main">
      <mc:Choice Requires="a14">
        <xdr:graphicFrame macro="">
          <xdr:nvGraphicFramePr>
            <xdr:cNvPr id="2" name="Month">
              <a:extLst>
                <a:ext uri="{FF2B5EF4-FFF2-40B4-BE49-F238E27FC236}">
                  <a16:creationId xmlns:a16="http://schemas.microsoft.com/office/drawing/2014/main" id="{38F93D05-33D3-8A0D-1C07-B844FE557A8D}"/>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5614989" y="329565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204787</xdr:colOff>
      <xdr:row>23</xdr:row>
      <xdr:rowOff>28576</xdr:rowOff>
    </xdr:from>
    <xdr:to>
      <xdr:col>9</xdr:col>
      <xdr:colOff>600075</xdr:colOff>
      <xdr:row>31</xdr:row>
      <xdr:rowOff>85726</xdr:rowOff>
    </xdr:to>
    <mc:AlternateContent xmlns:mc="http://schemas.openxmlformats.org/markup-compatibility/2006" xmlns:a14="http://schemas.microsoft.com/office/drawing/2010/main">
      <mc:Choice Requires="a14">
        <xdr:graphicFrame macro="">
          <xdr:nvGraphicFramePr>
            <xdr:cNvPr id="3" name="Year">
              <a:extLst>
                <a:ext uri="{FF2B5EF4-FFF2-40B4-BE49-F238E27FC236}">
                  <a16:creationId xmlns:a16="http://schemas.microsoft.com/office/drawing/2014/main" id="{6D91DD81-8AFD-9ABA-F3D9-0C4999452EFF}"/>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7277100" y="4191001"/>
              <a:ext cx="1690688" cy="15049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80961</xdr:colOff>
      <xdr:row>27</xdr:row>
      <xdr:rowOff>28576</xdr:rowOff>
    </xdr:from>
    <xdr:to>
      <xdr:col>11</xdr:col>
      <xdr:colOff>766762</xdr:colOff>
      <xdr:row>36</xdr:row>
      <xdr:rowOff>114301</xdr:rowOff>
    </xdr:to>
    <mc:AlternateContent xmlns:mc="http://schemas.openxmlformats.org/markup-compatibility/2006" xmlns:a14="http://schemas.microsoft.com/office/drawing/2010/main">
      <mc:Choice Requires="a14">
        <xdr:graphicFrame macro="">
          <xdr:nvGraphicFramePr>
            <xdr:cNvPr id="4" name="Product Category">
              <a:extLst>
                <a:ext uri="{FF2B5EF4-FFF2-40B4-BE49-F238E27FC236}">
                  <a16:creationId xmlns:a16="http://schemas.microsoft.com/office/drawing/2014/main" id="{FA1BF282-8A29-7F93-ACE0-6BB958777952}"/>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9096374" y="4914901"/>
              <a:ext cx="1333501" cy="1714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638175</xdr:colOff>
      <xdr:row>26</xdr:row>
      <xdr:rowOff>71439</xdr:rowOff>
    </xdr:from>
    <xdr:to>
      <xdr:col>16</xdr:col>
      <xdr:colOff>109538</xdr:colOff>
      <xdr:row>38</xdr:row>
      <xdr:rowOff>157163</xdr:rowOff>
    </xdr:to>
    <mc:AlternateContent xmlns:mc="http://schemas.openxmlformats.org/markup-compatibility/2006" xmlns:a14="http://schemas.microsoft.com/office/drawing/2010/main">
      <mc:Choice Requires="a14">
        <xdr:graphicFrame macro="">
          <xdr:nvGraphicFramePr>
            <xdr:cNvPr id="7" name="Country">
              <a:extLst>
                <a:ext uri="{FF2B5EF4-FFF2-40B4-BE49-F238E27FC236}">
                  <a16:creationId xmlns:a16="http://schemas.microsoft.com/office/drawing/2014/main" id="{D2A58C16-A22D-BDB1-AB5D-2F9EF4F436BD}"/>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1596688" y="4776789"/>
              <a:ext cx="1414463" cy="22574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440530</xdr:colOff>
      <xdr:row>69</xdr:row>
      <xdr:rowOff>128587</xdr:rowOff>
    </xdr:from>
    <xdr:to>
      <xdr:col>26</xdr:col>
      <xdr:colOff>478630</xdr:colOff>
      <xdr:row>84</xdr:row>
      <xdr:rowOff>142875</xdr:rowOff>
    </xdr:to>
    <xdr:graphicFrame macro="">
      <xdr:nvGraphicFramePr>
        <xdr:cNvPr id="14" name="Chart 13">
          <a:extLst>
            <a:ext uri="{FF2B5EF4-FFF2-40B4-BE49-F238E27FC236}">
              <a16:creationId xmlns:a16="http://schemas.microsoft.com/office/drawing/2014/main" id="{318C903E-F76B-70AA-8A97-9075F4FBB1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602456</xdr:colOff>
      <xdr:row>95</xdr:row>
      <xdr:rowOff>123825</xdr:rowOff>
    </xdr:from>
    <xdr:to>
      <xdr:col>21</xdr:col>
      <xdr:colOff>64294</xdr:colOff>
      <xdr:row>110</xdr:row>
      <xdr:rowOff>152400</xdr:rowOff>
    </xdr:to>
    <xdr:graphicFrame macro="">
      <xdr:nvGraphicFramePr>
        <xdr:cNvPr id="16" name="Chart 15">
          <a:extLst>
            <a:ext uri="{FF2B5EF4-FFF2-40B4-BE49-F238E27FC236}">
              <a16:creationId xmlns:a16="http://schemas.microsoft.com/office/drawing/2014/main" id="{4DBB4708-5637-D636-B23D-CDCCFCFB51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578643</xdr:colOff>
      <xdr:row>96</xdr:row>
      <xdr:rowOff>176212</xdr:rowOff>
    </xdr:from>
    <xdr:to>
      <xdr:col>12</xdr:col>
      <xdr:colOff>16668</xdr:colOff>
      <xdr:row>112</xdr:row>
      <xdr:rowOff>23812</xdr:rowOff>
    </xdr:to>
    <mc:AlternateContent xmlns:mc="http://schemas.openxmlformats.org/markup-compatibility/2006">
      <mc:Choice xmlns:cx4="http://schemas.microsoft.com/office/drawing/2016/5/10/chartex" Requires="cx4">
        <xdr:graphicFrame macro="">
          <xdr:nvGraphicFramePr>
            <xdr:cNvPr id="13" name="Chart 12">
              <a:extLst>
                <a:ext uri="{FF2B5EF4-FFF2-40B4-BE49-F238E27FC236}">
                  <a16:creationId xmlns:a16="http://schemas.microsoft.com/office/drawing/2014/main" id="{D8E2B5E0-287E-5B9C-E93C-BE6DFF99251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6722268" y="17549812"/>
              <a:ext cx="4429125"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5817.660497222219" createdVersion="8" refreshedVersion="8" minRefreshableVersion="3" recordCount="560" xr:uid="{A57A0616-B38C-48CA-A35E-9D9F8CB0B7D9}">
  <cacheSource type="worksheet">
    <worksheetSource name="Table1"/>
  </cacheSource>
  <cacheFields count="17">
    <cacheField name="Customer Name" numFmtId="0">
      <sharedItems/>
    </cacheField>
    <cacheField name="Product Category" numFmtId="0">
      <sharedItems count="5">
        <s v="Electronics"/>
        <s v="Books"/>
        <s v="Apparel"/>
        <s v="Groceries"/>
        <s v="Home Decor"/>
      </sharedItems>
    </cacheField>
    <cacheField name="Product Name" numFmtId="0">
      <sharedItems/>
    </cacheField>
    <cacheField name="Order Date" numFmtId="14">
      <sharedItems containsSemiMixedTypes="0" containsNonDate="0" containsDate="1" containsString="0" minDate="2024-01-01T00:00:00" maxDate="2025-12-29T00:00:00"/>
    </cacheField>
    <cacheField name="Delivered Date" numFmtId="14">
      <sharedItems containsNonDate="0" containsDate="1" containsString="0" containsBlank="1" minDate="2024-01-10T00:00:00" maxDate="2026-01-01T00:00:00"/>
    </cacheField>
    <cacheField name="Quantity" numFmtId="0">
      <sharedItems containsSemiMixedTypes="0" containsString="0" containsNumber="1" containsInteger="1" minValue="1" maxValue="10"/>
    </cacheField>
    <cacheField name="Unit Price" numFmtId="0">
      <sharedItems containsSemiMixedTypes="0" containsString="0" containsNumber="1" containsInteger="1" minValue="10" maxValue="998"/>
    </cacheField>
    <cacheField name="Status" numFmtId="0">
      <sharedItems containsBlank="1" count="3">
        <s v="Completed"/>
        <s v="Returned"/>
        <m u="1"/>
      </sharedItems>
    </cacheField>
    <cacheField name="Country" numFmtId="0">
      <sharedItems count="7">
        <s v="Australia"/>
        <s v="United Kingdom"/>
        <s v="China"/>
        <s v="Nigeria"/>
        <s v="United States"/>
        <s v="Brazil"/>
        <s v="Antarctica"/>
      </sharedItems>
    </cacheField>
    <cacheField name="Payment Method" numFmtId="0">
      <sharedItems count="4">
        <s v="Mobile Money"/>
        <s v="Credit Card"/>
        <s v="Cash"/>
        <s v="Bank Transfer"/>
      </sharedItems>
    </cacheField>
    <cacheField name="Year" numFmtId="0">
      <sharedItems count="2">
        <s v="2024"/>
        <s v="2025"/>
      </sharedItems>
    </cacheField>
    <cacheField name="Month" numFmtId="0">
      <sharedItems count="12">
        <s v="May"/>
        <s v="Oct"/>
        <s v="Jul"/>
        <s v="Mar"/>
        <s v="Nov"/>
        <s v="Jun"/>
        <s v="Dec"/>
        <s v="Feb"/>
        <s v="Sep"/>
        <s v="Aug"/>
        <s v="Jan"/>
        <s v="Apr"/>
      </sharedItems>
    </cacheField>
    <cacheField name="Day" numFmtId="0">
      <sharedItems count="7">
        <s v="Monday"/>
        <s v="Tuesday"/>
        <s v="Wednesday"/>
        <s v="Thursday"/>
        <s v="Sunday"/>
        <s v="Saturday"/>
        <s v="Friday"/>
      </sharedItems>
    </cacheField>
    <cacheField name="Delivery time" numFmtId="0">
      <sharedItems containsMixedTypes="1" containsNumber="1" containsInteger="1" minValue="1" maxValue="42"/>
    </cacheField>
    <cacheField name="Total cost" numFmtId="0">
      <sharedItems containsSemiMixedTypes="0" containsString="0" containsNumber="1" containsInteger="1" minValue="8" maxValue="7305"/>
    </cacheField>
    <cacheField name="Sales Revenue" numFmtId="0">
      <sharedItems containsSemiMixedTypes="0" containsString="0" containsNumber="1" containsInteger="1" minValue="13" maxValue="9740"/>
    </cacheField>
    <cacheField name="Net Profit" numFmtId="0">
      <sharedItems containsSemiMixedTypes="0" containsString="0" containsNumber="1" containsInteger="1" minValue="5" maxValue="4615"/>
    </cacheField>
  </cacheFields>
  <extLst>
    <ext xmlns:x14="http://schemas.microsoft.com/office/spreadsheetml/2009/9/main" uri="{725AE2AE-9491-48be-B2B4-4EB974FC3084}">
      <x14:pivotCacheDefinition pivotCacheId="60474739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0">
  <r>
    <s v="Allison Hill"/>
    <x v="0"/>
    <s v="Smartphone"/>
    <d v="2024-05-20T00:00:00"/>
    <d v="2024-05-24T00:00:00"/>
    <n v="4"/>
    <n v="238"/>
    <x v="0"/>
    <x v="0"/>
    <x v="0"/>
    <x v="0"/>
    <x v="0"/>
    <x v="0"/>
    <n v="4"/>
    <n v="714"/>
    <n v="952"/>
    <n v="238"/>
  </r>
  <r>
    <s v="Lance Hoffman"/>
    <x v="1"/>
    <s v="Fiction"/>
    <d v="2024-10-29T00:00:00"/>
    <d v="2024-11-04T00:00:00"/>
    <n v="7"/>
    <n v="42"/>
    <x v="0"/>
    <x v="0"/>
    <x v="1"/>
    <x v="0"/>
    <x v="1"/>
    <x v="1"/>
    <n v="6"/>
    <n v="147"/>
    <n v="294"/>
    <n v="147"/>
  </r>
  <r>
    <s v="Brent Abbott"/>
    <x v="2"/>
    <s v="Sneakers"/>
    <d v="2024-10-28T00:00:00"/>
    <d v="2024-11-07T00:00:00"/>
    <n v="5"/>
    <n v="838"/>
    <x v="0"/>
    <x v="1"/>
    <x v="1"/>
    <x v="0"/>
    <x v="1"/>
    <x v="0"/>
    <n v="10"/>
    <n v="3143"/>
    <n v="4190"/>
    <n v="1047"/>
  </r>
  <r>
    <s v="Edward Fuller"/>
    <x v="3"/>
    <s v="Cereal"/>
    <d v="2024-05-22T00:00:00"/>
    <m/>
    <n v="3"/>
    <n v="230"/>
    <x v="1"/>
    <x v="1"/>
    <x v="1"/>
    <x v="0"/>
    <x v="0"/>
    <x v="2"/>
    <e v="#NUM!"/>
    <n v="380"/>
    <n v="690"/>
    <n v="310"/>
  </r>
  <r>
    <s v="Melinda Jones"/>
    <x v="0"/>
    <s v="Headphones"/>
    <d v="2024-10-01T00:00:00"/>
    <d v="2024-10-17T00:00:00"/>
    <n v="2"/>
    <n v="954"/>
    <x v="1"/>
    <x v="2"/>
    <x v="2"/>
    <x v="0"/>
    <x v="1"/>
    <x v="1"/>
    <n v="16"/>
    <n v="1240"/>
    <n v="1908"/>
    <n v="668"/>
  </r>
  <r>
    <s v="Andrew Stewart"/>
    <x v="4"/>
    <s v="Vase"/>
    <d v="2024-07-04T00:00:00"/>
    <m/>
    <n v="10"/>
    <n v="206"/>
    <x v="0"/>
    <x v="3"/>
    <x v="2"/>
    <x v="0"/>
    <x v="2"/>
    <x v="3"/>
    <e v="#NUM!"/>
    <n v="1545"/>
    <n v="2060"/>
    <n v="515"/>
  </r>
  <r>
    <s v="Nicole Patterson"/>
    <x v="3"/>
    <s v="Cereal"/>
    <d v="2024-03-24T00:00:00"/>
    <d v="2024-04-05T00:00:00"/>
    <n v="6"/>
    <n v="373"/>
    <x v="1"/>
    <x v="0"/>
    <x v="2"/>
    <x v="0"/>
    <x v="3"/>
    <x v="4"/>
    <n v="12"/>
    <n v="1231"/>
    <n v="2238"/>
    <n v="1007"/>
  </r>
  <r>
    <s v="Anthony Rodriguez"/>
    <x v="0"/>
    <s v="Camera"/>
    <d v="2024-11-21T00:00:00"/>
    <m/>
    <n v="3"/>
    <n v="556"/>
    <x v="0"/>
    <x v="3"/>
    <x v="1"/>
    <x v="0"/>
    <x v="4"/>
    <x v="3"/>
    <e v="#NUM!"/>
    <n v="1334"/>
    <n v="1668"/>
    <n v="334"/>
  </r>
  <r>
    <s v="Shannon Smith"/>
    <x v="3"/>
    <s v="Milk"/>
    <d v="2024-05-18T00:00:00"/>
    <d v="2024-05-22T00:00:00"/>
    <n v="9"/>
    <n v="234"/>
    <x v="0"/>
    <x v="3"/>
    <x v="1"/>
    <x v="0"/>
    <x v="0"/>
    <x v="5"/>
    <n v="4"/>
    <n v="1053"/>
    <n v="2106"/>
    <n v="1053"/>
  </r>
  <r>
    <s v="Pamela Romero"/>
    <x v="2"/>
    <s v="T-Shirt"/>
    <d v="2024-06-10T00:00:00"/>
    <m/>
    <n v="7"/>
    <n v="284"/>
    <x v="1"/>
    <x v="0"/>
    <x v="1"/>
    <x v="0"/>
    <x v="5"/>
    <x v="0"/>
    <e v="#NUM!"/>
    <n v="1292"/>
    <n v="1988"/>
    <n v="696"/>
  </r>
  <r>
    <s v="Tammy Sellers"/>
    <x v="4"/>
    <s v="Curtains"/>
    <d v="2024-12-01T00:00:00"/>
    <d v="2024-12-10T00:00:00"/>
    <n v="8"/>
    <n v="415"/>
    <x v="0"/>
    <x v="3"/>
    <x v="2"/>
    <x v="0"/>
    <x v="6"/>
    <x v="4"/>
    <n v="9"/>
    <n v="2158"/>
    <n v="3320"/>
    <n v="1162"/>
  </r>
  <r>
    <s v="Joseph Obrien"/>
    <x v="1"/>
    <s v="Children's Book"/>
    <d v="2024-07-04T00:00:00"/>
    <m/>
    <n v="4"/>
    <n v="151"/>
    <x v="0"/>
    <x v="3"/>
    <x v="1"/>
    <x v="0"/>
    <x v="2"/>
    <x v="3"/>
    <e v="#NUM!"/>
    <n v="362"/>
    <n v="604"/>
    <n v="242"/>
  </r>
  <r>
    <s v="Austin Smith"/>
    <x v="0"/>
    <s v="Smartphone"/>
    <d v="2024-03-19T00:00:00"/>
    <d v="2024-03-29T00:00:00"/>
    <n v="3"/>
    <n v="821"/>
    <x v="1"/>
    <x v="3"/>
    <x v="3"/>
    <x v="0"/>
    <x v="3"/>
    <x v="1"/>
    <n v="10"/>
    <n v="1847"/>
    <n v="2463"/>
    <n v="616"/>
  </r>
  <r>
    <s v="David Caldwell"/>
    <x v="0"/>
    <s v="Headphones"/>
    <d v="2024-07-14T00:00:00"/>
    <d v="2024-07-28T00:00:00"/>
    <n v="10"/>
    <n v="489"/>
    <x v="1"/>
    <x v="3"/>
    <x v="2"/>
    <x v="0"/>
    <x v="2"/>
    <x v="4"/>
    <n v="14"/>
    <n v="3179"/>
    <n v="4890"/>
    <n v="1711"/>
  </r>
  <r>
    <s v="Matthew Gomez"/>
    <x v="0"/>
    <s v="Smartphone"/>
    <d v="2024-12-15T00:00:00"/>
    <d v="2024-12-24T00:00:00"/>
    <n v="9"/>
    <n v="778"/>
    <x v="0"/>
    <x v="4"/>
    <x v="2"/>
    <x v="0"/>
    <x v="6"/>
    <x v="4"/>
    <n v="9"/>
    <n v="5252"/>
    <n v="7002"/>
    <n v="1750"/>
  </r>
  <r>
    <s v="Maria Brown"/>
    <x v="4"/>
    <s v="Wall Art"/>
    <d v="2024-03-21T00:00:00"/>
    <d v="2024-03-29T00:00:00"/>
    <n v="8"/>
    <n v="13"/>
    <x v="1"/>
    <x v="3"/>
    <x v="3"/>
    <x v="0"/>
    <x v="3"/>
    <x v="3"/>
    <n v="8"/>
    <n v="73"/>
    <n v="104"/>
    <n v="31"/>
  </r>
  <r>
    <s v="Clifford Ford"/>
    <x v="2"/>
    <s v="Dress"/>
    <d v="2024-02-24T00:00:00"/>
    <d v="2024-03-03T00:00:00"/>
    <n v="5"/>
    <n v="871"/>
    <x v="1"/>
    <x v="3"/>
    <x v="0"/>
    <x v="0"/>
    <x v="7"/>
    <x v="5"/>
    <n v="8"/>
    <n v="3049"/>
    <n v="4355"/>
    <n v="1306"/>
  </r>
  <r>
    <s v="Tammy Allison"/>
    <x v="2"/>
    <s v="Jeans"/>
    <d v="2024-07-10T00:00:00"/>
    <d v="2024-07-19T00:00:00"/>
    <n v="3"/>
    <n v="562"/>
    <x v="0"/>
    <x v="1"/>
    <x v="3"/>
    <x v="0"/>
    <x v="2"/>
    <x v="2"/>
    <n v="9"/>
    <n v="1180"/>
    <n v="1686"/>
    <n v="506"/>
  </r>
  <r>
    <s v="Rachel Gibson"/>
    <x v="1"/>
    <s v="Biography"/>
    <d v="2024-09-07T00:00:00"/>
    <d v="2024-09-17T00:00:00"/>
    <n v="1"/>
    <n v="124"/>
    <x v="0"/>
    <x v="4"/>
    <x v="0"/>
    <x v="0"/>
    <x v="8"/>
    <x v="5"/>
    <n v="10"/>
    <n v="68"/>
    <n v="124"/>
    <n v="56"/>
  </r>
  <r>
    <s v="Lauren Daniels"/>
    <x v="0"/>
    <s v="Laptop"/>
    <d v="2024-10-17T00:00:00"/>
    <d v="2024-10-23T00:00:00"/>
    <n v="2"/>
    <n v="97"/>
    <x v="0"/>
    <x v="3"/>
    <x v="3"/>
    <x v="0"/>
    <x v="1"/>
    <x v="3"/>
    <n v="6"/>
    <n v="165"/>
    <n v="194"/>
    <n v="29"/>
  </r>
  <r>
    <s v="Joseph Obrien"/>
    <x v="1"/>
    <s v="Children's Book"/>
    <d v="2024-07-04T00:00:00"/>
    <d v="2024-07-07T00:00:00"/>
    <n v="4"/>
    <n v="151"/>
    <x v="0"/>
    <x v="3"/>
    <x v="0"/>
    <x v="0"/>
    <x v="2"/>
    <x v="3"/>
    <n v="3"/>
    <n v="362"/>
    <n v="604"/>
    <n v="242"/>
  </r>
  <r>
    <s v="Amanda Miller"/>
    <x v="1"/>
    <s v="Cookbook"/>
    <d v="2024-08-04T00:00:00"/>
    <d v="2024-08-16T00:00:00"/>
    <n v="4"/>
    <n v="961"/>
    <x v="1"/>
    <x v="3"/>
    <x v="0"/>
    <x v="0"/>
    <x v="9"/>
    <x v="4"/>
    <n v="12"/>
    <n v="2499"/>
    <n v="3844"/>
    <n v="1345"/>
  </r>
  <r>
    <s v="Michael Evans"/>
    <x v="4"/>
    <s v="Wall Art"/>
    <d v="2024-12-09T00:00:00"/>
    <d v="2024-12-12T00:00:00"/>
    <n v="6"/>
    <n v="458"/>
    <x v="0"/>
    <x v="3"/>
    <x v="1"/>
    <x v="0"/>
    <x v="6"/>
    <x v="0"/>
    <n v="3"/>
    <n v="1924"/>
    <n v="2748"/>
    <n v="824"/>
  </r>
  <r>
    <s v="Angel Lewis MD"/>
    <x v="2"/>
    <s v="Jeans"/>
    <d v="2024-02-02T00:00:00"/>
    <d v="2024-02-12T00:00:00"/>
    <n v="6"/>
    <n v="31"/>
    <x v="0"/>
    <x v="3"/>
    <x v="2"/>
    <x v="0"/>
    <x v="7"/>
    <x v="6"/>
    <n v="10"/>
    <n v="130"/>
    <n v="186"/>
    <n v="56"/>
  </r>
  <r>
    <s v="Joshua Turner"/>
    <x v="1"/>
    <s v="Non-Fiction"/>
    <d v="2024-01-04T00:00:00"/>
    <d v="2024-01-15T00:00:00"/>
    <n v="2"/>
    <n v="734"/>
    <x v="0"/>
    <x v="3"/>
    <x v="3"/>
    <x v="0"/>
    <x v="10"/>
    <x v="3"/>
    <n v="11"/>
    <n v="734"/>
    <n v="1468"/>
    <n v="734"/>
  </r>
  <r>
    <s v="Douglas Clark"/>
    <x v="0"/>
    <s v="Smartphone"/>
    <d v="2024-06-18T00:00:00"/>
    <d v="2024-06-29T00:00:00"/>
    <n v="2"/>
    <n v="536"/>
    <x v="1"/>
    <x v="0"/>
    <x v="0"/>
    <x v="0"/>
    <x v="5"/>
    <x v="1"/>
    <n v="11"/>
    <n v="804"/>
    <n v="1072"/>
    <n v="268"/>
  </r>
  <r>
    <s v="Kimberly Davenport"/>
    <x v="3"/>
    <s v="Milk"/>
    <d v="2024-08-27T00:00:00"/>
    <d v="2024-08-30T00:00:00"/>
    <n v="1"/>
    <n v="200"/>
    <x v="0"/>
    <x v="3"/>
    <x v="3"/>
    <x v="0"/>
    <x v="9"/>
    <x v="1"/>
    <n v="3"/>
    <n v="100"/>
    <n v="200"/>
    <n v="100"/>
  </r>
  <r>
    <s v="Richard Rodriguez"/>
    <x v="1"/>
    <s v="Fiction"/>
    <d v="2024-01-26T00:00:00"/>
    <d v="2024-02-07T00:00:00"/>
    <n v="9"/>
    <n v="866"/>
    <x v="0"/>
    <x v="0"/>
    <x v="2"/>
    <x v="0"/>
    <x v="10"/>
    <x v="6"/>
    <n v="12"/>
    <n v="3897"/>
    <n v="7794"/>
    <n v="3897"/>
  </r>
  <r>
    <s v="Matthew Ross"/>
    <x v="2"/>
    <s v="Sneakers"/>
    <d v="2024-09-05T00:00:00"/>
    <d v="2024-09-19T00:00:00"/>
    <n v="8"/>
    <n v="228"/>
    <x v="0"/>
    <x v="1"/>
    <x v="2"/>
    <x v="0"/>
    <x v="8"/>
    <x v="3"/>
    <n v="14"/>
    <n v="1368"/>
    <n v="1824"/>
    <n v="456"/>
  </r>
  <r>
    <s v="Victoria Johnson"/>
    <x v="3"/>
    <s v="Juice"/>
    <d v="2024-12-04T00:00:00"/>
    <d v="2024-12-11T00:00:00"/>
    <n v="8"/>
    <n v="168"/>
    <x v="0"/>
    <x v="0"/>
    <x v="1"/>
    <x v="0"/>
    <x v="6"/>
    <x v="2"/>
    <n v="7"/>
    <n v="739"/>
    <n v="1344"/>
    <n v="605"/>
  </r>
  <r>
    <s v="Stephanie Lee"/>
    <x v="0"/>
    <s v="Camera"/>
    <d v="2024-10-04T00:00:00"/>
    <d v="2024-10-07T00:00:00"/>
    <n v="1"/>
    <n v="775"/>
    <x v="0"/>
    <x v="4"/>
    <x v="1"/>
    <x v="0"/>
    <x v="1"/>
    <x v="6"/>
    <n v="3"/>
    <n v="620"/>
    <n v="775"/>
    <n v="155"/>
  </r>
  <r>
    <s v="Benjamin Beck"/>
    <x v="1"/>
    <s v="Children's Book"/>
    <d v="2024-09-14T00:00:00"/>
    <d v="2024-09-19T00:00:00"/>
    <n v="9"/>
    <n v="171"/>
    <x v="0"/>
    <x v="0"/>
    <x v="2"/>
    <x v="0"/>
    <x v="8"/>
    <x v="5"/>
    <n v="5"/>
    <n v="923"/>
    <n v="1539"/>
    <n v="616"/>
  </r>
  <r>
    <s v="Stephanie Gilbert"/>
    <x v="0"/>
    <s v="Camera"/>
    <d v="2024-05-06T00:00:00"/>
    <d v="2024-05-19T00:00:00"/>
    <n v="10"/>
    <n v="618"/>
    <x v="0"/>
    <x v="0"/>
    <x v="3"/>
    <x v="0"/>
    <x v="0"/>
    <x v="0"/>
    <n v="13"/>
    <n v="4944"/>
    <n v="6180"/>
    <n v="1236"/>
  </r>
  <r>
    <s v="Jeffrey Carpenter"/>
    <x v="3"/>
    <s v="Juice"/>
    <d v="2024-10-16T00:00:00"/>
    <d v="2024-10-21T00:00:00"/>
    <n v="9"/>
    <n v="333"/>
    <x v="1"/>
    <x v="4"/>
    <x v="3"/>
    <x v="0"/>
    <x v="1"/>
    <x v="2"/>
    <n v="5"/>
    <n v="1648"/>
    <n v="2997"/>
    <n v="1349"/>
  </r>
  <r>
    <s v="Curtis Johnson"/>
    <x v="4"/>
    <s v="Table Lamp"/>
    <d v="2024-01-05T00:00:00"/>
    <d v="2024-01-10T00:00:00"/>
    <n v="8"/>
    <n v="646"/>
    <x v="0"/>
    <x v="3"/>
    <x v="3"/>
    <x v="0"/>
    <x v="10"/>
    <x v="6"/>
    <n v="5"/>
    <n v="3876"/>
    <n v="5168"/>
    <n v="1292"/>
  </r>
  <r>
    <s v="Michael Snyder"/>
    <x v="1"/>
    <s v="Non-Fiction"/>
    <d v="2024-09-16T00:00:00"/>
    <d v="2024-09-21T00:00:00"/>
    <n v="5"/>
    <n v="496"/>
    <x v="0"/>
    <x v="4"/>
    <x v="0"/>
    <x v="0"/>
    <x v="8"/>
    <x v="0"/>
    <n v="5"/>
    <n v="1240"/>
    <n v="2480"/>
    <n v="1240"/>
  </r>
  <r>
    <s v="Melissa Marshall"/>
    <x v="4"/>
    <s v="Cushion"/>
    <d v="2024-03-21T00:00:00"/>
    <d v="2024-04-04T00:00:00"/>
    <n v="8"/>
    <n v="863"/>
    <x v="1"/>
    <x v="3"/>
    <x v="3"/>
    <x v="0"/>
    <x v="3"/>
    <x v="3"/>
    <n v="14"/>
    <n v="4488"/>
    <n v="6904"/>
    <n v="2416"/>
  </r>
  <r>
    <s v="Michelle Wagner"/>
    <x v="1"/>
    <s v="Fiction"/>
    <d v="2024-12-07T00:00:00"/>
    <d v="2024-12-19T00:00:00"/>
    <n v="9"/>
    <n v="316"/>
    <x v="0"/>
    <x v="3"/>
    <x v="0"/>
    <x v="0"/>
    <x v="6"/>
    <x v="5"/>
    <n v="12"/>
    <n v="1422"/>
    <n v="2844"/>
    <n v="1422"/>
  </r>
  <r>
    <s v="Sara Ramirez"/>
    <x v="4"/>
    <s v="Table Lamp"/>
    <d v="2024-02-24T00:00:00"/>
    <d v="2024-02-29T00:00:00"/>
    <n v="9"/>
    <n v="169"/>
    <x v="1"/>
    <x v="4"/>
    <x v="2"/>
    <x v="0"/>
    <x v="7"/>
    <x v="5"/>
    <n v="5"/>
    <n v="1141"/>
    <n v="1521"/>
    <n v="380"/>
  </r>
  <r>
    <s v="George Orozco"/>
    <x v="2"/>
    <s v="Jacket"/>
    <d v="2024-04-14T00:00:00"/>
    <d v="2024-04-28T00:00:00"/>
    <n v="5"/>
    <n v="527"/>
    <x v="0"/>
    <x v="2"/>
    <x v="1"/>
    <x v="0"/>
    <x v="11"/>
    <x v="4"/>
    <n v="14"/>
    <n v="2108"/>
    <n v="2635"/>
    <n v="527"/>
  </r>
  <r>
    <s v="Joshua Perry"/>
    <x v="0"/>
    <s v="Headphones"/>
    <d v="2024-05-21T00:00:00"/>
    <d v="2024-05-25T00:00:00"/>
    <n v="1"/>
    <n v="13"/>
    <x v="1"/>
    <x v="4"/>
    <x v="2"/>
    <x v="0"/>
    <x v="0"/>
    <x v="1"/>
    <n v="4"/>
    <n v="8"/>
    <n v="13"/>
    <n v="5"/>
  </r>
  <r>
    <s v="Aaron Bell"/>
    <x v="4"/>
    <s v="Curtains"/>
    <d v="2024-08-14T00:00:00"/>
    <d v="2024-08-21T00:00:00"/>
    <n v="9"/>
    <n v="732"/>
    <x v="0"/>
    <x v="2"/>
    <x v="2"/>
    <x v="0"/>
    <x v="9"/>
    <x v="2"/>
    <n v="7"/>
    <n v="4282"/>
    <n v="6588"/>
    <n v="2306"/>
  </r>
  <r>
    <s v="Stephanie Freeman"/>
    <x v="0"/>
    <s v="Smartphone"/>
    <d v="2024-12-19T00:00:00"/>
    <d v="2024-12-25T00:00:00"/>
    <n v="3"/>
    <n v="568"/>
    <x v="1"/>
    <x v="0"/>
    <x v="3"/>
    <x v="0"/>
    <x v="6"/>
    <x v="3"/>
    <n v="6"/>
    <n v="1278"/>
    <n v="1704"/>
    <n v="426"/>
  </r>
  <r>
    <s v="Rebecca Ramsey"/>
    <x v="1"/>
    <s v="Non-Fiction"/>
    <d v="2024-08-08T00:00:00"/>
    <d v="2024-08-12T00:00:00"/>
    <n v="3"/>
    <n v="52"/>
    <x v="0"/>
    <x v="4"/>
    <x v="3"/>
    <x v="0"/>
    <x v="9"/>
    <x v="3"/>
    <n v="4"/>
    <n v="78"/>
    <n v="156"/>
    <n v="78"/>
  </r>
  <r>
    <s v="Mary Miller"/>
    <x v="4"/>
    <s v="Curtains"/>
    <d v="2024-12-15T00:00:00"/>
    <d v="2024-12-26T00:00:00"/>
    <n v="4"/>
    <n v="692"/>
    <x v="1"/>
    <x v="0"/>
    <x v="1"/>
    <x v="0"/>
    <x v="6"/>
    <x v="4"/>
    <n v="11"/>
    <n v="1799"/>
    <n v="2768"/>
    <n v="969"/>
  </r>
  <r>
    <s v="Andre Wright"/>
    <x v="2"/>
    <s v="T-Shirt"/>
    <d v="2024-07-14T00:00:00"/>
    <d v="2024-07-22T00:00:00"/>
    <n v="1"/>
    <n v="889"/>
    <x v="0"/>
    <x v="2"/>
    <x v="0"/>
    <x v="0"/>
    <x v="2"/>
    <x v="4"/>
    <n v="8"/>
    <n v="578"/>
    <n v="889"/>
    <n v="311"/>
  </r>
  <r>
    <s v="Jeffrey Wood"/>
    <x v="1"/>
    <s v="Biography"/>
    <d v="2024-01-15T00:00:00"/>
    <d v="2024-01-18T00:00:00"/>
    <n v="2"/>
    <n v="908"/>
    <x v="1"/>
    <x v="4"/>
    <x v="3"/>
    <x v="0"/>
    <x v="10"/>
    <x v="0"/>
    <n v="3"/>
    <n v="999"/>
    <n v="1816"/>
    <n v="817"/>
  </r>
  <r>
    <s v="Samuel Rivas"/>
    <x v="0"/>
    <s v="Headphones"/>
    <d v="2024-01-01T00:00:00"/>
    <d v="2024-01-15T00:00:00"/>
    <n v="9"/>
    <n v="957"/>
    <x v="1"/>
    <x v="1"/>
    <x v="3"/>
    <x v="0"/>
    <x v="10"/>
    <x v="0"/>
    <n v="14"/>
    <n v="5598"/>
    <n v="8613"/>
    <n v="3015"/>
  </r>
  <r>
    <s v="Daniel Salinas"/>
    <x v="2"/>
    <s v="Jacket"/>
    <d v="2024-08-08T00:00:00"/>
    <d v="2024-08-15T00:00:00"/>
    <n v="2"/>
    <n v="981"/>
    <x v="1"/>
    <x v="3"/>
    <x v="1"/>
    <x v="0"/>
    <x v="9"/>
    <x v="3"/>
    <n v="7"/>
    <n v="1570"/>
    <n v="1962"/>
    <n v="392"/>
  </r>
  <r>
    <s v="Michael West"/>
    <x v="3"/>
    <s v="Cereal"/>
    <d v="2024-10-10T00:00:00"/>
    <d v="2024-10-13T00:00:00"/>
    <n v="3"/>
    <n v="206"/>
    <x v="1"/>
    <x v="2"/>
    <x v="1"/>
    <x v="0"/>
    <x v="1"/>
    <x v="3"/>
    <n v="3"/>
    <n v="340"/>
    <n v="618"/>
    <n v="278"/>
  </r>
  <r>
    <s v="Elizabeth Ward"/>
    <x v="3"/>
    <s v="Milk"/>
    <d v="2024-12-11T00:00:00"/>
    <d v="2024-12-21T00:00:00"/>
    <n v="4"/>
    <n v="533"/>
    <x v="1"/>
    <x v="2"/>
    <x v="3"/>
    <x v="0"/>
    <x v="6"/>
    <x v="2"/>
    <n v="10"/>
    <n v="1066"/>
    <n v="2132"/>
    <n v="1066"/>
  </r>
  <r>
    <s v="Kristen Terry"/>
    <x v="0"/>
    <s v="Tablet"/>
    <d v="2024-09-20T00:00:00"/>
    <d v="2024-09-27T00:00:00"/>
    <n v="10"/>
    <n v="353"/>
    <x v="1"/>
    <x v="0"/>
    <x v="3"/>
    <x v="0"/>
    <x v="8"/>
    <x v="6"/>
    <n v="7"/>
    <n v="2471"/>
    <n v="3530"/>
    <n v="1059"/>
  </r>
  <r>
    <s v="David Grant"/>
    <x v="1"/>
    <s v="Fiction"/>
    <d v="2024-08-21T00:00:00"/>
    <d v="2024-09-01T00:00:00"/>
    <n v="7"/>
    <n v="917"/>
    <x v="0"/>
    <x v="3"/>
    <x v="0"/>
    <x v="0"/>
    <x v="9"/>
    <x v="2"/>
    <n v="11"/>
    <n v="3210"/>
    <n v="6419"/>
    <n v="3209"/>
  </r>
  <r>
    <s v="Kevin Patterson"/>
    <x v="3"/>
    <s v="Milk"/>
    <d v="2024-07-23T00:00:00"/>
    <d v="2024-07-29T00:00:00"/>
    <n v="4"/>
    <n v="161"/>
    <x v="0"/>
    <x v="3"/>
    <x v="3"/>
    <x v="0"/>
    <x v="2"/>
    <x v="1"/>
    <n v="6"/>
    <n v="322"/>
    <n v="644"/>
    <n v="322"/>
  </r>
  <r>
    <s v="Juan Moore"/>
    <x v="3"/>
    <s v="Pasta"/>
    <d v="2024-03-31T00:00:00"/>
    <d v="2024-04-05T00:00:00"/>
    <n v="9"/>
    <n v="485"/>
    <x v="0"/>
    <x v="0"/>
    <x v="1"/>
    <x v="0"/>
    <x v="3"/>
    <x v="4"/>
    <n v="5"/>
    <n v="2619"/>
    <n v="4365"/>
    <n v="1746"/>
  </r>
  <r>
    <s v="Dwayne Campbell"/>
    <x v="0"/>
    <s v="Headphones"/>
    <d v="2024-03-09T00:00:00"/>
    <d v="2024-03-13T00:00:00"/>
    <n v="8"/>
    <n v="693"/>
    <x v="1"/>
    <x v="3"/>
    <x v="0"/>
    <x v="0"/>
    <x v="3"/>
    <x v="5"/>
    <n v="4"/>
    <n v="3604"/>
    <n v="5544"/>
    <n v="1940"/>
  </r>
  <r>
    <s v="Samantha Morse"/>
    <x v="2"/>
    <s v="Sneakers"/>
    <d v="2024-08-18T00:00:00"/>
    <d v="2024-08-28T00:00:00"/>
    <n v="5"/>
    <n v="779"/>
    <x v="1"/>
    <x v="0"/>
    <x v="2"/>
    <x v="0"/>
    <x v="9"/>
    <x v="4"/>
    <n v="10"/>
    <n v="2921"/>
    <n v="3895"/>
    <n v="974"/>
  </r>
  <r>
    <s v="Kathryn Snyder"/>
    <x v="3"/>
    <s v="Pasta"/>
    <d v="2024-05-20T00:00:00"/>
    <d v="2024-05-31T00:00:00"/>
    <n v="8"/>
    <n v="89"/>
    <x v="0"/>
    <x v="3"/>
    <x v="1"/>
    <x v="0"/>
    <x v="0"/>
    <x v="0"/>
    <n v="11"/>
    <n v="427"/>
    <n v="712"/>
    <n v="285"/>
  </r>
  <r>
    <s v="Alicia Hubbard"/>
    <x v="4"/>
    <s v="Cushion"/>
    <d v="2024-06-12T00:00:00"/>
    <d v="2024-06-16T00:00:00"/>
    <n v="9"/>
    <n v="92"/>
    <x v="0"/>
    <x v="0"/>
    <x v="1"/>
    <x v="0"/>
    <x v="5"/>
    <x v="2"/>
    <n v="4"/>
    <n v="538"/>
    <n v="828"/>
    <n v="290"/>
  </r>
  <r>
    <s v="Tanya Kim"/>
    <x v="2"/>
    <s v="Jacket"/>
    <d v="2024-08-11T00:00:00"/>
    <d v="2024-08-25T00:00:00"/>
    <n v="8"/>
    <n v="39"/>
    <x v="1"/>
    <x v="2"/>
    <x v="1"/>
    <x v="0"/>
    <x v="9"/>
    <x v="4"/>
    <n v="14"/>
    <n v="250"/>
    <n v="312"/>
    <n v="62"/>
  </r>
  <r>
    <s v="Bruce Collier"/>
    <x v="1"/>
    <s v="Cookbook"/>
    <d v="2024-12-05T00:00:00"/>
    <d v="2024-12-12T00:00:00"/>
    <n v="1"/>
    <n v="95"/>
    <x v="0"/>
    <x v="3"/>
    <x v="0"/>
    <x v="0"/>
    <x v="6"/>
    <x v="3"/>
    <n v="7"/>
    <n v="62"/>
    <n v="95"/>
    <n v="33"/>
  </r>
  <r>
    <s v="Kimberly Gibson"/>
    <x v="0"/>
    <s v="Headphones"/>
    <d v="2024-01-10T00:00:00"/>
    <d v="2024-01-14T00:00:00"/>
    <n v="9"/>
    <n v="63"/>
    <x v="1"/>
    <x v="4"/>
    <x v="0"/>
    <x v="0"/>
    <x v="10"/>
    <x v="2"/>
    <n v="4"/>
    <n v="369"/>
    <n v="567"/>
    <n v="198"/>
  </r>
  <r>
    <s v="Reginald Williams"/>
    <x v="0"/>
    <s v="Smartphone"/>
    <d v="2024-01-16T00:00:00"/>
    <d v="2024-01-29T00:00:00"/>
    <n v="4"/>
    <n v="214"/>
    <x v="1"/>
    <x v="1"/>
    <x v="0"/>
    <x v="0"/>
    <x v="10"/>
    <x v="1"/>
    <n v="13"/>
    <n v="642"/>
    <n v="856"/>
    <n v="214"/>
  </r>
  <r>
    <s v="Amanda Shaw"/>
    <x v="2"/>
    <s v="Jeans"/>
    <d v="2024-03-05T00:00:00"/>
    <d v="2024-03-14T00:00:00"/>
    <n v="8"/>
    <n v="695"/>
    <x v="0"/>
    <x v="0"/>
    <x v="1"/>
    <x v="0"/>
    <x v="3"/>
    <x v="1"/>
    <n v="9"/>
    <n v="3892"/>
    <n v="5560"/>
    <n v="1668"/>
  </r>
  <r>
    <s v="Alexis Thomas"/>
    <x v="3"/>
    <s v="Cereal"/>
    <d v="2024-07-07T00:00:00"/>
    <d v="2024-07-15T00:00:00"/>
    <n v="3"/>
    <n v="630"/>
    <x v="0"/>
    <x v="3"/>
    <x v="0"/>
    <x v="0"/>
    <x v="2"/>
    <x v="4"/>
    <n v="8"/>
    <n v="1040"/>
    <n v="1890"/>
    <n v="850"/>
  </r>
  <r>
    <s v="Sarah Villarreal"/>
    <x v="4"/>
    <s v="Table Lamp"/>
    <d v="2024-10-23T00:00:00"/>
    <d v="2024-11-04T00:00:00"/>
    <n v="1"/>
    <n v="961"/>
    <x v="1"/>
    <x v="4"/>
    <x v="0"/>
    <x v="0"/>
    <x v="1"/>
    <x v="2"/>
    <n v="12"/>
    <n v="721"/>
    <n v="961"/>
    <n v="240"/>
  </r>
  <r>
    <s v="Cynthia Cohen"/>
    <x v="3"/>
    <s v="Milk"/>
    <d v="2024-04-11T00:00:00"/>
    <d v="2024-04-24T00:00:00"/>
    <n v="2"/>
    <n v="616"/>
    <x v="0"/>
    <x v="3"/>
    <x v="0"/>
    <x v="0"/>
    <x v="11"/>
    <x v="3"/>
    <n v="13"/>
    <n v="616"/>
    <n v="1232"/>
    <n v="616"/>
  </r>
  <r>
    <s v="Michele Garcia"/>
    <x v="4"/>
    <s v="Vase"/>
    <d v="2024-03-02T00:00:00"/>
    <d v="2024-03-13T00:00:00"/>
    <n v="10"/>
    <n v="811"/>
    <x v="1"/>
    <x v="0"/>
    <x v="0"/>
    <x v="0"/>
    <x v="3"/>
    <x v="5"/>
    <n v="11"/>
    <n v="6083"/>
    <n v="8110"/>
    <n v="2027"/>
  </r>
  <r>
    <s v="Joel King"/>
    <x v="3"/>
    <s v="Rice"/>
    <d v="2024-08-09T00:00:00"/>
    <d v="2024-08-15T00:00:00"/>
    <n v="6"/>
    <n v="660"/>
    <x v="1"/>
    <x v="1"/>
    <x v="1"/>
    <x v="0"/>
    <x v="9"/>
    <x v="6"/>
    <n v="6"/>
    <n v="2376"/>
    <n v="3960"/>
    <n v="1584"/>
  </r>
  <r>
    <s v="Brooke Alexander"/>
    <x v="2"/>
    <s v="Sneakers"/>
    <d v="2024-03-31T00:00:00"/>
    <d v="2024-04-13T00:00:00"/>
    <n v="9"/>
    <n v="998"/>
    <x v="1"/>
    <x v="3"/>
    <x v="2"/>
    <x v="0"/>
    <x v="3"/>
    <x v="4"/>
    <n v="13"/>
    <n v="6737"/>
    <n v="8982"/>
    <n v="2245"/>
  </r>
  <r>
    <s v="Ann Phillips"/>
    <x v="1"/>
    <s v="Biography"/>
    <d v="2024-10-11T00:00:00"/>
    <d v="2024-10-17T00:00:00"/>
    <n v="1"/>
    <n v="539"/>
    <x v="0"/>
    <x v="0"/>
    <x v="3"/>
    <x v="0"/>
    <x v="1"/>
    <x v="6"/>
    <n v="6"/>
    <n v="296"/>
    <n v="539"/>
    <n v="243"/>
  </r>
  <r>
    <s v="Richard Smith"/>
    <x v="1"/>
    <s v="Biography"/>
    <d v="2024-08-30T00:00:00"/>
    <d v="2024-09-12T00:00:00"/>
    <n v="9"/>
    <n v="553"/>
    <x v="1"/>
    <x v="4"/>
    <x v="3"/>
    <x v="0"/>
    <x v="9"/>
    <x v="6"/>
    <n v="13"/>
    <n v="2737"/>
    <n v="4977"/>
    <n v="2240"/>
  </r>
  <r>
    <s v="David Johnson"/>
    <x v="1"/>
    <s v="Biography"/>
    <d v="2024-06-29T00:00:00"/>
    <d v="2024-07-13T00:00:00"/>
    <n v="8"/>
    <n v="287"/>
    <x v="0"/>
    <x v="4"/>
    <x v="2"/>
    <x v="0"/>
    <x v="5"/>
    <x v="5"/>
    <n v="14"/>
    <n v="1263"/>
    <n v="2296"/>
    <n v="1033"/>
  </r>
  <r>
    <s v="Elizabeth Ortiz"/>
    <x v="0"/>
    <s v="Laptop"/>
    <d v="2024-06-10T00:00:00"/>
    <d v="2024-06-19T00:00:00"/>
    <n v="2"/>
    <n v="770"/>
    <x v="0"/>
    <x v="3"/>
    <x v="3"/>
    <x v="0"/>
    <x v="5"/>
    <x v="0"/>
    <n v="9"/>
    <n v="1309"/>
    <n v="1540"/>
    <n v="231"/>
  </r>
  <r>
    <s v="Teresa Ramirez"/>
    <x v="0"/>
    <s v="Laptop"/>
    <d v="2024-05-31T00:00:00"/>
    <d v="2024-06-14T00:00:00"/>
    <n v="4"/>
    <n v="379"/>
    <x v="0"/>
    <x v="0"/>
    <x v="2"/>
    <x v="0"/>
    <x v="0"/>
    <x v="6"/>
    <n v="14"/>
    <n v="1289"/>
    <n v="1516"/>
    <n v="227"/>
  </r>
  <r>
    <s v="Michael Stephens"/>
    <x v="1"/>
    <s v="Non-Fiction"/>
    <d v="2024-05-20T00:00:00"/>
    <d v="2024-05-26T00:00:00"/>
    <n v="1"/>
    <n v="65"/>
    <x v="1"/>
    <x v="3"/>
    <x v="2"/>
    <x v="0"/>
    <x v="0"/>
    <x v="0"/>
    <n v="6"/>
    <n v="33"/>
    <n v="65"/>
    <n v="32"/>
  </r>
  <r>
    <s v="Kristen Willis"/>
    <x v="3"/>
    <s v="Cereal"/>
    <d v="2024-04-04T00:00:00"/>
    <d v="2024-04-15T00:00:00"/>
    <n v="1"/>
    <n v="268"/>
    <x v="0"/>
    <x v="1"/>
    <x v="0"/>
    <x v="0"/>
    <x v="11"/>
    <x v="3"/>
    <n v="11"/>
    <n v="147"/>
    <n v="268"/>
    <n v="121"/>
  </r>
  <r>
    <s v="Rebecca Rodriguez"/>
    <x v="0"/>
    <s v="Headphones"/>
    <d v="2024-09-08T00:00:00"/>
    <d v="2024-09-21T00:00:00"/>
    <n v="2"/>
    <n v="600"/>
    <x v="0"/>
    <x v="3"/>
    <x v="2"/>
    <x v="0"/>
    <x v="8"/>
    <x v="4"/>
    <n v="13"/>
    <n v="780"/>
    <n v="1200"/>
    <n v="420"/>
  </r>
  <r>
    <s v="Jessica Rodriguez DDS"/>
    <x v="3"/>
    <s v="Cereal"/>
    <d v="2024-10-28T00:00:00"/>
    <d v="2024-11-04T00:00:00"/>
    <n v="7"/>
    <n v="322"/>
    <x v="0"/>
    <x v="3"/>
    <x v="2"/>
    <x v="0"/>
    <x v="1"/>
    <x v="0"/>
    <n v="7"/>
    <n v="1240"/>
    <n v="2254"/>
    <n v="1014"/>
  </r>
  <r>
    <s v="Donald Schultz"/>
    <x v="1"/>
    <s v="Fiction"/>
    <d v="2024-04-16T00:00:00"/>
    <d v="2024-04-22T00:00:00"/>
    <n v="4"/>
    <n v="280"/>
    <x v="0"/>
    <x v="3"/>
    <x v="1"/>
    <x v="0"/>
    <x v="11"/>
    <x v="1"/>
    <n v="6"/>
    <n v="560"/>
    <n v="1120"/>
    <n v="560"/>
  </r>
  <r>
    <s v="Emily Edwards"/>
    <x v="1"/>
    <s v="Children's Book"/>
    <d v="2024-05-29T00:00:00"/>
    <d v="2024-06-12T00:00:00"/>
    <n v="1"/>
    <n v="247"/>
    <x v="1"/>
    <x v="4"/>
    <x v="2"/>
    <x v="0"/>
    <x v="0"/>
    <x v="2"/>
    <n v="14"/>
    <n v="148"/>
    <n v="247"/>
    <n v="99"/>
  </r>
  <r>
    <s v="Anna Davis"/>
    <x v="3"/>
    <s v="Rice"/>
    <d v="2024-12-17T00:00:00"/>
    <d v="2024-12-30T00:00:00"/>
    <n v="4"/>
    <n v="956"/>
    <x v="1"/>
    <x v="4"/>
    <x v="1"/>
    <x v="0"/>
    <x v="6"/>
    <x v="1"/>
    <n v="13"/>
    <n v="2294"/>
    <n v="3824"/>
    <n v="1530"/>
  </r>
  <r>
    <s v="Jordan Moore"/>
    <x v="2"/>
    <s v="T-Shirt"/>
    <d v="2024-01-31T00:00:00"/>
    <d v="2024-02-14T00:00:00"/>
    <n v="3"/>
    <n v="821"/>
    <x v="1"/>
    <x v="4"/>
    <x v="0"/>
    <x v="0"/>
    <x v="10"/>
    <x v="2"/>
    <n v="14"/>
    <n v="1601"/>
    <n v="2463"/>
    <n v="862"/>
  </r>
  <r>
    <s v="Phillip Andrews"/>
    <x v="1"/>
    <s v="Biography"/>
    <d v="2024-08-12T00:00:00"/>
    <d v="2024-08-17T00:00:00"/>
    <n v="2"/>
    <n v="489"/>
    <x v="1"/>
    <x v="3"/>
    <x v="2"/>
    <x v="0"/>
    <x v="9"/>
    <x v="0"/>
    <n v="5"/>
    <n v="538"/>
    <n v="978"/>
    <n v="440"/>
  </r>
  <r>
    <s v="Christopher Park"/>
    <x v="3"/>
    <s v="Cereal"/>
    <d v="2024-09-13T00:00:00"/>
    <d v="2024-09-25T00:00:00"/>
    <n v="9"/>
    <n v="515"/>
    <x v="1"/>
    <x v="2"/>
    <x v="0"/>
    <x v="0"/>
    <x v="8"/>
    <x v="6"/>
    <n v="12"/>
    <n v="2549"/>
    <n v="4635"/>
    <n v="2086"/>
  </r>
  <r>
    <s v="Andrea Figueroa"/>
    <x v="0"/>
    <s v="Headphones"/>
    <d v="2024-06-14T00:00:00"/>
    <d v="2024-06-19T00:00:00"/>
    <n v="10"/>
    <n v="266"/>
    <x v="0"/>
    <x v="0"/>
    <x v="0"/>
    <x v="0"/>
    <x v="5"/>
    <x v="6"/>
    <n v="5"/>
    <n v="1729"/>
    <n v="2660"/>
    <n v="931"/>
  </r>
  <r>
    <s v="Karla Ramos"/>
    <x v="1"/>
    <s v="Children's Book"/>
    <d v="2024-05-22T00:00:00"/>
    <d v="2024-06-01T00:00:00"/>
    <n v="3"/>
    <n v="609"/>
    <x v="0"/>
    <x v="2"/>
    <x v="0"/>
    <x v="0"/>
    <x v="0"/>
    <x v="2"/>
    <n v="10"/>
    <n v="1096"/>
    <n v="1827"/>
    <n v="731"/>
  </r>
  <r>
    <s v="Michael Watkins"/>
    <x v="3"/>
    <s v="Cereal"/>
    <d v="2024-07-28T00:00:00"/>
    <d v="2024-08-01T00:00:00"/>
    <n v="6"/>
    <n v="338"/>
    <x v="0"/>
    <x v="3"/>
    <x v="0"/>
    <x v="0"/>
    <x v="2"/>
    <x v="4"/>
    <n v="4"/>
    <n v="1115"/>
    <n v="2028"/>
    <n v="913"/>
  </r>
  <r>
    <s v="Eric Clark"/>
    <x v="4"/>
    <s v="Wall Art"/>
    <d v="2024-12-21T00:00:00"/>
    <d v="2024-12-24T00:00:00"/>
    <n v="8"/>
    <n v="305"/>
    <x v="1"/>
    <x v="3"/>
    <x v="1"/>
    <x v="0"/>
    <x v="6"/>
    <x v="5"/>
    <n v="3"/>
    <n v="1708"/>
    <n v="2440"/>
    <n v="732"/>
  </r>
  <r>
    <s v="Thomas Atkins"/>
    <x v="1"/>
    <s v="Fiction"/>
    <d v="2024-12-02T00:00:00"/>
    <d v="2024-12-15T00:00:00"/>
    <n v="9"/>
    <n v="483"/>
    <x v="0"/>
    <x v="2"/>
    <x v="1"/>
    <x v="0"/>
    <x v="6"/>
    <x v="0"/>
    <n v="13"/>
    <n v="2174"/>
    <n v="4347"/>
    <n v="2173"/>
  </r>
  <r>
    <s v="Alex Nguyen"/>
    <x v="1"/>
    <s v="Biography"/>
    <d v="2024-11-14T00:00:00"/>
    <d v="2024-11-18T00:00:00"/>
    <n v="8"/>
    <n v="650"/>
    <x v="0"/>
    <x v="2"/>
    <x v="2"/>
    <x v="0"/>
    <x v="4"/>
    <x v="3"/>
    <n v="4"/>
    <n v="2860"/>
    <n v="5200"/>
    <n v="2340"/>
  </r>
  <r>
    <s v="Kelly Foster"/>
    <x v="4"/>
    <s v="Vase"/>
    <d v="2024-03-08T00:00:00"/>
    <d v="2024-03-22T00:00:00"/>
    <n v="5"/>
    <n v="458"/>
    <x v="0"/>
    <x v="3"/>
    <x v="0"/>
    <x v="0"/>
    <x v="3"/>
    <x v="6"/>
    <n v="14"/>
    <n v="1718"/>
    <n v="2290"/>
    <n v="572"/>
  </r>
  <r>
    <s v="Kerry Lee"/>
    <x v="0"/>
    <s v="Camera"/>
    <d v="2024-05-02T00:00:00"/>
    <d v="2024-05-13T00:00:00"/>
    <n v="3"/>
    <n v="328"/>
    <x v="1"/>
    <x v="3"/>
    <x v="0"/>
    <x v="0"/>
    <x v="0"/>
    <x v="3"/>
    <n v="11"/>
    <n v="787"/>
    <n v="984"/>
    <n v="197"/>
  </r>
  <r>
    <s v="Rebecca Vargas"/>
    <x v="2"/>
    <s v="Sneakers"/>
    <d v="2024-10-09T00:00:00"/>
    <d v="2024-10-16T00:00:00"/>
    <n v="3"/>
    <n v="402"/>
    <x v="1"/>
    <x v="0"/>
    <x v="3"/>
    <x v="0"/>
    <x v="1"/>
    <x v="2"/>
    <n v="7"/>
    <n v="905"/>
    <n v="1206"/>
    <n v="301"/>
  </r>
  <r>
    <s v="John Hernandez"/>
    <x v="0"/>
    <s v="Tablet"/>
    <d v="2024-06-01T00:00:00"/>
    <d v="2024-06-13T00:00:00"/>
    <n v="10"/>
    <n v="603"/>
    <x v="0"/>
    <x v="3"/>
    <x v="3"/>
    <x v="0"/>
    <x v="5"/>
    <x v="5"/>
    <n v="12"/>
    <n v="4221"/>
    <n v="6030"/>
    <n v="1809"/>
  </r>
  <r>
    <s v="Katelyn Perez"/>
    <x v="0"/>
    <s v="Camera"/>
    <d v="2024-08-21T00:00:00"/>
    <d v="2024-09-02T00:00:00"/>
    <n v="1"/>
    <n v="749"/>
    <x v="1"/>
    <x v="0"/>
    <x v="0"/>
    <x v="0"/>
    <x v="9"/>
    <x v="2"/>
    <n v="12"/>
    <n v="599"/>
    <n v="749"/>
    <n v="150"/>
  </r>
  <r>
    <s v="George Miranda"/>
    <x v="2"/>
    <s v="T-Shirt"/>
    <d v="2024-08-28T00:00:00"/>
    <d v="2024-09-04T00:00:00"/>
    <n v="5"/>
    <n v="356"/>
    <x v="1"/>
    <x v="3"/>
    <x v="0"/>
    <x v="0"/>
    <x v="9"/>
    <x v="2"/>
    <n v="7"/>
    <n v="1157"/>
    <n v="1780"/>
    <n v="623"/>
  </r>
  <r>
    <s v="Jackson Ball"/>
    <x v="0"/>
    <s v="Tablet"/>
    <d v="2024-12-11T00:00:00"/>
    <d v="2024-12-23T00:00:00"/>
    <n v="9"/>
    <n v="399"/>
    <x v="1"/>
    <x v="4"/>
    <x v="0"/>
    <x v="0"/>
    <x v="6"/>
    <x v="2"/>
    <n v="12"/>
    <n v="2514"/>
    <n v="3591"/>
    <n v="1077"/>
  </r>
  <r>
    <s v="Vincent Mueller"/>
    <x v="0"/>
    <s v="Camera"/>
    <d v="2024-02-05T00:00:00"/>
    <d v="2024-02-09T00:00:00"/>
    <n v="4"/>
    <n v="656"/>
    <x v="0"/>
    <x v="3"/>
    <x v="2"/>
    <x v="0"/>
    <x v="7"/>
    <x v="0"/>
    <n v="4"/>
    <n v="2099"/>
    <n v="2624"/>
    <n v="525"/>
  </r>
  <r>
    <s v="Tracy Montoya"/>
    <x v="0"/>
    <s v="Headphones"/>
    <d v="2024-02-20T00:00:00"/>
    <d v="2024-02-24T00:00:00"/>
    <n v="2"/>
    <n v="464"/>
    <x v="0"/>
    <x v="0"/>
    <x v="1"/>
    <x v="0"/>
    <x v="7"/>
    <x v="1"/>
    <n v="4"/>
    <n v="603"/>
    <n v="928"/>
    <n v="325"/>
  </r>
  <r>
    <s v="Phillip Nelson"/>
    <x v="0"/>
    <s v="Tablet"/>
    <d v="2024-01-29T00:00:00"/>
    <d v="2024-02-05T00:00:00"/>
    <n v="5"/>
    <n v="377"/>
    <x v="0"/>
    <x v="4"/>
    <x v="1"/>
    <x v="0"/>
    <x v="10"/>
    <x v="0"/>
    <n v="7"/>
    <n v="1320"/>
    <n v="1885"/>
    <n v="565"/>
  </r>
  <r>
    <s v="Jonathan Young"/>
    <x v="2"/>
    <s v="Dress"/>
    <d v="2024-07-29T00:00:00"/>
    <d v="2024-08-09T00:00:00"/>
    <n v="10"/>
    <n v="708"/>
    <x v="0"/>
    <x v="1"/>
    <x v="2"/>
    <x v="0"/>
    <x v="2"/>
    <x v="0"/>
    <n v="11"/>
    <n v="4956"/>
    <n v="7080"/>
    <n v="2124"/>
  </r>
  <r>
    <s v="Howard Norman"/>
    <x v="2"/>
    <s v="T-Shirt"/>
    <d v="2024-11-17T00:00:00"/>
    <d v="2024-11-23T00:00:00"/>
    <n v="1"/>
    <n v="326"/>
    <x v="0"/>
    <x v="1"/>
    <x v="3"/>
    <x v="0"/>
    <x v="4"/>
    <x v="4"/>
    <n v="6"/>
    <n v="212"/>
    <n v="326"/>
    <n v="114"/>
  </r>
  <r>
    <s v="Stephanie Hughes"/>
    <x v="1"/>
    <s v="Biography"/>
    <d v="2024-03-08T00:00:00"/>
    <d v="2024-03-18T00:00:00"/>
    <n v="2"/>
    <n v="941"/>
    <x v="1"/>
    <x v="4"/>
    <x v="2"/>
    <x v="0"/>
    <x v="3"/>
    <x v="6"/>
    <n v="10"/>
    <n v="1035"/>
    <n v="1882"/>
    <n v="847"/>
  </r>
  <r>
    <s v="Samantha Gardner"/>
    <x v="3"/>
    <s v="Pasta"/>
    <d v="2024-04-12T00:00:00"/>
    <d v="2024-04-21T00:00:00"/>
    <n v="3"/>
    <n v="815"/>
    <x v="1"/>
    <x v="3"/>
    <x v="2"/>
    <x v="0"/>
    <x v="11"/>
    <x v="6"/>
    <n v="9"/>
    <n v="1467"/>
    <n v="2445"/>
    <n v="978"/>
  </r>
  <r>
    <s v="William Gould"/>
    <x v="4"/>
    <s v="Table Lamp"/>
    <d v="2024-08-27T00:00:00"/>
    <d v="2024-09-03T00:00:00"/>
    <n v="2"/>
    <n v="154"/>
    <x v="1"/>
    <x v="1"/>
    <x v="2"/>
    <x v="0"/>
    <x v="9"/>
    <x v="1"/>
    <n v="7"/>
    <n v="231"/>
    <n v="308"/>
    <n v="77"/>
  </r>
  <r>
    <s v="Laura Moreno"/>
    <x v="1"/>
    <s v="Fiction"/>
    <d v="2024-08-20T00:00:00"/>
    <d v="2024-08-30T00:00:00"/>
    <n v="6"/>
    <n v="698"/>
    <x v="1"/>
    <x v="3"/>
    <x v="2"/>
    <x v="0"/>
    <x v="9"/>
    <x v="1"/>
    <n v="10"/>
    <n v="2094"/>
    <n v="4188"/>
    <n v="2094"/>
  </r>
  <r>
    <s v="Kathryn Hughes"/>
    <x v="3"/>
    <s v="Cereal"/>
    <d v="2024-02-25T00:00:00"/>
    <d v="2024-03-02T00:00:00"/>
    <n v="4"/>
    <n v="492"/>
    <x v="1"/>
    <x v="0"/>
    <x v="0"/>
    <x v="0"/>
    <x v="7"/>
    <x v="4"/>
    <n v="6"/>
    <n v="1082"/>
    <n v="1968"/>
    <n v="886"/>
  </r>
  <r>
    <s v="Benjamin Thompson"/>
    <x v="4"/>
    <s v="Vase"/>
    <d v="2024-04-23T00:00:00"/>
    <d v="2024-04-28T00:00:00"/>
    <n v="2"/>
    <n v="660"/>
    <x v="1"/>
    <x v="1"/>
    <x v="3"/>
    <x v="0"/>
    <x v="11"/>
    <x v="1"/>
    <n v="5"/>
    <n v="990"/>
    <n v="1320"/>
    <n v="330"/>
  </r>
  <r>
    <s v="Betty Shaw"/>
    <x v="3"/>
    <s v="Pasta"/>
    <d v="2024-07-04T00:00:00"/>
    <d v="2024-07-11T00:00:00"/>
    <n v="2"/>
    <n v="712"/>
    <x v="1"/>
    <x v="4"/>
    <x v="0"/>
    <x v="0"/>
    <x v="2"/>
    <x v="3"/>
    <n v="7"/>
    <n v="854"/>
    <n v="1424"/>
    <n v="570"/>
  </r>
  <r>
    <s v="Todd Jacobson"/>
    <x v="4"/>
    <s v="Table Lamp"/>
    <d v="2024-07-22T00:00:00"/>
    <d v="2024-07-26T00:00:00"/>
    <n v="5"/>
    <n v="204"/>
    <x v="0"/>
    <x v="0"/>
    <x v="3"/>
    <x v="0"/>
    <x v="2"/>
    <x v="0"/>
    <n v="4"/>
    <n v="765"/>
    <n v="1020"/>
    <n v="255"/>
  </r>
  <r>
    <s v="Martin Vargas"/>
    <x v="2"/>
    <s v="Dress"/>
    <d v="2024-01-11T00:00:00"/>
    <d v="2024-01-17T00:00:00"/>
    <n v="1"/>
    <n v="815"/>
    <x v="0"/>
    <x v="4"/>
    <x v="0"/>
    <x v="0"/>
    <x v="10"/>
    <x v="3"/>
    <n v="6"/>
    <n v="571"/>
    <n v="815"/>
    <n v="244"/>
  </r>
  <r>
    <s v="Travis Wise"/>
    <x v="1"/>
    <s v="Non-Fiction"/>
    <d v="2024-02-05T00:00:00"/>
    <d v="2024-02-13T00:00:00"/>
    <n v="9"/>
    <n v="222"/>
    <x v="0"/>
    <x v="3"/>
    <x v="1"/>
    <x v="0"/>
    <x v="7"/>
    <x v="0"/>
    <n v="8"/>
    <n v="999"/>
    <n v="1998"/>
    <n v="999"/>
  </r>
  <r>
    <s v="Stephen Gardner"/>
    <x v="4"/>
    <s v="Curtains"/>
    <d v="2024-11-01T00:00:00"/>
    <d v="2024-11-09T00:00:00"/>
    <n v="1"/>
    <n v="293"/>
    <x v="0"/>
    <x v="1"/>
    <x v="2"/>
    <x v="0"/>
    <x v="4"/>
    <x v="6"/>
    <n v="8"/>
    <n v="190"/>
    <n v="293"/>
    <n v="103"/>
  </r>
  <r>
    <s v="Jesse Barker"/>
    <x v="1"/>
    <s v="Biography"/>
    <d v="2024-03-30T00:00:00"/>
    <d v="2024-04-05T00:00:00"/>
    <n v="2"/>
    <n v="686"/>
    <x v="0"/>
    <x v="1"/>
    <x v="0"/>
    <x v="0"/>
    <x v="3"/>
    <x v="5"/>
    <n v="6"/>
    <n v="755"/>
    <n v="1372"/>
    <n v="617"/>
  </r>
  <r>
    <s v="James Gilbert"/>
    <x v="3"/>
    <s v="Cereal"/>
    <d v="2024-09-19T00:00:00"/>
    <d v="2024-09-29T00:00:00"/>
    <n v="10"/>
    <n v="121"/>
    <x v="0"/>
    <x v="2"/>
    <x v="2"/>
    <x v="0"/>
    <x v="8"/>
    <x v="3"/>
    <n v="10"/>
    <n v="666"/>
    <n v="1210"/>
    <n v="544"/>
  </r>
  <r>
    <s v="Shawn Jimenez"/>
    <x v="1"/>
    <s v="Fiction"/>
    <d v="2024-12-03T00:00:00"/>
    <d v="2024-12-07T00:00:00"/>
    <n v="9"/>
    <n v="318"/>
    <x v="0"/>
    <x v="2"/>
    <x v="1"/>
    <x v="0"/>
    <x v="6"/>
    <x v="1"/>
    <n v="4"/>
    <n v="1431"/>
    <n v="2862"/>
    <n v="1431"/>
  </r>
  <r>
    <s v="Kyle Cameron"/>
    <x v="3"/>
    <s v="Milk"/>
    <d v="2024-08-06T00:00:00"/>
    <d v="2024-08-17T00:00:00"/>
    <n v="2"/>
    <n v="512"/>
    <x v="0"/>
    <x v="3"/>
    <x v="0"/>
    <x v="0"/>
    <x v="9"/>
    <x v="1"/>
    <n v="11"/>
    <n v="512"/>
    <n v="1024"/>
    <n v="512"/>
  </r>
  <r>
    <s v="Monica Gallagher"/>
    <x v="0"/>
    <s v="Tablet"/>
    <d v="2024-11-07T00:00:00"/>
    <d v="2024-11-12T00:00:00"/>
    <n v="3"/>
    <n v="77"/>
    <x v="1"/>
    <x v="0"/>
    <x v="2"/>
    <x v="0"/>
    <x v="4"/>
    <x v="3"/>
    <n v="5"/>
    <n v="162"/>
    <n v="231"/>
    <n v="69"/>
  </r>
  <r>
    <s v="Brent Brooks"/>
    <x v="3"/>
    <s v="Juice"/>
    <d v="2024-11-05T00:00:00"/>
    <d v="2024-11-09T00:00:00"/>
    <n v="7"/>
    <n v="111"/>
    <x v="1"/>
    <x v="1"/>
    <x v="3"/>
    <x v="0"/>
    <x v="4"/>
    <x v="1"/>
    <n v="4"/>
    <n v="427"/>
    <n v="777"/>
    <n v="350"/>
  </r>
  <r>
    <s v="Brenda Velazquez"/>
    <x v="3"/>
    <s v="Milk"/>
    <d v="2024-07-31T00:00:00"/>
    <d v="2024-08-05T00:00:00"/>
    <n v="2"/>
    <n v="330"/>
    <x v="1"/>
    <x v="2"/>
    <x v="3"/>
    <x v="0"/>
    <x v="2"/>
    <x v="2"/>
    <n v="5"/>
    <n v="330"/>
    <n v="660"/>
    <n v="330"/>
  </r>
  <r>
    <s v="Katie Hicks"/>
    <x v="4"/>
    <s v="Cushion"/>
    <d v="2024-03-19T00:00:00"/>
    <d v="2024-03-23T00:00:00"/>
    <n v="8"/>
    <n v="78"/>
    <x v="0"/>
    <x v="0"/>
    <x v="1"/>
    <x v="0"/>
    <x v="3"/>
    <x v="1"/>
    <n v="4"/>
    <n v="406"/>
    <n v="624"/>
    <n v="218"/>
  </r>
  <r>
    <s v="Veronica Silva"/>
    <x v="3"/>
    <s v="Rice"/>
    <d v="2024-07-09T00:00:00"/>
    <d v="2024-07-13T00:00:00"/>
    <n v="3"/>
    <n v="579"/>
    <x v="1"/>
    <x v="0"/>
    <x v="1"/>
    <x v="0"/>
    <x v="2"/>
    <x v="1"/>
    <n v="4"/>
    <n v="1042"/>
    <n v="1737"/>
    <n v="695"/>
  </r>
  <r>
    <s v="Michelle Hampton"/>
    <x v="1"/>
    <s v="Biography"/>
    <d v="2024-12-09T00:00:00"/>
    <d v="2024-12-23T00:00:00"/>
    <n v="2"/>
    <n v="430"/>
    <x v="1"/>
    <x v="4"/>
    <x v="3"/>
    <x v="0"/>
    <x v="6"/>
    <x v="0"/>
    <n v="14"/>
    <n v="473"/>
    <n v="860"/>
    <n v="387"/>
  </r>
  <r>
    <s v="Ashley Smith"/>
    <x v="0"/>
    <s v="Tablet"/>
    <d v="2024-11-03T00:00:00"/>
    <d v="2024-11-24T00:00:00"/>
    <n v="5"/>
    <n v="370"/>
    <x v="1"/>
    <x v="0"/>
    <x v="0"/>
    <x v="0"/>
    <x v="4"/>
    <x v="4"/>
    <n v="21"/>
    <n v="1295"/>
    <n v="1850"/>
    <n v="555"/>
  </r>
  <r>
    <s v="Gloria Gomez"/>
    <x v="1"/>
    <s v="Biography"/>
    <d v="2024-02-28T00:00:00"/>
    <d v="2024-03-03T00:00:00"/>
    <n v="5"/>
    <n v="597"/>
    <x v="1"/>
    <x v="0"/>
    <x v="3"/>
    <x v="0"/>
    <x v="7"/>
    <x v="2"/>
    <n v="4"/>
    <n v="1642"/>
    <n v="2985"/>
    <n v="1343"/>
  </r>
  <r>
    <s v="Courtney Dudley"/>
    <x v="1"/>
    <s v="Cookbook"/>
    <d v="2024-12-11T00:00:00"/>
    <d v="2024-12-19T00:00:00"/>
    <n v="9"/>
    <n v="36"/>
    <x v="0"/>
    <x v="3"/>
    <x v="3"/>
    <x v="0"/>
    <x v="6"/>
    <x v="2"/>
    <n v="8"/>
    <n v="211"/>
    <n v="324"/>
    <n v="113"/>
  </r>
  <r>
    <s v="Timothy Pope"/>
    <x v="2"/>
    <s v="Jacket"/>
    <d v="2024-12-25T00:00:00"/>
    <d v="2025-01-03T00:00:00"/>
    <n v="5"/>
    <n v="953"/>
    <x v="0"/>
    <x v="4"/>
    <x v="0"/>
    <x v="0"/>
    <x v="6"/>
    <x v="2"/>
    <n v="9"/>
    <n v="3812"/>
    <n v="4765"/>
    <n v="953"/>
  </r>
  <r>
    <s v="Tina Ballard"/>
    <x v="2"/>
    <s v="Jeans"/>
    <d v="2024-10-16T00:00:00"/>
    <d v="2024-10-19T00:00:00"/>
    <n v="7"/>
    <n v="81"/>
    <x v="0"/>
    <x v="0"/>
    <x v="1"/>
    <x v="0"/>
    <x v="1"/>
    <x v="2"/>
    <n v="3"/>
    <n v="397"/>
    <n v="567"/>
    <n v="170"/>
  </r>
  <r>
    <s v="Anthony Stein"/>
    <x v="4"/>
    <s v="Cushion"/>
    <d v="2024-10-17T00:00:00"/>
    <d v="2024-10-29T00:00:00"/>
    <n v="10"/>
    <n v="96"/>
    <x v="0"/>
    <x v="0"/>
    <x v="2"/>
    <x v="0"/>
    <x v="1"/>
    <x v="3"/>
    <n v="12"/>
    <n v="624"/>
    <n v="960"/>
    <n v="336"/>
  </r>
  <r>
    <s v="Matthew Velez"/>
    <x v="1"/>
    <s v="Children's Book"/>
    <d v="2024-07-31T00:00:00"/>
    <d v="2024-08-03T00:00:00"/>
    <n v="5"/>
    <n v="230"/>
    <x v="0"/>
    <x v="1"/>
    <x v="1"/>
    <x v="0"/>
    <x v="2"/>
    <x v="2"/>
    <n v="3"/>
    <n v="690"/>
    <n v="1150"/>
    <n v="460"/>
  </r>
  <r>
    <s v="Alexandra Bradley"/>
    <x v="1"/>
    <s v="Biography"/>
    <d v="2024-01-24T00:00:00"/>
    <d v="2024-02-07T00:00:00"/>
    <n v="4"/>
    <n v="414"/>
    <x v="0"/>
    <x v="3"/>
    <x v="0"/>
    <x v="0"/>
    <x v="10"/>
    <x v="2"/>
    <n v="14"/>
    <n v="911"/>
    <n v="1656"/>
    <n v="745"/>
  </r>
  <r>
    <s v="Nicole Thompson"/>
    <x v="0"/>
    <s v="Smartphone"/>
    <d v="2024-09-11T00:00:00"/>
    <d v="2024-09-24T00:00:00"/>
    <n v="7"/>
    <n v="189"/>
    <x v="1"/>
    <x v="0"/>
    <x v="1"/>
    <x v="0"/>
    <x v="8"/>
    <x v="2"/>
    <n v="13"/>
    <n v="992"/>
    <n v="1323"/>
    <n v="331"/>
  </r>
  <r>
    <s v="Stacy Carrillo"/>
    <x v="3"/>
    <s v="Cereal"/>
    <d v="2024-02-28T00:00:00"/>
    <d v="2024-03-05T00:00:00"/>
    <n v="7"/>
    <n v="31"/>
    <x v="1"/>
    <x v="4"/>
    <x v="1"/>
    <x v="0"/>
    <x v="7"/>
    <x v="2"/>
    <n v="6"/>
    <n v="119"/>
    <n v="217"/>
    <n v="98"/>
  </r>
  <r>
    <s v="Justin Brown"/>
    <x v="1"/>
    <s v="Children's Book"/>
    <d v="2024-09-25T00:00:00"/>
    <d v="2024-10-07T00:00:00"/>
    <n v="2"/>
    <n v="415"/>
    <x v="1"/>
    <x v="1"/>
    <x v="2"/>
    <x v="0"/>
    <x v="8"/>
    <x v="2"/>
    <n v="12"/>
    <n v="498"/>
    <n v="830"/>
    <n v="332"/>
  </r>
  <r>
    <s v="Steven Griffin Jr."/>
    <x v="4"/>
    <s v="Curtains"/>
    <d v="2024-06-19T00:00:00"/>
    <d v="2024-06-26T00:00:00"/>
    <n v="3"/>
    <n v="88"/>
    <x v="1"/>
    <x v="3"/>
    <x v="0"/>
    <x v="0"/>
    <x v="5"/>
    <x v="2"/>
    <n v="7"/>
    <n v="172"/>
    <n v="264"/>
    <n v="92"/>
  </r>
  <r>
    <s v="Aaron Robinson"/>
    <x v="1"/>
    <s v="Non-Fiction"/>
    <d v="2024-06-27T00:00:00"/>
    <d v="2024-07-05T00:00:00"/>
    <n v="6"/>
    <n v="754"/>
    <x v="0"/>
    <x v="1"/>
    <x v="0"/>
    <x v="0"/>
    <x v="5"/>
    <x v="3"/>
    <n v="8"/>
    <n v="2262"/>
    <n v="4524"/>
    <n v="2262"/>
  </r>
  <r>
    <s v="Jason Mack"/>
    <x v="0"/>
    <s v="Laptop"/>
    <d v="2024-05-11T00:00:00"/>
    <d v="2024-05-23T00:00:00"/>
    <n v="4"/>
    <n v="187"/>
    <x v="1"/>
    <x v="3"/>
    <x v="0"/>
    <x v="0"/>
    <x v="0"/>
    <x v="5"/>
    <n v="12"/>
    <n v="636"/>
    <n v="748"/>
    <n v="112"/>
  </r>
  <r>
    <s v="Michael Stanley"/>
    <x v="0"/>
    <s v="Laptop"/>
    <d v="2024-11-17T00:00:00"/>
    <d v="2024-11-27T00:00:00"/>
    <n v="8"/>
    <n v="485"/>
    <x v="1"/>
    <x v="1"/>
    <x v="3"/>
    <x v="0"/>
    <x v="4"/>
    <x v="4"/>
    <n v="10"/>
    <n v="3298"/>
    <n v="3880"/>
    <n v="582"/>
  </r>
  <r>
    <s v="Julie Ball"/>
    <x v="3"/>
    <s v="Juice"/>
    <d v="2024-11-25T00:00:00"/>
    <d v="2024-11-28T00:00:00"/>
    <n v="10"/>
    <n v="340"/>
    <x v="0"/>
    <x v="1"/>
    <x v="2"/>
    <x v="0"/>
    <x v="4"/>
    <x v="0"/>
    <n v="3"/>
    <n v="1870"/>
    <n v="3400"/>
    <n v="1530"/>
  </r>
  <r>
    <s v="Donald Pineda"/>
    <x v="3"/>
    <s v="Rice"/>
    <d v="2024-08-28T00:00:00"/>
    <d v="2024-09-08T00:00:00"/>
    <n v="8"/>
    <n v="656"/>
    <x v="1"/>
    <x v="4"/>
    <x v="0"/>
    <x v="0"/>
    <x v="9"/>
    <x v="2"/>
    <n v="11"/>
    <n v="3149"/>
    <n v="5248"/>
    <n v="2099"/>
  </r>
  <r>
    <s v="Jill Powers"/>
    <x v="0"/>
    <s v="Tablet"/>
    <d v="2024-09-16T00:00:00"/>
    <d v="2024-09-20T00:00:00"/>
    <n v="2"/>
    <n v="327"/>
    <x v="0"/>
    <x v="2"/>
    <x v="3"/>
    <x v="0"/>
    <x v="8"/>
    <x v="0"/>
    <n v="4"/>
    <n v="458"/>
    <n v="654"/>
    <n v="196"/>
  </r>
  <r>
    <s v="Donna Cabrera"/>
    <x v="0"/>
    <s v="Tablet"/>
    <d v="2024-05-26T00:00:00"/>
    <d v="2024-06-01T00:00:00"/>
    <n v="2"/>
    <n v="670"/>
    <x v="1"/>
    <x v="1"/>
    <x v="1"/>
    <x v="0"/>
    <x v="0"/>
    <x v="4"/>
    <n v="6"/>
    <n v="938"/>
    <n v="1340"/>
    <n v="402"/>
  </r>
  <r>
    <s v="Jason Hernandez"/>
    <x v="1"/>
    <s v="Non-Fiction"/>
    <d v="2024-06-13T00:00:00"/>
    <d v="2024-06-18T00:00:00"/>
    <n v="10"/>
    <n v="497"/>
    <x v="0"/>
    <x v="3"/>
    <x v="3"/>
    <x v="0"/>
    <x v="5"/>
    <x v="3"/>
    <n v="5"/>
    <n v="2485"/>
    <n v="4970"/>
    <n v="2485"/>
  </r>
  <r>
    <s v="Michael Shaffer"/>
    <x v="3"/>
    <s v="Rice"/>
    <d v="2024-06-24T00:00:00"/>
    <d v="2024-07-03T00:00:00"/>
    <n v="2"/>
    <n v="526"/>
    <x v="0"/>
    <x v="3"/>
    <x v="2"/>
    <x v="0"/>
    <x v="5"/>
    <x v="0"/>
    <n v="9"/>
    <n v="631"/>
    <n v="1052"/>
    <n v="421"/>
  </r>
  <r>
    <s v="Kristin Mendoza"/>
    <x v="4"/>
    <s v="Cushion"/>
    <d v="2024-07-17T00:00:00"/>
    <d v="2024-07-31T00:00:00"/>
    <n v="7"/>
    <n v="803"/>
    <x v="0"/>
    <x v="4"/>
    <x v="0"/>
    <x v="0"/>
    <x v="2"/>
    <x v="2"/>
    <n v="14"/>
    <n v="3654"/>
    <n v="5621"/>
    <n v="1967"/>
  </r>
  <r>
    <s v="Jose Crawford"/>
    <x v="4"/>
    <s v="Wall Art"/>
    <d v="2024-03-07T00:00:00"/>
    <d v="2024-03-13T00:00:00"/>
    <n v="10"/>
    <n v="735"/>
    <x v="1"/>
    <x v="0"/>
    <x v="1"/>
    <x v="0"/>
    <x v="3"/>
    <x v="3"/>
    <n v="6"/>
    <n v="5145"/>
    <n v="7350"/>
    <n v="2205"/>
  </r>
  <r>
    <s v="Connie Thomas"/>
    <x v="3"/>
    <s v="Cereal"/>
    <d v="2024-03-06T00:00:00"/>
    <d v="2024-03-11T00:00:00"/>
    <n v="9"/>
    <n v="105"/>
    <x v="1"/>
    <x v="3"/>
    <x v="3"/>
    <x v="0"/>
    <x v="3"/>
    <x v="2"/>
    <n v="5"/>
    <n v="520"/>
    <n v="945"/>
    <n v="425"/>
  </r>
  <r>
    <s v="Robert Jackson"/>
    <x v="2"/>
    <s v="Jeans"/>
    <d v="2024-03-11T00:00:00"/>
    <d v="2024-03-16T00:00:00"/>
    <n v="3"/>
    <n v="89"/>
    <x v="1"/>
    <x v="4"/>
    <x v="3"/>
    <x v="0"/>
    <x v="3"/>
    <x v="0"/>
    <n v="5"/>
    <n v="187"/>
    <n v="267"/>
    <n v="80"/>
  </r>
  <r>
    <s v="Kelly Combs"/>
    <x v="1"/>
    <s v="Cookbook"/>
    <d v="2024-01-20T00:00:00"/>
    <d v="2024-01-25T00:00:00"/>
    <n v="6"/>
    <n v="907"/>
    <x v="0"/>
    <x v="1"/>
    <x v="0"/>
    <x v="0"/>
    <x v="10"/>
    <x v="5"/>
    <n v="5"/>
    <n v="3537"/>
    <n v="5442"/>
    <n v="1905"/>
  </r>
  <r>
    <s v="Antonio Little"/>
    <x v="1"/>
    <s v="Children's Book"/>
    <d v="2024-03-19T00:00:00"/>
    <d v="2024-03-25T00:00:00"/>
    <n v="3"/>
    <n v="195"/>
    <x v="0"/>
    <x v="1"/>
    <x v="0"/>
    <x v="0"/>
    <x v="3"/>
    <x v="1"/>
    <n v="6"/>
    <n v="351"/>
    <n v="585"/>
    <n v="234"/>
  </r>
  <r>
    <s v="James Tran"/>
    <x v="1"/>
    <s v="Cookbook"/>
    <d v="2024-08-02T00:00:00"/>
    <d v="2024-08-11T00:00:00"/>
    <n v="3"/>
    <n v="846"/>
    <x v="0"/>
    <x v="0"/>
    <x v="3"/>
    <x v="0"/>
    <x v="9"/>
    <x v="6"/>
    <n v="9"/>
    <n v="1650"/>
    <n v="2538"/>
    <n v="888"/>
  </r>
  <r>
    <s v="Tamara Hall"/>
    <x v="4"/>
    <s v="Table Lamp"/>
    <d v="2024-11-24T00:00:00"/>
    <d v="2024-12-02T00:00:00"/>
    <n v="8"/>
    <n v="905"/>
    <x v="0"/>
    <x v="4"/>
    <x v="3"/>
    <x v="0"/>
    <x v="4"/>
    <x v="4"/>
    <n v="8"/>
    <n v="5430"/>
    <n v="7240"/>
    <n v="1810"/>
  </r>
  <r>
    <s v="Jennifer Ayala"/>
    <x v="0"/>
    <s v="Tablet"/>
    <d v="2024-04-24T00:00:00"/>
    <d v="2024-05-06T00:00:00"/>
    <n v="1"/>
    <n v="336"/>
    <x v="0"/>
    <x v="0"/>
    <x v="1"/>
    <x v="0"/>
    <x v="11"/>
    <x v="2"/>
    <n v="12"/>
    <n v="235"/>
    <n v="336"/>
    <n v="101"/>
  </r>
  <r>
    <s v="Kevin James"/>
    <x v="2"/>
    <s v="T-Shirt"/>
    <d v="2024-05-26T00:00:00"/>
    <d v="2024-06-09T00:00:00"/>
    <n v="8"/>
    <n v="722"/>
    <x v="1"/>
    <x v="1"/>
    <x v="2"/>
    <x v="0"/>
    <x v="0"/>
    <x v="4"/>
    <n v="14"/>
    <n v="3754"/>
    <n v="5776"/>
    <n v="2022"/>
  </r>
  <r>
    <s v="Derrick Adams"/>
    <x v="0"/>
    <s v="Smartphone"/>
    <d v="2024-09-12T00:00:00"/>
    <d v="2024-09-23T00:00:00"/>
    <n v="10"/>
    <n v="558"/>
    <x v="1"/>
    <x v="0"/>
    <x v="0"/>
    <x v="0"/>
    <x v="8"/>
    <x v="3"/>
    <n v="11"/>
    <n v="4185"/>
    <n v="5580"/>
    <n v="1395"/>
  </r>
  <r>
    <s v="Michelle Simpson"/>
    <x v="2"/>
    <s v="Jeans"/>
    <d v="2024-05-29T00:00:00"/>
    <d v="2024-06-03T00:00:00"/>
    <n v="7"/>
    <n v="11"/>
    <x v="0"/>
    <x v="3"/>
    <x v="0"/>
    <x v="0"/>
    <x v="0"/>
    <x v="2"/>
    <n v="5"/>
    <n v="54"/>
    <n v="77"/>
    <n v="23"/>
  </r>
  <r>
    <s v="Scott Alexander"/>
    <x v="1"/>
    <s v="Children's Book"/>
    <d v="2024-04-05T00:00:00"/>
    <d v="2024-04-14T00:00:00"/>
    <n v="2"/>
    <n v="546"/>
    <x v="1"/>
    <x v="4"/>
    <x v="2"/>
    <x v="0"/>
    <x v="11"/>
    <x v="6"/>
    <n v="9"/>
    <n v="655"/>
    <n v="1092"/>
    <n v="437"/>
  </r>
  <r>
    <s v="Ernest Oconnell"/>
    <x v="1"/>
    <s v="Cookbook"/>
    <d v="2024-09-16T00:00:00"/>
    <d v="2024-09-23T00:00:00"/>
    <n v="9"/>
    <n v="30"/>
    <x v="0"/>
    <x v="2"/>
    <x v="0"/>
    <x v="0"/>
    <x v="8"/>
    <x v="0"/>
    <n v="7"/>
    <n v="176"/>
    <n v="270"/>
    <n v="94"/>
  </r>
  <r>
    <s v="Randall Johnson"/>
    <x v="2"/>
    <s v="T-Shirt"/>
    <d v="2024-10-24T00:00:00"/>
    <d v="2024-11-12T00:00:00"/>
    <n v="6"/>
    <n v="146"/>
    <x v="1"/>
    <x v="0"/>
    <x v="1"/>
    <x v="0"/>
    <x v="1"/>
    <x v="3"/>
    <n v="19"/>
    <n v="569"/>
    <n v="876"/>
    <n v="307"/>
  </r>
  <r>
    <s v="Ryan Pope"/>
    <x v="4"/>
    <s v="Curtains"/>
    <d v="2024-12-16T00:00:00"/>
    <d v="2024-12-20T00:00:00"/>
    <n v="8"/>
    <n v="722"/>
    <x v="0"/>
    <x v="2"/>
    <x v="3"/>
    <x v="0"/>
    <x v="6"/>
    <x v="0"/>
    <n v="4"/>
    <n v="3754"/>
    <n v="5776"/>
    <n v="2022"/>
  </r>
  <r>
    <s v="Jay Bennett"/>
    <x v="0"/>
    <s v="Headphones"/>
    <d v="2024-01-19T00:00:00"/>
    <d v="2024-02-02T00:00:00"/>
    <n v="5"/>
    <n v="216"/>
    <x v="0"/>
    <x v="0"/>
    <x v="3"/>
    <x v="0"/>
    <x v="10"/>
    <x v="6"/>
    <n v="14"/>
    <n v="702"/>
    <n v="1080"/>
    <n v="378"/>
  </r>
  <r>
    <s v="Lonnie Hart"/>
    <x v="0"/>
    <s v="Laptop"/>
    <d v="2024-05-26T00:00:00"/>
    <d v="2024-06-02T00:00:00"/>
    <n v="6"/>
    <n v="892"/>
    <x v="1"/>
    <x v="1"/>
    <x v="1"/>
    <x v="0"/>
    <x v="0"/>
    <x v="4"/>
    <n v="7"/>
    <n v="4549"/>
    <n v="5352"/>
    <n v="803"/>
  </r>
  <r>
    <s v="Eric Patrick"/>
    <x v="0"/>
    <s v="Headphones"/>
    <d v="2024-02-10T00:00:00"/>
    <d v="2024-02-18T00:00:00"/>
    <n v="7"/>
    <n v="626"/>
    <x v="1"/>
    <x v="1"/>
    <x v="2"/>
    <x v="0"/>
    <x v="7"/>
    <x v="5"/>
    <n v="8"/>
    <n v="2848"/>
    <n v="4382"/>
    <n v="1534"/>
  </r>
  <r>
    <s v="Rhonda Brown"/>
    <x v="0"/>
    <s v="Tablet"/>
    <d v="2024-11-10T00:00:00"/>
    <d v="2024-11-24T00:00:00"/>
    <n v="7"/>
    <n v="291"/>
    <x v="0"/>
    <x v="3"/>
    <x v="1"/>
    <x v="0"/>
    <x v="4"/>
    <x v="4"/>
    <n v="14"/>
    <n v="1426"/>
    <n v="2037"/>
    <n v="611"/>
  </r>
  <r>
    <s v="Emily Price"/>
    <x v="3"/>
    <s v="Cereal"/>
    <d v="2024-09-19T00:00:00"/>
    <d v="2024-10-09T00:00:00"/>
    <n v="3"/>
    <n v="985"/>
    <x v="1"/>
    <x v="0"/>
    <x v="2"/>
    <x v="0"/>
    <x v="8"/>
    <x v="3"/>
    <n v="20"/>
    <n v="1625"/>
    <n v="2955"/>
    <n v="1330"/>
  </r>
  <r>
    <s v="Jill Jackson"/>
    <x v="1"/>
    <s v="Children's Book"/>
    <d v="2024-10-14T00:00:00"/>
    <d v="2024-10-27T00:00:00"/>
    <n v="2"/>
    <n v="278"/>
    <x v="1"/>
    <x v="1"/>
    <x v="0"/>
    <x v="0"/>
    <x v="1"/>
    <x v="0"/>
    <n v="13"/>
    <n v="334"/>
    <n v="556"/>
    <n v="222"/>
  </r>
  <r>
    <s v="Ashley Wilson"/>
    <x v="3"/>
    <s v="Pasta"/>
    <d v="2024-11-09T00:00:00"/>
    <d v="2024-11-16T00:00:00"/>
    <n v="5"/>
    <n v="720"/>
    <x v="0"/>
    <x v="2"/>
    <x v="1"/>
    <x v="0"/>
    <x v="4"/>
    <x v="5"/>
    <n v="7"/>
    <n v="2160"/>
    <n v="3600"/>
    <n v="1440"/>
  </r>
  <r>
    <s v="Ashley Greer PhD"/>
    <x v="2"/>
    <s v="T-Shirt"/>
    <d v="2024-08-19T00:00:00"/>
    <d v="2024-09-01T00:00:00"/>
    <n v="3"/>
    <n v="930"/>
    <x v="0"/>
    <x v="3"/>
    <x v="2"/>
    <x v="0"/>
    <x v="9"/>
    <x v="0"/>
    <n v="13"/>
    <n v="1814"/>
    <n v="2790"/>
    <n v="976"/>
  </r>
  <r>
    <s v="Charles Clark"/>
    <x v="2"/>
    <s v="Jeans"/>
    <d v="2024-07-04T00:00:00"/>
    <d v="2024-07-17T00:00:00"/>
    <n v="9"/>
    <n v="239"/>
    <x v="0"/>
    <x v="0"/>
    <x v="2"/>
    <x v="0"/>
    <x v="2"/>
    <x v="3"/>
    <n v="13"/>
    <n v="1506"/>
    <n v="2151"/>
    <n v="645"/>
  </r>
  <r>
    <s v="Brandi Thomas"/>
    <x v="1"/>
    <s v="Non-Fiction"/>
    <d v="2024-11-09T00:00:00"/>
    <d v="2024-11-22T00:00:00"/>
    <n v="2"/>
    <n v="77"/>
    <x v="1"/>
    <x v="4"/>
    <x v="1"/>
    <x v="0"/>
    <x v="4"/>
    <x v="5"/>
    <n v="13"/>
    <n v="77"/>
    <n v="154"/>
    <n v="77"/>
  </r>
  <r>
    <s v="Mark Burton"/>
    <x v="3"/>
    <s v="Juice"/>
    <d v="2024-07-29T00:00:00"/>
    <d v="2024-08-08T00:00:00"/>
    <n v="7"/>
    <n v="853"/>
    <x v="0"/>
    <x v="3"/>
    <x v="0"/>
    <x v="0"/>
    <x v="2"/>
    <x v="0"/>
    <n v="10"/>
    <n v="3284"/>
    <n v="5971"/>
    <n v="2687"/>
  </r>
  <r>
    <s v="Paul Neal"/>
    <x v="4"/>
    <s v="Table Lamp"/>
    <d v="2024-08-18T00:00:00"/>
    <d v="2024-08-25T00:00:00"/>
    <n v="8"/>
    <n v="706"/>
    <x v="0"/>
    <x v="3"/>
    <x v="0"/>
    <x v="0"/>
    <x v="9"/>
    <x v="4"/>
    <n v="7"/>
    <n v="4236"/>
    <n v="5648"/>
    <n v="1412"/>
  </r>
  <r>
    <s v="Raymond Oconnor"/>
    <x v="1"/>
    <s v="Cookbook"/>
    <d v="2024-04-03T00:00:00"/>
    <d v="2024-04-11T00:00:00"/>
    <n v="3"/>
    <n v="453"/>
    <x v="0"/>
    <x v="3"/>
    <x v="2"/>
    <x v="0"/>
    <x v="11"/>
    <x v="2"/>
    <n v="8"/>
    <n v="883"/>
    <n v="1359"/>
    <n v="476"/>
  </r>
  <r>
    <s v="Aaron Rubio"/>
    <x v="2"/>
    <s v="Jacket"/>
    <d v="2024-11-10T00:00:00"/>
    <d v="2024-11-18T00:00:00"/>
    <n v="9"/>
    <n v="105"/>
    <x v="1"/>
    <x v="3"/>
    <x v="2"/>
    <x v="0"/>
    <x v="4"/>
    <x v="4"/>
    <n v="8"/>
    <n v="756"/>
    <n v="945"/>
    <n v="189"/>
  </r>
  <r>
    <s v="Steven Martin"/>
    <x v="1"/>
    <s v="Non-Fiction"/>
    <d v="2024-03-28T00:00:00"/>
    <d v="2024-04-08T00:00:00"/>
    <n v="10"/>
    <n v="747"/>
    <x v="1"/>
    <x v="3"/>
    <x v="2"/>
    <x v="0"/>
    <x v="3"/>
    <x v="3"/>
    <n v="11"/>
    <n v="3735"/>
    <n v="7470"/>
    <n v="3735"/>
  </r>
  <r>
    <s v="Jennifer Anderson MD"/>
    <x v="2"/>
    <s v="Dress"/>
    <d v="2024-08-01T00:00:00"/>
    <d v="2024-08-11T00:00:00"/>
    <n v="10"/>
    <n v="664"/>
    <x v="1"/>
    <x v="0"/>
    <x v="3"/>
    <x v="0"/>
    <x v="9"/>
    <x v="3"/>
    <n v="10"/>
    <n v="4648"/>
    <n v="6640"/>
    <n v="1992"/>
  </r>
  <r>
    <s v="Emily Taylor"/>
    <x v="3"/>
    <s v="Pasta"/>
    <d v="2024-06-23T00:00:00"/>
    <d v="2024-06-27T00:00:00"/>
    <n v="10"/>
    <n v="157"/>
    <x v="1"/>
    <x v="4"/>
    <x v="3"/>
    <x v="0"/>
    <x v="5"/>
    <x v="4"/>
    <n v="4"/>
    <n v="942"/>
    <n v="1570"/>
    <n v="628"/>
  </r>
  <r>
    <s v="Matthew Bowers"/>
    <x v="2"/>
    <s v="Sneakers"/>
    <d v="2024-03-03T00:00:00"/>
    <d v="2024-03-15T00:00:00"/>
    <n v="5"/>
    <n v="470"/>
    <x v="0"/>
    <x v="0"/>
    <x v="3"/>
    <x v="0"/>
    <x v="3"/>
    <x v="4"/>
    <n v="12"/>
    <n v="1763"/>
    <n v="2350"/>
    <n v="587"/>
  </r>
  <r>
    <s v="Samantha Green"/>
    <x v="2"/>
    <s v="Jacket"/>
    <d v="2024-07-06T00:00:00"/>
    <d v="2024-07-16T00:00:00"/>
    <n v="7"/>
    <n v="384"/>
    <x v="0"/>
    <x v="0"/>
    <x v="0"/>
    <x v="0"/>
    <x v="2"/>
    <x v="5"/>
    <n v="10"/>
    <n v="2150"/>
    <n v="2688"/>
    <n v="538"/>
  </r>
  <r>
    <s v="Jesse Ward"/>
    <x v="1"/>
    <s v="Children's Book"/>
    <d v="2024-10-08T00:00:00"/>
    <d v="2024-10-12T00:00:00"/>
    <n v="5"/>
    <n v="855"/>
    <x v="0"/>
    <x v="3"/>
    <x v="2"/>
    <x v="0"/>
    <x v="1"/>
    <x v="1"/>
    <n v="4"/>
    <n v="2565"/>
    <n v="4275"/>
    <n v="1710"/>
  </r>
  <r>
    <s v="Tyler Johnson"/>
    <x v="2"/>
    <s v="Jeans"/>
    <d v="2024-11-04T00:00:00"/>
    <d v="2024-11-16T00:00:00"/>
    <n v="9"/>
    <n v="421"/>
    <x v="0"/>
    <x v="3"/>
    <x v="0"/>
    <x v="0"/>
    <x v="4"/>
    <x v="0"/>
    <n v="12"/>
    <n v="2652"/>
    <n v="3789"/>
    <n v="1137"/>
  </r>
  <r>
    <s v="Patricia Collins"/>
    <x v="2"/>
    <s v="Dress"/>
    <d v="2024-09-20T00:00:00"/>
    <d v="2024-09-27T00:00:00"/>
    <n v="3"/>
    <n v="345"/>
    <x v="0"/>
    <x v="3"/>
    <x v="3"/>
    <x v="0"/>
    <x v="8"/>
    <x v="6"/>
    <n v="7"/>
    <n v="725"/>
    <n v="1035"/>
    <n v="310"/>
  </r>
  <r>
    <s v="Jacob Bonilla"/>
    <x v="3"/>
    <s v="Juice"/>
    <d v="2024-06-02T00:00:00"/>
    <d v="2024-06-15T00:00:00"/>
    <n v="10"/>
    <n v="354"/>
    <x v="1"/>
    <x v="3"/>
    <x v="3"/>
    <x v="0"/>
    <x v="5"/>
    <x v="4"/>
    <n v="13"/>
    <n v="1947"/>
    <n v="3540"/>
    <n v="1593"/>
  </r>
  <r>
    <s v="Anthony Shea DDS"/>
    <x v="0"/>
    <s v="Headphones"/>
    <d v="2024-10-25T00:00:00"/>
    <d v="2024-11-06T00:00:00"/>
    <n v="5"/>
    <n v="825"/>
    <x v="1"/>
    <x v="3"/>
    <x v="0"/>
    <x v="0"/>
    <x v="1"/>
    <x v="6"/>
    <n v="12"/>
    <n v="2681"/>
    <n v="4125"/>
    <n v="1444"/>
  </r>
  <r>
    <s v="Kathy Walsh"/>
    <x v="3"/>
    <s v="Cereal"/>
    <d v="2024-12-01T00:00:00"/>
    <d v="2024-12-04T00:00:00"/>
    <n v="10"/>
    <n v="601"/>
    <x v="1"/>
    <x v="0"/>
    <x v="0"/>
    <x v="0"/>
    <x v="6"/>
    <x v="4"/>
    <n v="3"/>
    <n v="3306"/>
    <n v="6010"/>
    <n v="2704"/>
  </r>
  <r>
    <s v="Cynthia Green"/>
    <x v="3"/>
    <s v="Pasta"/>
    <d v="2024-09-25T00:00:00"/>
    <d v="2024-10-07T00:00:00"/>
    <n v="10"/>
    <n v="803"/>
    <x v="0"/>
    <x v="1"/>
    <x v="3"/>
    <x v="0"/>
    <x v="8"/>
    <x v="2"/>
    <n v="12"/>
    <n v="4818"/>
    <n v="8030"/>
    <n v="3212"/>
  </r>
  <r>
    <s v="Melissa Williams"/>
    <x v="0"/>
    <s v="Laptop"/>
    <d v="2024-09-22T00:00:00"/>
    <d v="2024-10-07T00:00:00"/>
    <n v="4"/>
    <n v="584"/>
    <x v="1"/>
    <x v="4"/>
    <x v="0"/>
    <x v="0"/>
    <x v="8"/>
    <x v="4"/>
    <n v="15"/>
    <n v="1986"/>
    <n v="2336"/>
    <n v="350"/>
  </r>
  <r>
    <s v="Anthony Evans"/>
    <x v="3"/>
    <s v="Cereal"/>
    <d v="2024-03-29T00:00:00"/>
    <d v="2024-04-03T00:00:00"/>
    <n v="8"/>
    <n v="944"/>
    <x v="1"/>
    <x v="3"/>
    <x v="1"/>
    <x v="0"/>
    <x v="3"/>
    <x v="6"/>
    <n v="5"/>
    <n v="4154"/>
    <n v="7552"/>
    <n v="3398"/>
  </r>
  <r>
    <s v="Antonio Norman"/>
    <x v="4"/>
    <s v="Cushion"/>
    <d v="2024-11-08T00:00:00"/>
    <d v="2024-11-20T00:00:00"/>
    <n v="8"/>
    <n v="206"/>
    <x v="1"/>
    <x v="0"/>
    <x v="2"/>
    <x v="0"/>
    <x v="4"/>
    <x v="6"/>
    <n v="12"/>
    <n v="1071"/>
    <n v="1648"/>
    <n v="577"/>
  </r>
  <r>
    <s v="Kenneth Underwood"/>
    <x v="3"/>
    <s v="Cereal"/>
    <d v="2024-10-13T00:00:00"/>
    <d v="2024-10-21T00:00:00"/>
    <n v="5"/>
    <n v="304"/>
    <x v="1"/>
    <x v="0"/>
    <x v="3"/>
    <x v="0"/>
    <x v="1"/>
    <x v="4"/>
    <n v="8"/>
    <n v="836"/>
    <n v="1520"/>
    <n v="684"/>
  </r>
  <r>
    <s v="Danielle Phillips"/>
    <x v="0"/>
    <s v="Tablet"/>
    <d v="2024-12-31T00:00:00"/>
    <d v="2025-01-14T00:00:00"/>
    <n v="2"/>
    <n v="364"/>
    <x v="1"/>
    <x v="2"/>
    <x v="2"/>
    <x v="0"/>
    <x v="6"/>
    <x v="1"/>
    <n v="14"/>
    <n v="510"/>
    <n v="728"/>
    <n v="218"/>
  </r>
  <r>
    <s v="Curtis Wilkerson"/>
    <x v="3"/>
    <s v="Pasta"/>
    <d v="2024-04-13T00:00:00"/>
    <d v="2024-04-26T00:00:00"/>
    <n v="9"/>
    <n v="287"/>
    <x v="0"/>
    <x v="3"/>
    <x v="1"/>
    <x v="0"/>
    <x v="11"/>
    <x v="5"/>
    <n v="13"/>
    <n v="1550"/>
    <n v="2583"/>
    <n v="1033"/>
  </r>
  <r>
    <s v="Kathryn Price"/>
    <x v="0"/>
    <s v="Camera"/>
    <d v="2024-10-27T00:00:00"/>
    <d v="2024-11-03T00:00:00"/>
    <n v="4"/>
    <n v="258"/>
    <x v="0"/>
    <x v="0"/>
    <x v="1"/>
    <x v="0"/>
    <x v="1"/>
    <x v="4"/>
    <n v="7"/>
    <n v="826"/>
    <n v="1032"/>
    <n v="206"/>
  </r>
  <r>
    <s v="Kevin Hall"/>
    <x v="2"/>
    <s v="T-Shirt"/>
    <d v="2024-02-21T00:00:00"/>
    <d v="2024-03-06T00:00:00"/>
    <n v="7"/>
    <n v="348"/>
    <x v="0"/>
    <x v="3"/>
    <x v="1"/>
    <x v="0"/>
    <x v="7"/>
    <x v="2"/>
    <n v="14"/>
    <n v="1583"/>
    <n v="2436"/>
    <n v="853"/>
  </r>
  <r>
    <s v="Kristy Hart"/>
    <x v="2"/>
    <s v="Jacket"/>
    <d v="2024-06-13T00:00:00"/>
    <d v="2024-06-17T00:00:00"/>
    <n v="5"/>
    <n v="671"/>
    <x v="1"/>
    <x v="0"/>
    <x v="0"/>
    <x v="0"/>
    <x v="5"/>
    <x v="3"/>
    <n v="4"/>
    <n v="2684"/>
    <n v="3355"/>
    <n v="671"/>
  </r>
  <r>
    <s v="Joseph Smith"/>
    <x v="1"/>
    <s v="Non-Fiction"/>
    <d v="2024-09-30T00:00:00"/>
    <d v="2024-10-06T00:00:00"/>
    <n v="1"/>
    <n v="945"/>
    <x v="0"/>
    <x v="0"/>
    <x v="3"/>
    <x v="0"/>
    <x v="8"/>
    <x v="0"/>
    <n v="6"/>
    <n v="473"/>
    <n v="945"/>
    <n v="472"/>
  </r>
  <r>
    <s v="Sarah Valencia"/>
    <x v="0"/>
    <s v="Headphones"/>
    <d v="2024-09-10T00:00:00"/>
    <d v="2024-09-21T00:00:00"/>
    <n v="3"/>
    <n v="969"/>
    <x v="0"/>
    <x v="3"/>
    <x v="2"/>
    <x v="0"/>
    <x v="8"/>
    <x v="1"/>
    <n v="11"/>
    <n v="1890"/>
    <n v="2907"/>
    <n v="1017"/>
  </r>
  <r>
    <s v="Patricia Bradley"/>
    <x v="2"/>
    <s v="T-Shirt"/>
    <d v="2024-06-18T00:00:00"/>
    <d v="2024-06-24T00:00:00"/>
    <n v="3"/>
    <n v="758"/>
    <x v="1"/>
    <x v="2"/>
    <x v="2"/>
    <x v="0"/>
    <x v="5"/>
    <x v="1"/>
    <n v="6"/>
    <n v="1478"/>
    <n v="2274"/>
    <n v="796"/>
  </r>
  <r>
    <s v="William Jackson"/>
    <x v="2"/>
    <s v="T-Shirt"/>
    <d v="2024-06-21T00:00:00"/>
    <d v="2024-06-25T00:00:00"/>
    <n v="5"/>
    <n v="591"/>
    <x v="0"/>
    <x v="3"/>
    <x v="0"/>
    <x v="0"/>
    <x v="5"/>
    <x v="6"/>
    <n v="4"/>
    <n v="1921"/>
    <n v="2955"/>
    <n v="1034"/>
  </r>
  <r>
    <s v="Michelle Williams"/>
    <x v="1"/>
    <s v="Children's Book"/>
    <d v="2024-08-06T00:00:00"/>
    <d v="2024-08-18T00:00:00"/>
    <n v="9"/>
    <n v="345"/>
    <x v="1"/>
    <x v="0"/>
    <x v="3"/>
    <x v="0"/>
    <x v="9"/>
    <x v="1"/>
    <n v="12"/>
    <n v="1863"/>
    <n v="3105"/>
    <n v="1242"/>
  </r>
  <r>
    <s v="Fernando Lynn"/>
    <x v="3"/>
    <s v="Pasta"/>
    <d v="2024-08-16T00:00:00"/>
    <d v="2024-08-29T00:00:00"/>
    <n v="5"/>
    <n v="986"/>
    <x v="1"/>
    <x v="4"/>
    <x v="0"/>
    <x v="0"/>
    <x v="9"/>
    <x v="6"/>
    <n v="13"/>
    <n v="2958"/>
    <n v="4930"/>
    <n v="1972"/>
  </r>
  <r>
    <s v="Lisa Webb"/>
    <x v="1"/>
    <s v="Fiction"/>
    <d v="2024-05-13T00:00:00"/>
    <d v="2024-05-20T00:00:00"/>
    <n v="6"/>
    <n v="719"/>
    <x v="1"/>
    <x v="0"/>
    <x v="3"/>
    <x v="0"/>
    <x v="0"/>
    <x v="0"/>
    <n v="7"/>
    <n v="2157"/>
    <n v="4314"/>
    <n v="2157"/>
  </r>
  <r>
    <s v="Jennifer Spencer"/>
    <x v="0"/>
    <s v="Headphones"/>
    <d v="2024-06-06T00:00:00"/>
    <d v="2024-06-18T00:00:00"/>
    <n v="3"/>
    <n v="425"/>
    <x v="1"/>
    <x v="3"/>
    <x v="3"/>
    <x v="0"/>
    <x v="5"/>
    <x v="3"/>
    <n v="12"/>
    <n v="829"/>
    <n v="1275"/>
    <n v="446"/>
  </r>
  <r>
    <s v="Sara Hernandez"/>
    <x v="4"/>
    <s v="Table Lamp"/>
    <d v="2024-11-23T00:00:00"/>
    <d v="2024-11-29T00:00:00"/>
    <n v="5"/>
    <n v="386"/>
    <x v="0"/>
    <x v="3"/>
    <x v="3"/>
    <x v="0"/>
    <x v="4"/>
    <x v="5"/>
    <n v="6"/>
    <n v="1448"/>
    <n v="1930"/>
    <n v="482"/>
  </r>
  <r>
    <s v="Steven Baker"/>
    <x v="1"/>
    <s v="Children's Book"/>
    <d v="2024-10-02T00:00:00"/>
    <d v="2024-10-09T00:00:00"/>
    <n v="4"/>
    <n v="790"/>
    <x v="0"/>
    <x v="0"/>
    <x v="1"/>
    <x v="0"/>
    <x v="1"/>
    <x v="2"/>
    <n v="7"/>
    <n v="1896"/>
    <n v="3160"/>
    <n v="1264"/>
  </r>
  <r>
    <s v="Dennis Marshall"/>
    <x v="1"/>
    <s v="Children's Book"/>
    <d v="2024-09-27T00:00:00"/>
    <d v="2024-10-07T00:00:00"/>
    <n v="6"/>
    <n v="89"/>
    <x v="0"/>
    <x v="3"/>
    <x v="1"/>
    <x v="0"/>
    <x v="8"/>
    <x v="6"/>
    <n v="10"/>
    <n v="320"/>
    <n v="534"/>
    <n v="214"/>
  </r>
  <r>
    <s v="Cynthia Evans"/>
    <x v="1"/>
    <s v="Children's Book"/>
    <d v="2024-02-29T00:00:00"/>
    <d v="2024-03-08T00:00:00"/>
    <n v="4"/>
    <n v="744"/>
    <x v="0"/>
    <x v="3"/>
    <x v="1"/>
    <x v="0"/>
    <x v="7"/>
    <x v="3"/>
    <n v="8"/>
    <n v="1786"/>
    <n v="2976"/>
    <n v="1190"/>
  </r>
  <r>
    <s v="Beth Henderson"/>
    <x v="1"/>
    <s v="Fiction"/>
    <d v="2024-10-13T00:00:00"/>
    <d v="2024-10-25T00:00:00"/>
    <n v="8"/>
    <n v="698"/>
    <x v="1"/>
    <x v="1"/>
    <x v="3"/>
    <x v="0"/>
    <x v="1"/>
    <x v="4"/>
    <n v="12"/>
    <n v="2792"/>
    <n v="5584"/>
    <n v="2792"/>
  </r>
  <r>
    <s v="Thomas Sloan"/>
    <x v="0"/>
    <s v="Headphones"/>
    <d v="2024-05-10T00:00:00"/>
    <d v="2024-05-13T00:00:00"/>
    <n v="1"/>
    <n v="773"/>
    <x v="0"/>
    <x v="0"/>
    <x v="3"/>
    <x v="0"/>
    <x v="0"/>
    <x v="6"/>
    <n v="3"/>
    <n v="502"/>
    <n v="773"/>
    <n v="271"/>
  </r>
  <r>
    <s v="Kara Jackson"/>
    <x v="3"/>
    <s v="Milk"/>
    <d v="2024-07-12T00:00:00"/>
    <d v="2024-07-17T00:00:00"/>
    <n v="7"/>
    <n v="92"/>
    <x v="0"/>
    <x v="3"/>
    <x v="0"/>
    <x v="0"/>
    <x v="2"/>
    <x v="6"/>
    <n v="5"/>
    <n v="322"/>
    <n v="644"/>
    <n v="322"/>
  </r>
  <r>
    <s v="Steve Rivera"/>
    <x v="4"/>
    <s v="Table Lamp"/>
    <d v="2024-04-01T00:00:00"/>
    <d v="2024-04-12T00:00:00"/>
    <n v="9"/>
    <n v="412"/>
    <x v="1"/>
    <x v="3"/>
    <x v="1"/>
    <x v="0"/>
    <x v="11"/>
    <x v="0"/>
    <n v="11"/>
    <n v="2781"/>
    <n v="3708"/>
    <n v="927"/>
  </r>
  <r>
    <s v="Caitlin Collins"/>
    <x v="2"/>
    <s v="T-Shirt"/>
    <d v="2024-01-17T00:00:00"/>
    <d v="2024-01-27T00:00:00"/>
    <n v="7"/>
    <n v="639"/>
    <x v="0"/>
    <x v="1"/>
    <x v="1"/>
    <x v="0"/>
    <x v="10"/>
    <x v="2"/>
    <n v="10"/>
    <n v="2907"/>
    <n v="4473"/>
    <n v="1566"/>
  </r>
  <r>
    <s v="Corey Whitaker"/>
    <x v="2"/>
    <s v="T-Shirt"/>
    <d v="2024-02-21T00:00:00"/>
    <d v="2024-03-05T00:00:00"/>
    <n v="10"/>
    <n v="44"/>
    <x v="1"/>
    <x v="2"/>
    <x v="2"/>
    <x v="0"/>
    <x v="7"/>
    <x v="2"/>
    <n v="13"/>
    <n v="286"/>
    <n v="440"/>
    <n v="154"/>
  </r>
  <r>
    <s v="Madison Martinez"/>
    <x v="0"/>
    <s v="Laptop"/>
    <d v="2024-01-23T00:00:00"/>
    <d v="2024-02-05T00:00:00"/>
    <n v="7"/>
    <n v="459"/>
    <x v="0"/>
    <x v="0"/>
    <x v="1"/>
    <x v="0"/>
    <x v="10"/>
    <x v="1"/>
    <n v="13"/>
    <n v="2731"/>
    <n v="3213"/>
    <n v="482"/>
  </r>
  <r>
    <s v="Penny Lewis"/>
    <x v="1"/>
    <s v="Cookbook"/>
    <d v="2024-12-10T00:00:00"/>
    <d v="2024-12-19T00:00:00"/>
    <n v="6"/>
    <n v="252"/>
    <x v="1"/>
    <x v="4"/>
    <x v="2"/>
    <x v="0"/>
    <x v="6"/>
    <x v="1"/>
    <n v="9"/>
    <n v="983"/>
    <n v="1512"/>
    <n v="529"/>
  </r>
  <r>
    <s v="Carlos Thompson"/>
    <x v="1"/>
    <s v="Non-Fiction"/>
    <d v="2024-07-30T00:00:00"/>
    <d v="2024-08-06T00:00:00"/>
    <n v="5"/>
    <n v="291"/>
    <x v="1"/>
    <x v="0"/>
    <x v="2"/>
    <x v="0"/>
    <x v="2"/>
    <x v="1"/>
    <n v="7"/>
    <n v="728"/>
    <n v="1455"/>
    <n v="727"/>
  </r>
  <r>
    <s v="James Bailey"/>
    <x v="2"/>
    <s v="Sneakers"/>
    <d v="2024-10-11T00:00:00"/>
    <d v="2024-10-19T00:00:00"/>
    <n v="8"/>
    <n v="58"/>
    <x v="1"/>
    <x v="4"/>
    <x v="3"/>
    <x v="0"/>
    <x v="1"/>
    <x v="6"/>
    <n v="8"/>
    <n v="348"/>
    <n v="464"/>
    <n v="116"/>
  </r>
  <r>
    <s v="Brian Hunt"/>
    <x v="4"/>
    <s v="Wall Art"/>
    <d v="2024-07-28T00:00:00"/>
    <d v="2024-08-09T00:00:00"/>
    <n v="3"/>
    <n v="317"/>
    <x v="1"/>
    <x v="2"/>
    <x v="2"/>
    <x v="0"/>
    <x v="2"/>
    <x v="4"/>
    <n v="12"/>
    <n v="666"/>
    <n v="951"/>
    <n v="285"/>
  </r>
  <r>
    <s v="Sarah Pittman"/>
    <x v="0"/>
    <s v="Camera"/>
    <d v="2024-04-07T00:00:00"/>
    <d v="2024-04-19T00:00:00"/>
    <n v="1"/>
    <n v="284"/>
    <x v="1"/>
    <x v="2"/>
    <x v="0"/>
    <x v="0"/>
    <x v="11"/>
    <x v="4"/>
    <n v="12"/>
    <n v="227"/>
    <n v="284"/>
    <n v="57"/>
  </r>
  <r>
    <s v="Courtney Walker"/>
    <x v="0"/>
    <s v="Smartphone"/>
    <d v="2024-04-06T00:00:00"/>
    <d v="2024-04-09T00:00:00"/>
    <n v="10"/>
    <n v="751"/>
    <x v="0"/>
    <x v="3"/>
    <x v="2"/>
    <x v="0"/>
    <x v="11"/>
    <x v="5"/>
    <n v="3"/>
    <n v="5633"/>
    <n v="7510"/>
    <n v="1877"/>
  </r>
  <r>
    <s v="Edward York"/>
    <x v="3"/>
    <s v="Pasta"/>
    <d v="2024-06-19T00:00:00"/>
    <d v="2024-07-03T00:00:00"/>
    <n v="5"/>
    <n v="989"/>
    <x v="0"/>
    <x v="0"/>
    <x v="0"/>
    <x v="0"/>
    <x v="5"/>
    <x v="2"/>
    <n v="14"/>
    <n v="2967"/>
    <n v="4945"/>
    <n v="1978"/>
  </r>
  <r>
    <s v="Steve Mason"/>
    <x v="0"/>
    <s v="Headphones"/>
    <d v="2024-05-04T00:00:00"/>
    <d v="2024-05-17T00:00:00"/>
    <n v="10"/>
    <n v="730"/>
    <x v="0"/>
    <x v="0"/>
    <x v="0"/>
    <x v="0"/>
    <x v="0"/>
    <x v="5"/>
    <n v="13"/>
    <n v="4745"/>
    <n v="7300"/>
    <n v="2555"/>
  </r>
  <r>
    <s v="Penny Anderson"/>
    <x v="2"/>
    <s v="Jacket"/>
    <d v="2024-06-09T00:00:00"/>
    <d v="2024-06-19T00:00:00"/>
    <n v="7"/>
    <n v="56"/>
    <x v="1"/>
    <x v="3"/>
    <x v="2"/>
    <x v="0"/>
    <x v="5"/>
    <x v="4"/>
    <n v="10"/>
    <n v="314"/>
    <n v="392"/>
    <n v="78"/>
  </r>
  <r>
    <s v="Joseph Cross"/>
    <x v="2"/>
    <s v="T-Shirt"/>
    <d v="2024-05-13T00:00:00"/>
    <d v="2024-05-16T00:00:00"/>
    <n v="9"/>
    <n v="967"/>
    <x v="1"/>
    <x v="3"/>
    <x v="0"/>
    <x v="0"/>
    <x v="0"/>
    <x v="0"/>
    <n v="3"/>
    <n v="5657"/>
    <n v="8703"/>
    <n v="3046"/>
  </r>
  <r>
    <s v="Shawn Collins"/>
    <x v="3"/>
    <s v="Cereal"/>
    <d v="2024-03-19T00:00:00"/>
    <d v="2024-04-08T00:00:00"/>
    <n v="4"/>
    <n v="347"/>
    <x v="1"/>
    <x v="0"/>
    <x v="1"/>
    <x v="0"/>
    <x v="3"/>
    <x v="1"/>
    <n v="20"/>
    <n v="763"/>
    <n v="1388"/>
    <n v="625"/>
  </r>
  <r>
    <s v="Joy Meyer"/>
    <x v="2"/>
    <s v="Sneakers"/>
    <d v="2024-10-08T00:00:00"/>
    <d v="2024-10-17T00:00:00"/>
    <n v="6"/>
    <n v="273"/>
    <x v="1"/>
    <x v="1"/>
    <x v="3"/>
    <x v="0"/>
    <x v="1"/>
    <x v="1"/>
    <n v="9"/>
    <n v="1229"/>
    <n v="1638"/>
    <n v="409"/>
  </r>
  <r>
    <s v="Alex Wagner"/>
    <x v="2"/>
    <s v="Dress"/>
    <d v="2024-11-24T00:00:00"/>
    <d v="2024-11-27T00:00:00"/>
    <n v="1"/>
    <n v="546"/>
    <x v="1"/>
    <x v="0"/>
    <x v="2"/>
    <x v="0"/>
    <x v="4"/>
    <x v="4"/>
    <n v="3"/>
    <n v="382"/>
    <n v="546"/>
    <n v="164"/>
  </r>
  <r>
    <s v="Martha Smith"/>
    <x v="0"/>
    <s v="Smartphone"/>
    <d v="2024-07-30T00:00:00"/>
    <d v="2024-08-10T00:00:00"/>
    <n v="3"/>
    <n v="872"/>
    <x v="0"/>
    <x v="3"/>
    <x v="2"/>
    <x v="0"/>
    <x v="2"/>
    <x v="1"/>
    <n v="11"/>
    <n v="1962"/>
    <n v="2616"/>
    <n v="654"/>
  </r>
  <r>
    <s v="Matthew Bates"/>
    <x v="2"/>
    <s v="T-Shirt"/>
    <d v="2024-04-21T00:00:00"/>
    <d v="2024-04-28T00:00:00"/>
    <n v="9"/>
    <n v="476"/>
    <x v="1"/>
    <x v="4"/>
    <x v="3"/>
    <x v="0"/>
    <x v="11"/>
    <x v="4"/>
    <n v="7"/>
    <n v="2785"/>
    <n v="4284"/>
    <n v="1499"/>
  </r>
  <r>
    <s v="Autumn Wilson"/>
    <x v="1"/>
    <s v="Children's Book"/>
    <d v="2024-12-03T00:00:00"/>
    <d v="2024-12-12T00:00:00"/>
    <n v="8"/>
    <n v="26"/>
    <x v="1"/>
    <x v="0"/>
    <x v="2"/>
    <x v="0"/>
    <x v="6"/>
    <x v="1"/>
    <n v="9"/>
    <n v="125"/>
    <n v="208"/>
    <n v="83"/>
  </r>
  <r>
    <s v="Michael Meadows"/>
    <x v="0"/>
    <s v="Camera"/>
    <d v="2024-12-23T00:00:00"/>
    <d v="2025-01-05T00:00:00"/>
    <n v="7"/>
    <n v="835"/>
    <x v="0"/>
    <x v="0"/>
    <x v="3"/>
    <x v="0"/>
    <x v="6"/>
    <x v="0"/>
    <n v="13"/>
    <n v="4676"/>
    <n v="5845"/>
    <n v="1169"/>
  </r>
  <r>
    <s v="Sarah Ward"/>
    <x v="4"/>
    <s v="Wall Art"/>
    <d v="2024-02-10T00:00:00"/>
    <d v="2024-02-23T00:00:00"/>
    <n v="6"/>
    <n v="992"/>
    <x v="1"/>
    <x v="2"/>
    <x v="0"/>
    <x v="0"/>
    <x v="7"/>
    <x v="5"/>
    <n v="13"/>
    <n v="4166"/>
    <n v="5952"/>
    <n v="1786"/>
  </r>
  <r>
    <s v="Charles Holland"/>
    <x v="2"/>
    <s v="Jeans"/>
    <d v="2024-06-02T00:00:00"/>
    <d v="2024-06-11T00:00:00"/>
    <n v="2"/>
    <n v="679"/>
    <x v="0"/>
    <x v="1"/>
    <x v="0"/>
    <x v="0"/>
    <x v="5"/>
    <x v="4"/>
    <n v="9"/>
    <n v="951"/>
    <n v="1358"/>
    <n v="407"/>
  </r>
  <r>
    <s v="Robert White"/>
    <x v="3"/>
    <s v="Milk"/>
    <d v="2024-07-12T00:00:00"/>
    <d v="2024-07-25T00:00:00"/>
    <n v="9"/>
    <n v="497"/>
    <x v="1"/>
    <x v="0"/>
    <x v="3"/>
    <x v="0"/>
    <x v="2"/>
    <x v="6"/>
    <n v="13"/>
    <n v="2237"/>
    <n v="4473"/>
    <n v="2236"/>
  </r>
  <r>
    <s v="Karen Fisher"/>
    <x v="2"/>
    <s v="T-Shirt"/>
    <d v="2024-09-12T00:00:00"/>
    <d v="2024-09-20T00:00:00"/>
    <n v="7"/>
    <n v="670"/>
    <x v="1"/>
    <x v="1"/>
    <x v="3"/>
    <x v="0"/>
    <x v="8"/>
    <x v="3"/>
    <n v="8"/>
    <n v="3049"/>
    <n v="4690"/>
    <n v="1641"/>
  </r>
  <r>
    <s v="Jason Williams"/>
    <x v="4"/>
    <s v="Table Lamp"/>
    <d v="2024-02-08T00:00:00"/>
    <d v="2024-02-21T00:00:00"/>
    <n v="5"/>
    <n v="930"/>
    <x v="1"/>
    <x v="3"/>
    <x v="1"/>
    <x v="0"/>
    <x v="7"/>
    <x v="3"/>
    <n v="13"/>
    <n v="3488"/>
    <n v="4650"/>
    <n v="1162"/>
  </r>
  <r>
    <s v="Vanessa Santiago"/>
    <x v="0"/>
    <s v="Laptop"/>
    <d v="2024-06-10T00:00:00"/>
    <d v="2024-06-19T00:00:00"/>
    <n v="1"/>
    <n v="994"/>
    <x v="0"/>
    <x v="0"/>
    <x v="0"/>
    <x v="0"/>
    <x v="5"/>
    <x v="0"/>
    <n v="9"/>
    <n v="845"/>
    <n v="994"/>
    <n v="149"/>
  </r>
  <r>
    <s v="Erica Rivera"/>
    <x v="1"/>
    <s v="Biography"/>
    <d v="2024-07-15T00:00:00"/>
    <d v="2024-07-28T00:00:00"/>
    <n v="3"/>
    <n v="819"/>
    <x v="1"/>
    <x v="3"/>
    <x v="0"/>
    <x v="0"/>
    <x v="2"/>
    <x v="0"/>
    <n v="13"/>
    <n v="1351"/>
    <n v="2457"/>
    <n v="1106"/>
  </r>
  <r>
    <s v="Alicia Powell"/>
    <x v="1"/>
    <s v="Cookbook"/>
    <d v="2024-10-31T00:00:00"/>
    <d v="2024-11-14T00:00:00"/>
    <n v="7"/>
    <n v="802"/>
    <x v="1"/>
    <x v="4"/>
    <x v="1"/>
    <x v="0"/>
    <x v="1"/>
    <x v="3"/>
    <n v="14"/>
    <n v="3649"/>
    <n v="5614"/>
    <n v="1965"/>
  </r>
  <r>
    <s v="Brian Prince"/>
    <x v="2"/>
    <s v="T-Shirt"/>
    <d v="2024-02-12T00:00:00"/>
    <d v="2024-02-23T00:00:00"/>
    <n v="5"/>
    <n v="167"/>
    <x v="1"/>
    <x v="2"/>
    <x v="2"/>
    <x v="0"/>
    <x v="7"/>
    <x v="0"/>
    <n v="11"/>
    <n v="543"/>
    <n v="835"/>
    <n v="292"/>
  </r>
  <r>
    <s v="Janice Petty"/>
    <x v="1"/>
    <s v="Fiction"/>
    <d v="2024-11-01T00:00:00"/>
    <d v="2024-11-06T00:00:00"/>
    <n v="10"/>
    <n v="813"/>
    <x v="0"/>
    <x v="4"/>
    <x v="0"/>
    <x v="0"/>
    <x v="4"/>
    <x v="6"/>
    <n v="5"/>
    <n v="4065"/>
    <n v="8130"/>
    <n v="4065"/>
  </r>
  <r>
    <s v="Nicole Evans"/>
    <x v="4"/>
    <s v="Wall Art"/>
    <d v="2024-07-17T00:00:00"/>
    <d v="2024-07-23T00:00:00"/>
    <n v="2"/>
    <n v="752"/>
    <x v="1"/>
    <x v="3"/>
    <x v="1"/>
    <x v="0"/>
    <x v="2"/>
    <x v="2"/>
    <n v="6"/>
    <n v="1053"/>
    <n v="1504"/>
    <n v="451"/>
  </r>
  <r>
    <s v="Anthony Adams"/>
    <x v="4"/>
    <s v="Wall Art"/>
    <d v="2024-02-09T00:00:00"/>
    <d v="2024-02-13T00:00:00"/>
    <n v="6"/>
    <n v="267"/>
    <x v="1"/>
    <x v="5"/>
    <x v="2"/>
    <x v="0"/>
    <x v="7"/>
    <x v="6"/>
    <n v="4"/>
    <n v="1121"/>
    <n v="1602"/>
    <n v="481"/>
  </r>
  <r>
    <s v="Richard Jennings"/>
    <x v="4"/>
    <s v="Vase"/>
    <d v="2024-07-13T00:00:00"/>
    <d v="2024-07-19T00:00:00"/>
    <n v="6"/>
    <n v="460"/>
    <x v="1"/>
    <x v="4"/>
    <x v="0"/>
    <x v="0"/>
    <x v="2"/>
    <x v="5"/>
    <n v="6"/>
    <n v="2070"/>
    <n v="2760"/>
    <n v="690"/>
  </r>
  <r>
    <s v="Douglas Baker"/>
    <x v="4"/>
    <s v="Curtains"/>
    <d v="2024-07-22T00:00:00"/>
    <d v="2024-07-25T00:00:00"/>
    <n v="6"/>
    <n v="308"/>
    <x v="1"/>
    <x v="6"/>
    <x v="2"/>
    <x v="0"/>
    <x v="2"/>
    <x v="0"/>
    <n v="3"/>
    <n v="1201"/>
    <n v="1848"/>
    <n v="647"/>
  </r>
  <r>
    <s v="Michael Fox"/>
    <x v="0"/>
    <s v="Camera"/>
    <d v="2024-04-12T00:00:00"/>
    <d v="2024-04-21T00:00:00"/>
    <n v="10"/>
    <n v="568"/>
    <x v="0"/>
    <x v="5"/>
    <x v="3"/>
    <x v="0"/>
    <x v="11"/>
    <x v="6"/>
    <n v="9"/>
    <n v="4544"/>
    <n v="5680"/>
    <n v="1136"/>
  </r>
  <r>
    <s v="Lisa Oliver"/>
    <x v="3"/>
    <s v="Pasta"/>
    <d v="2024-11-20T00:00:00"/>
    <d v="2024-12-12T00:00:00"/>
    <n v="5"/>
    <n v="257"/>
    <x v="1"/>
    <x v="4"/>
    <x v="3"/>
    <x v="0"/>
    <x v="4"/>
    <x v="2"/>
    <n v="22"/>
    <n v="771"/>
    <n v="1285"/>
    <n v="514"/>
  </r>
  <r>
    <s v="Bradley Davis"/>
    <x v="1"/>
    <s v="Cookbook"/>
    <d v="2024-12-20T00:00:00"/>
    <d v="2024-12-28T00:00:00"/>
    <n v="7"/>
    <n v="566"/>
    <x v="1"/>
    <x v="5"/>
    <x v="0"/>
    <x v="0"/>
    <x v="6"/>
    <x v="6"/>
    <n v="8"/>
    <n v="2575"/>
    <n v="3962"/>
    <n v="1387"/>
  </r>
  <r>
    <s v="Ronald Johns"/>
    <x v="1"/>
    <s v="Cookbook"/>
    <d v="2024-11-22T00:00:00"/>
    <d v="2024-12-05T00:00:00"/>
    <n v="2"/>
    <n v="121"/>
    <x v="1"/>
    <x v="1"/>
    <x v="3"/>
    <x v="0"/>
    <x v="4"/>
    <x v="6"/>
    <n v="13"/>
    <n v="157"/>
    <n v="242"/>
    <n v="85"/>
  </r>
  <r>
    <s v="Alan Nunez"/>
    <x v="3"/>
    <s v="Rice"/>
    <d v="2024-01-06T00:00:00"/>
    <d v="2024-01-14T00:00:00"/>
    <n v="2"/>
    <n v="274"/>
    <x v="1"/>
    <x v="5"/>
    <x v="1"/>
    <x v="0"/>
    <x v="10"/>
    <x v="5"/>
    <n v="8"/>
    <n v="329"/>
    <n v="548"/>
    <n v="219"/>
  </r>
  <r>
    <s v="Daniel Davenport"/>
    <x v="0"/>
    <s v="Headphones"/>
    <d v="2024-12-22T00:00:00"/>
    <d v="2024-12-30T00:00:00"/>
    <n v="8"/>
    <n v="336"/>
    <x v="0"/>
    <x v="5"/>
    <x v="1"/>
    <x v="0"/>
    <x v="6"/>
    <x v="4"/>
    <n v="8"/>
    <n v="1747"/>
    <n v="2688"/>
    <n v="941"/>
  </r>
  <r>
    <s v="Angel Powers"/>
    <x v="0"/>
    <s v="Smartphone"/>
    <d v="2024-06-24T00:00:00"/>
    <d v="2024-06-29T00:00:00"/>
    <n v="2"/>
    <n v="703"/>
    <x v="1"/>
    <x v="1"/>
    <x v="2"/>
    <x v="0"/>
    <x v="5"/>
    <x v="0"/>
    <n v="5"/>
    <n v="1055"/>
    <n v="1406"/>
    <n v="351"/>
  </r>
  <r>
    <s v="Ian Frazier"/>
    <x v="0"/>
    <s v="Camera"/>
    <d v="2024-04-11T00:00:00"/>
    <d v="2024-04-21T00:00:00"/>
    <n v="8"/>
    <n v="616"/>
    <x v="0"/>
    <x v="2"/>
    <x v="2"/>
    <x v="0"/>
    <x v="11"/>
    <x v="3"/>
    <n v="10"/>
    <n v="3942"/>
    <n v="4928"/>
    <n v="986"/>
  </r>
  <r>
    <s v="Matthew Miller"/>
    <x v="2"/>
    <s v="Jeans"/>
    <d v="2024-05-22T00:00:00"/>
    <d v="2024-06-05T00:00:00"/>
    <n v="2"/>
    <n v="601"/>
    <x v="0"/>
    <x v="5"/>
    <x v="1"/>
    <x v="0"/>
    <x v="0"/>
    <x v="2"/>
    <n v="14"/>
    <n v="841"/>
    <n v="1202"/>
    <n v="361"/>
  </r>
  <r>
    <s v="Angela Jones"/>
    <x v="4"/>
    <s v="Cushion"/>
    <d v="2024-04-10T00:00:00"/>
    <d v="2024-04-20T00:00:00"/>
    <n v="8"/>
    <n v="126"/>
    <x v="1"/>
    <x v="4"/>
    <x v="0"/>
    <x v="0"/>
    <x v="11"/>
    <x v="2"/>
    <n v="10"/>
    <n v="655"/>
    <n v="1008"/>
    <n v="353"/>
  </r>
  <r>
    <s v="Sarah Drake"/>
    <x v="4"/>
    <s v="Wall Art"/>
    <d v="2024-11-12T00:00:00"/>
    <d v="2024-11-24T00:00:00"/>
    <n v="3"/>
    <n v="843"/>
    <x v="1"/>
    <x v="6"/>
    <x v="1"/>
    <x v="0"/>
    <x v="4"/>
    <x v="1"/>
    <n v="12"/>
    <n v="1770"/>
    <n v="2529"/>
    <n v="759"/>
  </r>
  <r>
    <s v="Sierra Williams"/>
    <x v="0"/>
    <s v="Laptop"/>
    <d v="2024-07-10T00:00:00"/>
    <d v="2024-07-14T00:00:00"/>
    <n v="3"/>
    <n v="533"/>
    <x v="1"/>
    <x v="2"/>
    <x v="1"/>
    <x v="0"/>
    <x v="2"/>
    <x v="2"/>
    <n v="4"/>
    <n v="1359"/>
    <n v="1599"/>
    <n v="240"/>
  </r>
  <r>
    <s v="Deborah Stephens"/>
    <x v="2"/>
    <s v="Dress"/>
    <d v="2024-07-15T00:00:00"/>
    <d v="2024-07-27T00:00:00"/>
    <n v="7"/>
    <n v="200"/>
    <x v="1"/>
    <x v="2"/>
    <x v="3"/>
    <x v="0"/>
    <x v="2"/>
    <x v="0"/>
    <n v="12"/>
    <n v="980"/>
    <n v="1400"/>
    <n v="420"/>
  </r>
  <r>
    <s v="Brenda Martin"/>
    <x v="3"/>
    <s v="Juice"/>
    <d v="2024-01-28T00:00:00"/>
    <d v="2024-02-07T00:00:00"/>
    <n v="6"/>
    <n v="984"/>
    <x v="0"/>
    <x v="5"/>
    <x v="3"/>
    <x v="0"/>
    <x v="10"/>
    <x v="4"/>
    <n v="10"/>
    <n v="3247"/>
    <n v="5904"/>
    <n v="2657"/>
  </r>
  <r>
    <s v="Gary Wilson"/>
    <x v="2"/>
    <s v="Sneakers"/>
    <d v="2024-10-14T00:00:00"/>
    <d v="2024-10-28T00:00:00"/>
    <n v="9"/>
    <n v="678"/>
    <x v="1"/>
    <x v="2"/>
    <x v="3"/>
    <x v="0"/>
    <x v="1"/>
    <x v="0"/>
    <n v="14"/>
    <n v="4577"/>
    <n v="6102"/>
    <n v="1525"/>
  </r>
  <r>
    <s v="Alison Williams"/>
    <x v="3"/>
    <s v="Milk"/>
    <d v="2024-12-29T00:00:00"/>
    <d v="2025-01-02T00:00:00"/>
    <n v="8"/>
    <n v="510"/>
    <x v="1"/>
    <x v="5"/>
    <x v="0"/>
    <x v="0"/>
    <x v="6"/>
    <x v="4"/>
    <n v="4"/>
    <n v="2040"/>
    <n v="4080"/>
    <n v="2040"/>
  </r>
  <r>
    <s v="Rebecca Hoover"/>
    <x v="2"/>
    <s v="Sneakers"/>
    <d v="2024-10-16T00:00:00"/>
    <d v="2024-10-29T00:00:00"/>
    <n v="8"/>
    <n v="572"/>
    <x v="1"/>
    <x v="6"/>
    <x v="3"/>
    <x v="0"/>
    <x v="1"/>
    <x v="2"/>
    <n v="13"/>
    <n v="3432"/>
    <n v="4576"/>
    <n v="1144"/>
  </r>
  <r>
    <s v="Joseph Blankenship"/>
    <x v="0"/>
    <s v="Tablet"/>
    <d v="2024-10-05T00:00:00"/>
    <d v="2024-10-09T00:00:00"/>
    <n v="6"/>
    <n v="565"/>
    <x v="1"/>
    <x v="1"/>
    <x v="3"/>
    <x v="0"/>
    <x v="1"/>
    <x v="5"/>
    <n v="4"/>
    <n v="2373"/>
    <n v="3390"/>
    <n v="1017"/>
  </r>
  <r>
    <s v="Robert Velez"/>
    <x v="0"/>
    <s v="Laptop"/>
    <d v="2024-04-17T00:00:00"/>
    <d v="2024-04-24T00:00:00"/>
    <n v="10"/>
    <n v="715"/>
    <x v="1"/>
    <x v="4"/>
    <x v="2"/>
    <x v="0"/>
    <x v="11"/>
    <x v="2"/>
    <n v="7"/>
    <n v="6078"/>
    <n v="7150"/>
    <n v="1072"/>
  </r>
  <r>
    <s v="Kimberly Scott"/>
    <x v="3"/>
    <s v="Pasta"/>
    <d v="2024-11-11T00:00:00"/>
    <d v="2024-11-24T00:00:00"/>
    <n v="3"/>
    <n v="813"/>
    <x v="0"/>
    <x v="5"/>
    <x v="0"/>
    <x v="0"/>
    <x v="4"/>
    <x v="0"/>
    <n v="13"/>
    <n v="1463"/>
    <n v="2439"/>
    <n v="976"/>
  </r>
  <r>
    <s v="Wendy Sanders"/>
    <x v="4"/>
    <s v="Cushion"/>
    <d v="2024-10-20T00:00:00"/>
    <d v="2024-10-31T00:00:00"/>
    <n v="5"/>
    <n v="985"/>
    <x v="1"/>
    <x v="1"/>
    <x v="3"/>
    <x v="0"/>
    <x v="1"/>
    <x v="4"/>
    <n v="11"/>
    <n v="3201"/>
    <n v="4925"/>
    <n v="1724"/>
  </r>
  <r>
    <s v="Eric Cooper"/>
    <x v="0"/>
    <s v="Laptop"/>
    <d v="2024-07-29T00:00:00"/>
    <d v="2024-08-04T00:00:00"/>
    <n v="1"/>
    <n v="293"/>
    <x v="1"/>
    <x v="1"/>
    <x v="1"/>
    <x v="0"/>
    <x v="2"/>
    <x v="0"/>
    <n v="6"/>
    <n v="249"/>
    <n v="293"/>
    <n v="44"/>
  </r>
  <r>
    <s v="Jessica Harris"/>
    <x v="3"/>
    <s v="Cereal"/>
    <d v="2024-10-24T00:00:00"/>
    <d v="2024-10-30T00:00:00"/>
    <n v="1"/>
    <n v="899"/>
    <x v="1"/>
    <x v="1"/>
    <x v="3"/>
    <x v="0"/>
    <x v="1"/>
    <x v="3"/>
    <n v="6"/>
    <n v="494"/>
    <n v="899"/>
    <n v="405"/>
  </r>
  <r>
    <s v="Lisa Craig"/>
    <x v="3"/>
    <s v="Cereal"/>
    <d v="2024-02-02T00:00:00"/>
    <d v="2024-02-11T00:00:00"/>
    <n v="9"/>
    <n v="417"/>
    <x v="0"/>
    <x v="5"/>
    <x v="3"/>
    <x v="0"/>
    <x v="7"/>
    <x v="6"/>
    <n v="9"/>
    <n v="2064"/>
    <n v="3753"/>
    <n v="1689"/>
  </r>
  <r>
    <s v="Penny Gomez MD"/>
    <x v="3"/>
    <s v="Cereal"/>
    <d v="2024-06-14T00:00:00"/>
    <d v="2024-06-18T00:00:00"/>
    <n v="5"/>
    <n v="355"/>
    <x v="0"/>
    <x v="6"/>
    <x v="3"/>
    <x v="0"/>
    <x v="5"/>
    <x v="6"/>
    <n v="4"/>
    <n v="976"/>
    <n v="1775"/>
    <n v="799"/>
  </r>
  <r>
    <s v="Hannah Richmond"/>
    <x v="1"/>
    <s v="Children's Book"/>
    <d v="2024-06-24T00:00:00"/>
    <d v="2024-06-28T00:00:00"/>
    <n v="1"/>
    <n v="57"/>
    <x v="0"/>
    <x v="5"/>
    <x v="2"/>
    <x v="0"/>
    <x v="5"/>
    <x v="0"/>
    <n v="4"/>
    <n v="34"/>
    <n v="57"/>
    <n v="23"/>
  </r>
  <r>
    <s v="Debbie Russell"/>
    <x v="0"/>
    <s v="Laptop"/>
    <d v="2024-08-13T00:00:00"/>
    <d v="2024-08-25T00:00:00"/>
    <n v="8"/>
    <n v="10"/>
    <x v="1"/>
    <x v="2"/>
    <x v="1"/>
    <x v="0"/>
    <x v="9"/>
    <x v="1"/>
    <n v="12"/>
    <n v="68"/>
    <n v="80"/>
    <n v="12"/>
  </r>
  <r>
    <s v="Judy Murray"/>
    <x v="0"/>
    <s v="Tablet"/>
    <d v="2024-12-06T00:00:00"/>
    <d v="2024-12-13T00:00:00"/>
    <n v="3"/>
    <n v="63"/>
    <x v="1"/>
    <x v="2"/>
    <x v="1"/>
    <x v="0"/>
    <x v="6"/>
    <x v="6"/>
    <n v="7"/>
    <n v="132"/>
    <n v="189"/>
    <n v="57"/>
  </r>
  <r>
    <s v="Jennifer Gomez"/>
    <x v="2"/>
    <s v="Sneakers"/>
    <d v="2024-12-01T00:00:00"/>
    <d v="2024-12-10T00:00:00"/>
    <n v="2"/>
    <n v="730"/>
    <x v="0"/>
    <x v="5"/>
    <x v="1"/>
    <x v="0"/>
    <x v="6"/>
    <x v="4"/>
    <n v="9"/>
    <n v="1095"/>
    <n v="1460"/>
    <n v="365"/>
  </r>
  <r>
    <s v="Hayden Shannon"/>
    <x v="3"/>
    <s v="Rice"/>
    <d v="2024-03-08T00:00:00"/>
    <d v="2024-03-15T00:00:00"/>
    <n v="10"/>
    <n v="241"/>
    <x v="0"/>
    <x v="6"/>
    <x v="1"/>
    <x v="0"/>
    <x v="3"/>
    <x v="6"/>
    <n v="7"/>
    <n v="1446"/>
    <n v="2410"/>
    <n v="964"/>
  </r>
  <r>
    <s v="Nicolas Salas II"/>
    <x v="0"/>
    <s v="Tablet"/>
    <d v="2024-03-02T00:00:00"/>
    <d v="2024-03-15T00:00:00"/>
    <n v="7"/>
    <n v="720"/>
    <x v="0"/>
    <x v="5"/>
    <x v="1"/>
    <x v="0"/>
    <x v="3"/>
    <x v="5"/>
    <n v="13"/>
    <n v="3528"/>
    <n v="5040"/>
    <n v="1512"/>
  </r>
  <r>
    <s v="Katherine Joyce"/>
    <x v="2"/>
    <s v="Sneakers"/>
    <d v="2024-03-09T00:00:00"/>
    <d v="2024-03-20T00:00:00"/>
    <n v="3"/>
    <n v="80"/>
    <x v="0"/>
    <x v="6"/>
    <x v="3"/>
    <x v="0"/>
    <x v="3"/>
    <x v="5"/>
    <n v="11"/>
    <n v="180"/>
    <n v="240"/>
    <n v="60"/>
  </r>
  <r>
    <s v="Alexandra Clark"/>
    <x v="1"/>
    <s v="Children's Book"/>
    <d v="2024-04-21T00:00:00"/>
    <d v="2024-04-27T00:00:00"/>
    <n v="2"/>
    <n v="928"/>
    <x v="0"/>
    <x v="5"/>
    <x v="0"/>
    <x v="0"/>
    <x v="11"/>
    <x v="4"/>
    <n v="6"/>
    <n v="1114"/>
    <n v="1856"/>
    <n v="742"/>
  </r>
  <r>
    <s v="Jonathan Clark"/>
    <x v="1"/>
    <s v="Children's Book"/>
    <d v="2024-06-28T00:00:00"/>
    <d v="2024-07-11T00:00:00"/>
    <n v="7"/>
    <n v="332"/>
    <x v="0"/>
    <x v="1"/>
    <x v="3"/>
    <x v="0"/>
    <x v="5"/>
    <x v="6"/>
    <n v="13"/>
    <n v="1394"/>
    <n v="2324"/>
    <n v="930"/>
  </r>
  <r>
    <s v="Adam Fisher"/>
    <x v="0"/>
    <s v="Tablet"/>
    <d v="2024-04-15T00:00:00"/>
    <d v="2024-04-18T00:00:00"/>
    <n v="9"/>
    <n v="631"/>
    <x v="1"/>
    <x v="6"/>
    <x v="1"/>
    <x v="0"/>
    <x v="11"/>
    <x v="0"/>
    <n v="3"/>
    <n v="3975"/>
    <n v="5679"/>
    <n v="1704"/>
  </r>
  <r>
    <s v="Jason Bell"/>
    <x v="3"/>
    <s v="Rice"/>
    <d v="2024-05-03T00:00:00"/>
    <d v="2024-05-07T00:00:00"/>
    <n v="8"/>
    <n v="663"/>
    <x v="1"/>
    <x v="6"/>
    <x v="2"/>
    <x v="0"/>
    <x v="0"/>
    <x v="6"/>
    <n v="4"/>
    <n v="3182"/>
    <n v="5304"/>
    <n v="2122"/>
  </r>
  <r>
    <s v="Greg Edwards"/>
    <x v="4"/>
    <s v="Vase"/>
    <d v="2024-12-15T00:00:00"/>
    <d v="2024-12-20T00:00:00"/>
    <n v="3"/>
    <n v="791"/>
    <x v="0"/>
    <x v="2"/>
    <x v="0"/>
    <x v="0"/>
    <x v="6"/>
    <x v="4"/>
    <n v="5"/>
    <n v="1780"/>
    <n v="2373"/>
    <n v="593"/>
  </r>
  <r>
    <s v="Mary Shepard"/>
    <x v="1"/>
    <s v="Biography"/>
    <d v="2024-11-17T00:00:00"/>
    <d v="2024-11-20T00:00:00"/>
    <n v="9"/>
    <n v="795"/>
    <x v="1"/>
    <x v="2"/>
    <x v="3"/>
    <x v="0"/>
    <x v="4"/>
    <x v="4"/>
    <n v="3"/>
    <n v="3935"/>
    <n v="7155"/>
    <n v="3220"/>
  </r>
  <r>
    <s v="Cameron Rose"/>
    <x v="0"/>
    <s v="Tablet"/>
    <d v="2024-02-10T00:00:00"/>
    <d v="2024-02-24T00:00:00"/>
    <n v="9"/>
    <n v="953"/>
    <x v="1"/>
    <x v="5"/>
    <x v="2"/>
    <x v="0"/>
    <x v="7"/>
    <x v="5"/>
    <n v="14"/>
    <n v="6004"/>
    <n v="8577"/>
    <n v="2573"/>
  </r>
  <r>
    <s v="Kimberly Taylor"/>
    <x v="4"/>
    <s v="Wall Art"/>
    <d v="2024-10-27T00:00:00"/>
    <d v="2024-11-10T00:00:00"/>
    <n v="2"/>
    <n v="327"/>
    <x v="1"/>
    <x v="6"/>
    <x v="2"/>
    <x v="0"/>
    <x v="1"/>
    <x v="4"/>
    <n v="14"/>
    <n v="458"/>
    <n v="654"/>
    <n v="196"/>
  </r>
  <r>
    <s v="Sarah Cooper"/>
    <x v="1"/>
    <s v="Cookbook"/>
    <d v="2024-01-29T00:00:00"/>
    <d v="2024-02-02T00:00:00"/>
    <n v="5"/>
    <n v="692"/>
    <x v="0"/>
    <x v="6"/>
    <x v="1"/>
    <x v="0"/>
    <x v="10"/>
    <x v="0"/>
    <n v="4"/>
    <n v="2249"/>
    <n v="3460"/>
    <n v="1211"/>
  </r>
  <r>
    <s v="Ralph Yates"/>
    <x v="0"/>
    <s v="Laptop"/>
    <d v="2024-12-25T00:00:00"/>
    <d v="2025-01-01T00:00:00"/>
    <n v="1"/>
    <n v="177"/>
    <x v="1"/>
    <x v="2"/>
    <x v="1"/>
    <x v="0"/>
    <x v="6"/>
    <x v="2"/>
    <n v="7"/>
    <n v="150"/>
    <n v="177"/>
    <n v="27"/>
  </r>
  <r>
    <s v="Connie Miller"/>
    <x v="1"/>
    <s v="Biography"/>
    <d v="2024-03-26T00:00:00"/>
    <d v="2024-04-08T00:00:00"/>
    <n v="6"/>
    <n v="139"/>
    <x v="1"/>
    <x v="6"/>
    <x v="3"/>
    <x v="0"/>
    <x v="3"/>
    <x v="1"/>
    <n v="13"/>
    <n v="459"/>
    <n v="834"/>
    <n v="375"/>
  </r>
  <r>
    <s v="Jason Floyd"/>
    <x v="1"/>
    <s v="Non-Fiction"/>
    <d v="2024-07-07T00:00:00"/>
    <d v="2024-07-17T00:00:00"/>
    <n v="3"/>
    <n v="271"/>
    <x v="1"/>
    <x v="1"/>
    <x v="0"/>
    <x v="0"/>
    <x v="2"/>
    <x v="4"/>
    <n v="10"/>
    <n v="407"/>
    <n v="813"/>
    <n v="406"/>
  </r>
  <r>
    <s v="Tiffany Brown"/>
    <x v="0"/>
    <s v="Laptop"/>
    <d v="2024-09-17T00:00:00"/>
    <d v="2024-09-20T00:00:00"/>
    <n v="1"/>
    <n v="55"/>
    <x v="0"/>
    <x v="1"/>
    <x v="3"/>
    <x v="0"/>
    <x v="8"/>
    <x v="1"/>
    <n v="3"/>
    <n v="47"/>
    <n v="55"/>
    <n v="8"/>
  </r>
  <r>
    <s v="Sandra Martinez"/>
    <x v="0"/>
    <s v="Headphones"/>
    <d v="2024-07-05T00:00:00"/>
    <d v="2024-07-18T00:00:00"/>
    <n v="7"/>
    <n v="952"/>
    <x v="0"/>
    <x v="5"/>
    <x v="0"/>
    <x v="0"/>
    <x v="2"/>
    <x v="6"/>
    <n v="13"/>
    <n v="4332"/>
    <n v="6664"/>
    <n v="2332"/>
  </r>
  <r>
    <s v="Dawn Little"/>
    <x v="0"/>
    <s v="Camera"/>
    <d v="2024-07-09T00:00:00"/>
    <d v="2024-07-15T00:00:00"/>
    <n v="2"/>
    <n v="524"/>
    <x v="0"/>
    <x v="6"/>
    <x v="1"/>
    <x v="0"/>
    <x v="2"/>
    <x v="1"/>
    <n v="6"/>
    <n v="838"/>
    <n v="1048"/>
    <n v="210"/>
  </r>
  <r>
    <s v="Heather Taylor"/>
    <x v="2"/>
    <s v="Dress"/>
    <d v="2024-05-05T00:00:00"/>
    <d v="2024-05-09T00:00:00"/>
    <n v="3"/>
    <n v="16"/>
    <x v="0"/>
    <x v="2"/>
    <x v="2"/>
    <x v="0"/>
    <x v="0"/>
    <x v="4"/>
    <n v="4"/>
    <n v="34"/>
    <n v="48"/>
    <n v="14"/>
  </r>
  <r>
    <s v="Gregory Oconnor"/>
    <x v="1"/>
    <s v="Biography"/>
    <d v="2024-11-21T00:00:00"/>
    <d v="2024-11-25T00:00:00"/>
    <n v="1"/>
    <n v="983"/>
    <x v="1"/>
    <x v="4"/>
    <x v="1"/>
    <x v="0"/>
    <x v="4"/>
    <x v="3"/>
    <n v="4"/>
    <n v="541"/>
    <n v="983"/>
    <n v="442"/>
  </r>
  <r>
    <s v="Cynthia Le"/>
    <x v="0"/>
    <s v="Laptop"/>
    <d v="2024-12-20T00:00:00"/>
    <d v="2024-12-31T00:00:00"/>
    <n v="5"/>
    <n v="105"/>
    <x v="1"/>
    <x v="5"/>
    <x v="2"/>
    <x v="0"/>
    <x v="6"/>
    <x v="6"/>
    <n v="11"/>
    <n v="446"/>
    <n v="525"/>
    <n v="79"/>
  </r>
  <r>
    <s v="Douglas Ortiz"/>
    <x v="3"/>
    <s v="Cereal"/>
    <d v="2024-08-22T00:00:00"/>
    <d v="2024-09-05T00:00:00"/>
    <n v="2"/>
    <n v="604"/>
    <x v="0"/>
    <x v="5"/>
    <x v="0"/>
    <x v="0"/>
    <x v="9"/>
    <x v="3"/>
    <n v="14"/>
    <n v="664"/>
    <n v="1208"/>
    <n v="544"/>
  </r>
  <r>
    <s v="Beverly Russo"/>
    <x v="3"/>
    <s v="Rice"/>
    <d v="2024-10-30T00:00:00"/>
    <d v="2024-11-09T00:00:00"/>
    <n v="10"/>
    <n v="73"/>
    <x v="0"/>
    <x v="2"/>
    <x v="1"/>
    <x v="0"/>
    <x v="1"/>
    <x v="2"/>
    <n v="10"/>
    <n v="438"/>
    <n v="730"/>
    <n v="292"/>
  </r>
  <r>
    <s v="Amy Grant"/>
    <x v="3"/>
    <s v="Cereal"/>
    <d v="2024-04-29T00:00:00"/>
    <d v="2024-05-14T00:00:00"/>
    <n v="2"/>
    <n v="976"/>
    <x v="1"/>
    <x v="5"/>
    <x v="3"/>
    <x v="0"/>
    <x v="11"/>
    <x v="0"/>
    <n v="15"/>
    <n v="1074"/>
    <n v="1952"/>
    <n v="878"/>
  </r>
  <r>
    <s v="Maurice Andrade"/>
    <x v="0"/>
    <s v="Smartphone"/>
    <d v="2024-03-21T00:00:00"/>
    <d v="2024-03-24T00:00:00"/>
    <n v="5"/>
    <n v="856"/>
    <x v="0"/>
    <x v="6"/>
    <x v="1"/>
    <x v="0"/>
    <x v="3"/>
    <x v="3"/>
    <n v="3"/>
    <n v="3210"/>
    <n v="4280"/>
    <n v="1070"/>
  </r>
  <r>
    <s v="David Gardner"/>
    <x v="1"/>
    <s v="Fiction"/>
    <d v="2024-12-12T00:00:00"/>
    <d v="2024-12-25T00:00:00"/>
    <n v="5"/>
    <n v="276"/>
    <x v="0"/>
    <x v="1"/>
    <x v="3"/>
    <x v="0"/>
    <x v="6"/>
    <x v="3"/>
    <n v="13"/>
    <n v="690"/>
    <n v="1380"/>
    <n v="690"/>
  </r>
  <r>
    <s v="Andrew Mitchell"/>
    <x v="3"/>
    <s v="Milk"/>
    <d v="2024-10-11T00:00:00"/>
    <d v="2024-10-23T00:00:00"/>
    <n v="9"/>
    <n v="265"/>
    <x v="0"/>
    <x v="5"/>
    <x v="2"/>
    <x v="0"/>
    <x v="1"/>
    <x v="6"/>
    <n v="12"/>
    <n v="1193"/>
    <n v="2385"/>
    <n v="1192"/>
  </r>
  <r>
    <s v="Rodney Norris"/>
    <x v="2"/>
    <s v="T-Shirt"/>
    <d v="2024-01-07T00:00:00"/>
    <d v="2024-01-12T00:00:00"/>
    <n v="1"/>
    <n v="860"/>
    <x v="0"/>
    <x v="1"/>
    <x v="1"/>
    <x v="0"/>
    <x v="10"/>
    <x v="4"/>
    <n v="5"/>
    <n v="559"/>
    <n v="860"/>
    <n v="301"/>
  </r>
  <r>
    <s v="Jacob Perkins"/>
    <x v="2"/>
    <s v="Sneakers"/>
    <d v="2024-07-09T00:00:00"/>
    <d v="2024-07-20T00:00:00"/>
    <n v="2"/>
    <n v="606"/>
    <x v="0"/>
    <x v="6"/>
    <x v="0"/>
    <x v="0"/>
    <x v="2"/>
    <x v="1"/>
    <n v="11"/>
    <n v="909"/>
    <n v="1212"/>
    <n v="303"/>
  </r>
  <r>
    <s v="Jessica Conrad"/>
    <x v="0"/>
    <s v="Smartphone"/>
    <d v="2024-08-24T00:00:00"/>
    <d v="2024-08-30T00:00:00"/>
    <n v="1"/>
    <n v="182"/>
    <x v="1"/>
    <x v="6"/>
    <x v="1"/>
    <x v="0"/>
    <x v="9"/>
    <x v="5"/>
    <n v="6"/>
    <n v="137"/>
    <n v="182"/>
    <n v="45"/>
  </r>
  <r>
    <s v="Caitlin Henderson"/>
    <x v="3"/>
    <s v="Cereal"/>
    <d v="2025-06-18T00:00:00"/>
    <d v="2025-06-28T00:00:00"/>
    <n v="6"/>
    <n v="973"/>
    <x v="0"/>
    <x v="1"/>
    <x v="0"/>
    <x v="1"/>
    <x v="5"/>
    <x v="2"/>
    <n v="10"/>
    <n v="3211"/>
    <n v="5838"/>
    <n v="2627"/>
  </r>
  <r>
    <s v="Victoria Wyatt"/>
    <x v="3"/>
    <s v="Cereal"/>
    <d v="2025-02-02T00:00:00"/>
    <d v="2025-02-08T00:00:00"/>
    <n v="2"/>
    <n v="947"/>
    <x v="0"/>
    <x v="2"/>
    <x v="0"/>
    <x v="1"/>
    <x v="7"/>
    <x v="4"/>
    <n v="6"/>
    <n v="1042"/>
    <n v="1894"/>
    <n v="852"/>
  </r>
  <r>
    <s v="Matthew Foster"/>
    <x v="2"/>
    <s v="Sneakers"/>
    <d v="2025-01-08T00:00:00"/>
    <d v="2025-01-21T00:00:00"/>
    <n v="1"/>
    <n v="713"/>
    <x v="1"/>
    <x v="2"/>
    <x v="1"/>
    <x v="1"/>
    <x v="10"/>
    <x v="2"/>
    <n v="13"/>
    <n v="535"/>
    <n v="713"/>
    <n v="178"/>
  </r>
  <r>
    <s v="David Bradley"/>
    <x v="4"/>
    <s v="Curtains"/>
    <d v="2025-06-03T00:00:00"/>
    <d v="2025-06-11T00:00:00"/>
    <n v="9"/>
    <n v="692"/>
    <x v="1"/>
    <x v="1"/>
    <x v="3"/>
    <x v="1"/>
    <x v="5"/>
    <x v="1"/>
    <n v="8"/>
    <n v="4048"/>
    <n v="6228"/>
    <n v="2180"/>
  </r>
  <r>
    <s v="Tyler Miller"/>
    <x v="1"/>
    <s v="Children's Book"/>
    <d v="2025-05-26T00:00:00"/>
    <d v="2025-06-06T00:00:00"/>
    <n v="7"/>
    <n v="305"/>
    <x v="1"/>
    <x v="3"/>
    <x v="0"/>
    <x v="1"/>
    <x v="0"/>
    <x v="0"/>
    <n v="11"/>
    <n v="1281"/>
    <n v="2135"/>
    <n v="854"/>
  </r>
  <r>
    <s v="Taylor Mathis Jr."/>
    <x v="0"/>
    <s v="Smartphone"/>
    <d v="2025-08-13T00:00:00"/>
    <d v="2025-08-18T00:00:00"/>
    <n v="7"/>
    <n v="501"/>
    <x v="1"/>
    <x v="2"/>
    <x v="3"/>
    <x v="1"/>
    <x v="9"/>
    <x v="2"/>
    <n v="5"/>
    <n v="2630"/>
    <n v="3507"/>
    <n v="877"/>
  </r>
  <r>
    <s v="Candice Ramos"/>
    <x v="3"/>
    <s v="Milk"/>
    <d v="2025-06-07T00:00:00"/>
    <d v="2025-06-11T00:00:00"/>
    <n v="8"/>
    <n v="329"/>
    <x v="0"/>
    <x v="2"/>
    <x v="0"/>
    <x v="1"/>
    <x v="5"/>
    <x v="5"/>
    <n v="4"/>
    <n v="1316"/>
    <n v="2632"/>
    <n v="1316"/>
  </r>
  <r>
    <s v="Christine Wright"/>
    <x v="2"/>
    <s v="Sneakers"/>
    <d v="2025-01-08T00:00:00"/>
    <d v="2025-01-15T00:00:00"/>
    <n v="9"/>
    <n v="785"/>
    <x v="0"/>
    <x v="4"/>
    <x v="3"/>
    <x v="1"/>
    <x v="10"/>
    <x v="2"/>
    <n v="7"/>
    <n v="5299"/>
    <n v="7065"/>
    <n v="1766"/>
  </r>
  <r>
    <s v="Allison Doyle"/>
    <x v="4"/>
    <s v="Table Lamp"/>
    <d v="2025-09-02T00:00:00"/>
    <d v="2025-09-16T00:00:00"/>
    <n v="2"/>
    <n v="530"/>
    <x v="1"/>
    <x v="2"/>
    <x v="1"/>
    <x v="1"/>
    <x v="8"/>
    <x v="1"/>
    <n v="14"/>
    <n v="795"/>
    <n v="1060"/>
    <n v="265"/>
  </r>
  <r>
    <s v="Meghan Anthony"/>
    <x v="4"/>
    <s v="Curtains"/>
    <d v="2025-12-04T00:00:00"/>
    <d v="2025-12-13T00:00:00"/>
    <n v="3"/>
    <n v="799"/>
    <x v="0"/>
    <x v="1"/>
    <x v="3"/>
    <x v="1"/>
    <x v="6"/>
    <x v="3"/>
    <n v="9"/>
    <n v="1558"/>
    <n v="2397"/>
    <n v="839"/>
  </r>
  <r>
    <s v="Jason Powell"/>
    <x v="4"/>
    <s v="Table Lamp"/>
    <d v="2025-07-13T00:00:00"/>
    <d v="2025-07-18T00:00:00"/>
    <n v="10"/>
    <n v="974"/>
    <x v="0"/>
    <x v="2"/>
    <x v="1"/>
    <x v="1"/>
    <x v="2"/>
    <x v="4"/>
    <n v="5"/>
    <n v="7305"/>
    <n v="9740"/>
    <n v="2435"/>
  </r>
  <r>
    <s v="Rebecca Moyer"/>
    <x v="1"/>
    <s v="Non-Fiction"/>
    <d v="2025-06-27T00:00:00"/>
    <d v="2025-07-02T00:00:00"/>
    <n v="3"/>
    <n v="179"/>
    <x v="0"/>
    <x v="1"/>
    <x v="3"/>
    <x v="1"/>
    <x v="5"/>
    <x v="6"/>
    <n v="5"/>
    <n v="269"/>
    <n v="537"/>
    <n v="268"/>
  </r>
  <r>
    <s v="Daniel Murphy"/>
    <x v="1"/>
    <s v="Non-Fiction"/>
    <d v="2025-03-09T00:00:00"/>
    <d v="2025-03-14T00:00:00"/>
    <n v="4"/>
    <n v="49"/>
    <x v="1"/>
    <x v="4"/>
    <x v="1"/>
    <x v="1"/>
    <x v="3"/>
    <x v="4"/>
    <n v="5"/>
    <n v="98"/>
    <n v="196"/>
    <n v="98"/>
  </r>
  <r>
    <s v="Paul Williams"/>
    <x v="3"/>
    <s v="Milk"/>
    <d v="2025-06-19T00:00:00"/>
    <d v="2025-06-25T00:00:00"/>
    <n v="7"/>
    <n v="409"/>
    <x v="0"/>
    <x v="3"/>
    <x v="2"/>
    <x v="1"/>
    <x v="5"/>
    <x v="3"/>
    <n v="6"/>
    <n v="1432"/>
    <n v="2863"/>
    <n v="1431"/>
  </r>
  <r>
    <s v="Pamela Jackson"/>
    <x v="4"/>
    <s v="Curtains"/>
    <d v="2025-11-17T00:00:00"/>
    <d v="2025-11-23T00:00:00"/>
    <n v="4"/>
    <n v="149"/>
    <x v="0"/>
    <x v="1"/>
    <x v="2"/>
    <x v="1"/>
    <x v="4"/>
    <x v="0"/>
    <n v="6"/>
    <n v="387"/>
    <n v="596"/>
    <n v="209"/>
  </r>
  <r>
    <s v="Miguel Jones"/>
    <x v="2"/>
    <s v="Jeans"/>
    <d v="2025-08-06T00:00:00"/>
    <d v="2025-08-12T00:00:00"/>
    <n v="5"/>
    <n v="285"/>
    <x v="0"/>
    <x v="0"/>
    <x v="3"/>
    <x v="1"/>
    <x v="9"/>
    <x v="2"/>
    <n v="6"/>
    <n v="998"/>
    <n v="1425"/>
    <n v="427"/>
  </r>
  <r>
    <s v="Jack Snow"/>
    <x v="2"/>
    <s v="Jeans"/>
    <d v="2025-05-16T00:00:00"/>
    <d v="2025-05-22T00:00:00"/>
    <n v="10"/>
    <n v="434"/>
    <x v="0"/>
    <x v="2"/>
    <x v="0"/>
    <x v="1"/>
    <x v="0"/>
    <x v="6"/>
    <n v="6"/>
    <n v="3038"/>
    <n v="4340"/>
    <n v="1302"/>
  </r>
  <r>
    <s v="Robert Medina"/>
    <x v="2"/>
    <s v="T-Shirt"/>
    <d v="2025-07-01T00:00:00"/>
    <d v="2025-07-07T00:00:00"/>
    <n v="7"/>
    <n v="195"/>
    <x v="0"/>
    <x v="3"/>
    <x v="3"/>
    <x v="1"/>
    <x v="2"/>
    <x v="1"/>
    <n v="6"/>
    <n v="887"/>
    <n v="1365"/>
    <n v="478"/>
  </r>
  <r>
    <s v="Cheryl Allen"/>
    <x v="4"/>
    <s v="Wall Art"/>
    <d v="2025-07-17T00:00:00"/>
    <d v="2025-07-26T00:00:00"/>
    <n v="4"/>
    <n v="432"/>
    <x v="0"/>
    <x v="2"/>
    <x v="0"/>
    <x v="1"/>
    <x v="2"/>
    <x v="3"/>
    <n v="9"/>
    <n v="1210"/>
    <n v="1728"/>
    <n v="518"/>
  </r>
  <r>
    <s v="Joseph Coleman"/>
    <x v="0"/>
    <s v="Smartphone"/>
    <d v="2025-07-27T00:00:00"/>
    <d v="2025-08-02T00:00:00"/>
    <n v="2"/>
    <n v="708"/>
    <x v="1"/>
    <x v="3"/>
    <x v="0"/>
    <x v="1"/>
    <x v="2"/>
    <x v="4"/>
    <n v="6"/>
    <n v="1062"/>
    <n v="1416"/>
    <n v="354"/>
  </r>
  <r>
    <s v="Nathan Stewart"/>
    <x v="1"/>
    <s v="Children's Book"/>
    <d v="2025-12-17T00:00:00"/>
    <d v="2025-12-26T00:00:00"/>
    <n v="3"/>
    <n v="868"/>
    <x v="0"/>
    <x v="1"/>
    <x v="1"/>
    <x v="1"/>
    <x v="6"/>
    <x v="2"/>
    <n v="9"/>
    <n v="1562"/>
    <n v="2604"/>
    <n v="1042"/>
  </r>
  <r>
    <s v="Scott Wilson"/>
    <x v="2"/>
    <s v="Jacket"/>
    <d v="2025-12-16T00:00:00"/>
    <d v="2025-12-27T00:00:00"/>
    <n v="1"/>
    <n v="130"/>
    <x v="1"/>
    <x v="0"/>
    <x v="0"/>
    <x v="1"/>
    <x v="6"/>
    <x v="1"/>
    <n v="11"/>
    <n v="104"/>
    <n v="130"/>
    <n v="26"/>
  </r>
  <r>
    <s v="Regina Gonzalez"/>
    <x v="2"/>
    <s v="T-Shirt"/>
    <d v="2025-12-13T00:00:00"/>
    <d v="2025-12-28T00:00:00"/>
    <n v="3"/>
    <n v="744"/>
    <x v="1"/>
    <x v="4"/>
    <x v="3"/>
    <x v="1"/>
    <x v="6"/>
    <x v="5"/>
    <n v="15"/>
    <n v="1451"/>
    <n v="2232"/>
    <n v="781"/>
  </r>
  <r>
    <s v="Sydney White"/>
    <x v="1"/>
    <s v="Biography"/>
    <d v="2025-04-13T00:00:00"/>
    <d v="2025-04-17T00:00:00"/>
    <n v="1"/>
    <n v="62"/>
    <x v="1"/>
    <x v="3"/>
    <x v="0"/>
    <x v="1"/>
    <x v="11"/>
    <x v="4"/>
    <n v="4"/>
    <n v="34"/>
    <n v="62"/>
    <n v="28"/>
  </r>
  <r>
    <s v="Frank Garcia"/>
    <x v="4"/>
    <s v="Curtains"/>
    <d v="2025-08-18T00:00:00"/>
    <d v="2025-08-27T00:00:00"/>
    <n v="9"/>
    <n v="385"/>
    <x v="1"/>
    <x v="3"/>
    <x v="2"/>
    <x v="1"/>
    <x v="9"/>
    <x v="0"/>
    <n v="9"/>
    <n v="2252"/>
    <n v="3465"/>
    <n v="1213"/>
  </r>
  <r>
    <s v="David Wilson"/>
    <x v="2"/>
    <s v="T-Shirt"/>
    <d v="2025-12-12T00:00:00"/>
    <d v="2025-12-13T00:00:00"/>
    <n v="5"/>
    <n v="465"/>
    <x v="0"/>
    <x v="3"/>
    <x v="0"/>
    <x v="1"/>
    <x v="6"/>
    <x v="6"/>
    <n v="1"/>
    <n v="1511"/>
    <n v="2325"/>
    <n v="814"/>
  </r>
  <r>
    <s v="Joseph Dean"/>
    <x v="0"/>
    <s v="Camera"/>
    <d v="2025-04-15T00:00:00"/>
    <d v="2025-04-20T00:00:00"/>
    <n v="2"/>
    <n v="280"/>
    <x v="0"/>
    <x v="3"/>
    <x v="1"/>
    <x v="1"/>
    <x v="11"/>
    <x v="1"/>
    <n v="5"/>
    <n v="448"/>
    <n v="560"/>
    <n v="112"/>
  </r>
  <r>
    <s v="Emily Smith"/>
    <x v="1"/>
    <s v="Non-Fiction"/>
    <d v="2025-03-06T00:00:00"/>
    <d v="2025-03-16T00:00:00"/>
    <n v="5"/>
    <n v="536"/>
    <x v="1"/>
    <x v="4"/>
    <x v="3"/>
    <x v="1"/>
    <x v="3"/>
    <x v="3"/>
    <n v="10"/>
    <n v="1340"/>
    <n v="2680"/>
    <n v="1340"/>
  </r>
  <r>
    <s v="Kristen Reyes"/>
    <x v="2"/>
    <s v="Jacket"/>
    <d v="2025-10-15T00:00:00"/>
    <d v="2025-10-19T00:00:00"/>
    <n v="9"/>
    <n v="754"/>
    <x v="0"/>
    <x v="2"/>
    <x v="2"/>
    <x v="1"/>
    <x v="1"/>
    <x v="2"/>
    <n v="4"/>
    <n v="5429"/>
    <n v="6786"/>
    <n v="1357"/>
  </r>
  <r>
    <s v="Diane Evans"/>
    <x v="3"/>
    <s v="Milk"/>
    <d v="2025-08-09T00:00:00"/>
    <d v="2025-08-14T00:00:00"/>
    <n v="5"/>
    <n v="292"/>
    <x v="1"/>
    <x v="3"/>
    <x v="2"/>
    <x v="1"/>
    <x v="9"/>
    <x v="5"/>
    <n v="5"/>
    <n v="730"/>
    <n v="1460"/>
    <n v="730"/>
  </r>
  <r>
    <s v="Joseph Knight"/>
    <x v="4"/>
    <s v="Table Lamp"/>
    <d v="2025-08-12T00:00:00"/>
    <d v="2025-08-21T00:00:00"/>
    <n v="1"/>
    <n v="521"/>
    <x v="1"/>
    <x v="4"/>
    <x v="3"/>
    <x v="1"/>
    <x v="9"/>
    <x v="1"/>
    <n v="9"/>
    <n v="391"/>
    <n v="521"/>
    <n v="130"/>
  </r>
  <r>
    <s v="Christina Cruz"/>
    <x v="1"/>
    <s v="Biography"/>
    <d v="2025-12-09T00:00:00"/>
    <d v="2025-12-10T00:00:00"/>
    <n v="5"/>
    <n v="630"/>
    <x v="0"/>
    <x v="0"/>
    <x v="3"/>
    <x v="1"/>
    <x v="6"/>
    <x v="1"/>
    <n v="1"/>
    <n v="1733"/>
    <n v="3150"/>
    <n v="1417"/>
  </r>
  <r>
    <s v="Michael Johnson"/>
    <x v="1"/>
    <s v="Non-Fiction"/>
    <d v="2025-04-28T00:00:00"/>
    <d v="2025-05-01T00:00:00"/>
    <n v="10"/>
    <n v="678"/>
    <x v="0"/>
    <x v="2"/>
    <x v="3"/>
    <x v="1"/>
    <x v="11"/>
    <x v="0"/>
    <n v="3"/>
    <n v="3390"/>
    <n v="6780"/>
    <n v="3390"/>
  </r>
  <r>
    <s v="Tanner Mitchell DDS"/>
    <x v="1"/>
    <s v="Non-Fiction"/>
    <d v="2025-06-26T00:00:00"/>
    <d v="2025-07-04T00:00:00"/>
    <n v="7"/>
    <n v="569"/>
    <x v="0"/>
    <x v="2"/>
    <x v="3"/>
    <x v="1"/>
    <x v="5"/>
    <x v="3"/>
    <n v="8"/>
    <n v="1992"/>
    <n v="3983"/>
    <n v="1991"/>
  </r>
  <r>
    <s v="Patricia Becker"/>
    <x v="3"/>
    <s v="Milk"/>
    <d v="2025-11-27T00:00:00"/>
    <d v="2025-12-03T00:00:00"/>
    <n v="9"/>
    <n v="185"/>
    <x v="1"/>
    <x v="0"/>
    <x v="0"/>
    <x v="1"/>
    <x v="4"/>
    <x v="3"/>
    <n v="6"/>
    <n v="833"/>
    <n v="1665"/>
    <n v="832"/>
  </r>
  <r>
    <s v="Susan Rivas"/>
    <x v="2"/>
    <s v="Jacket"/>
    <d v="2025-02-22T00:00:00"/>
    <d v="2025-02-24T00:00:00"/>
    <n v="8"/>
    <n v="405"/>
    <x v="0"/>
    <x v="4"/>
    <x v="1"/>
    <x v="1"/>
    <x v="7"/>
    <x v="5"/>
    <n v="2"/>
    <n v="2592"/>
    <n v="3240"/>
    <n v="648"/>
  </r>
  <r>
    <s v="Regina Mcdonald"/>
    <x v="3"/>
    <s v="Milk"/>
    <d v="2025-04-10T00:00:00"/>
    <d v="2025-04-18T00:00:00"/>
    <n v="10"/>
    <n v="923"/>
    <x v="0"/>
    <x v="1"/>
    <x v="2"/>
    <x v="1"/>
    <x v="11"/>
    <x v="3"/>
    <n v="8"/>
    <n v="4615"/>
    <n v="9230"/>
    <n v="4615"/>
  </r>
  <r>
    <s v="Jesse Santiago"/>
    <x v="3"/>
    <s v="Cereal"/>
    <d v="2025-06-03T00:00:00"/>
    <d v="2025-06-07T00:00:00"/>
    <n v="10"/>
    <n v="325"/>
    <x v="1"/>
    <x v="3"/>
    <x v="3"/>
    <x v="1"/>
    <x v="5"/>
    <x v="1"/>
    <n v="4"/>
    <n v="1788"/>
    <n v="3250"/>
    <n v="1462"/>
  </r>
  <r>
    <s v="Samantha Davis"/>
    <x v="3"/>
    <s v="Juice"/>
    <d v="2025-10-06T00:00:00"/>
    <d v="2025-10-11T00:00:00"/>
    <n v="6"/>
    <n v="564"/>
    <x v="0"/>
    <x v="0"/>
    <x v="1"/>
    <x v="1"/>
    <x v="1"/>
    <x v="0"/>
    <n v="5"/>
    <n v="1861"/>
    <n v="3384"/>
    <n v="1523"/>
  </r>
  <r>
    <s v="Cameron Fisher"/>
    <x v="2"/>
    <s v="Jeans"/>
    <d v="2025-06-21T00:00:00"/>
    <d v="2025-06-28T00:00:00"/>
    <n v="2"/>
    <n v="236"/>
    <x v="1"/>
    <x v="0"/>
    <x v="0"/>
    <x v="1"/>
    <x v="5"/>
    <x v="5"/>
    <n v="7"/>
    <n v="330"/>
    <n v="472"/>
    <n v="142"/>
  </r>
  <r>
    <s v="Richard Camacho"/>
    <x v="2"/>
    <s v="T-Shirt"/>
    <d v="2025-11-03T00:00:00"/>
    <d v="2025-11-10T00:00:00"/>
    <n v="1"/>
    <n v="741"/>
    <x v="0"/>
    <x v="1"/>
    <x v="2"/>
    <x v="1"/>
    <x v="4"/>
    <x v="0"/>
    <n v="7"/>
    <n v="482"/>
    <n v="741"/>
    <n v="259"/>
  </r>
  <r>
    <s v="Larry Garcia"/>
    <x v="0"/>
    <s v="Headphones"/>
    <d v="2025-09-11T00:00:00"/>
    <d v="2025-09-17T00:00:00"/>
    <n v="6"/>
    <n v="992"/>
    <x v="1"/>
    <x v="1"/>
    <x v="0"/>
    <x v="1"/>
    <x v="8"/>
    <x v="3"/>
    <n v="6"/>
    <n v="3869"/>
    <n v="5952"/>
    <n v="2083"/>
  </r>
  <r>
    <s v="Meagan Jenkins"/>
    <x v="3"/>
    <s v="Cereal"/>
    <d v="2025-09-20T00:00:00"/>
    <d v="2025-09-21T00:00:00"/>
    <n v="5"/>
    <n v="55"/>
    <x v="0"/>
    <x v="0"/>
    <x v="3"/>
    <x v="1"/>
    <x v="8"/>
    <x v="5"/>
    <n v="1"/>
    <n v="151"/>
    <n v="275"/>
    <n v="124"/>
  </r>
  <r>
    <s v="Paula Bradley"/>
    <x v="1"/>
    <s v="Biography"/>
    <d v="2025-03-26T00:00:00"/>
    <d v="2025-04-04T00:00:00"/>
    <n v="7"/>
    <n v="216"/>
    <x v="1"/>
    <x v="2"/>
    <x v="1"/>
    <x v="1"/>
    <x v="3"/>
    <x v="2"/>
    <n v="9"/>
    <n v="832"/>
    <n v="1512"/>
    <n v="680"/>
  </r>
  <r>
    <s v="Crystal Hansen"/>
    <x v="2"/>
    <s v="Jacket"/>
    <d v="2025-12-20T00:00:00"/>
    <d v="2025-12-22T00:00:00"/>
    <n v="3"/>
    <n v="375"/>
    <x v="1"/>
    <x v="4"/>
    <x v="2"/>
    <x v="1"/>
    <x v="6"/>
    <x v="5"/>
    <n v="2"/>
    <n v="900"/>
    <n v="1125"/>
    <n v="225"/>
  </r>
  <r>
    <s v="Craig Morrison"/>
    <x v="2"/>
    <s v="T-Shirt"/>
    <d v="2025-02-14T00:00:00"/>
    <d v="2025-02-24T00:00:00"/>
    <n v="10"/>
    <n v="503"/>
    <x v="1"/>
    <x v="2"/>
    <x v="3"/>
    <x v="1"/>
    <x v="7"/>
    <x v="6"/>
    <n v="10"/>
    <n v="3270"/>
    <n v="5030"/>
    <n v="1760"/>
  </r>
  <r>
    <s v="Sonia Day"/>
    <x v="3"/>
    <s v="Juice"/>
    <d v="2025-06-02T00:00:00"/>
    <d v="2025-06-09T00:00:00"/>
    <n v="6"/>
    <n v="974"/>
    <x v="0"/>
    <x v="1"/>
    <x v="1"/>
    <x v="1"/>
    <x v="5"/>
    <x v="0"/>
    <n v="7"/>
    <n v="3214"/>
    <n v="5844"/>
    <n v="2630"/>
  </r>
  <r>
    <s v="Dustin Newman"/>
    <x v="3"/>
    <s v="Cereal"/>
    <d v="2025-07-25T00:00:00"/>
    <d v="2025-08-01T00:00:00"/>
    <n v="3"/>
    <n v="486"/>
    <x v="0"/>
    <x v="1"/>
    <x v="3"/>
    <x v="1"/>
    <x v="2"/>
    <x v="6"/>
    <n v="7"/>
    <n v="802"/>
    <n v="1458"/>
    <n v="656"/>
  </r>
  <r>
    <s v="Kelly Bishop MD"/>
    <x v="0"/>
    <s v="Laptop"/>
    <d v="2025-10-17T00:00:00"/>
    <d v="2025-10-22T00:00:00"/>
    <n v="5"/>
    <n v="803"/>
    <x v="0"/>
    <x v="3"/>
    <x v="1"/>
    <x v="1"/>
    <x v="1"/>
    <x v="6"/>
    <n v="5"/>
    <n v="3413"/>
    <n v="4015"/>
    <n v="602"/>
  </r>
  <r>
    <s v="Rachel Holland"/>
    <x v="3"/>
    <s v="Cereal"/>
    <d v="2025-07-25T00:00:00"/>
    <d v="2025-07-30T00:00:00"/>
    <n v="4"/>
    <n v="176"/>
    <x v="1"/>
    <x v="0"/>
    <x v="2"/>
    <x v="1"/>
    <x v="2"/>
    <x v="6"/>
    <n v="5"/>
    <n v="387"/>
    <n v="704"/>
    <n v="317"/>
  </r>
  <r>
    <s v="Felicia Aguilar"/>
    <x v="3"/>
    <s v="Milk"/>
    <d v="2025-03-16T00:00:00"/>
    <d v="2025-03-29T00:00:00"/>
    <n v="4"/>
    <n v="468"/>
    <x v="1"/>
    <x v="1"/>
    <x v="0"/>
    <x v="1"/>
    <x v="3"/>
    <x v="4"/>
    <n v="13"/>
    <n v="936"/>
    <n v="1872"/>
    <n v="936"/>
  </r>
  <r>
    <s v="Meagan Calderon"/>
    <x v="4"/>
    <s v="Table Lamp"/>
    <d v="2025-04-28T00:00:00"/>
    <d v="2025-05-03T00:00:00"/>
    <n v="3"/>
    <n v="788"/>
    <x v="0"/>
    <x v="1"/>
    <x v="1"/>
    <x v="1"/>
    <x v="11"/>
    <x v="0"/>
    <n v="5"/>
    <n v="1773"/>
    <n v="2364"/>
    <n v="591"/>
  </r>
  <r>
    <s v="Kaitlyn Guerra"/>
    <x v="2"/>
    <s v="Jacket"/>
    <d v="2025-02-12T00:00:00"/>
    <d v="2025-02-13T00:00:00"/>
    <n v="8"/>
    <n v="509"/>
    <x v="0"/>
    <x v="3"/>
    <x v="1"/>
    <x v="1"/>
    <x v="7"/>
    <x v="2"/>
    <n v="1"/>
    <n v="3258"/>
    <n v="4072"/>
    <n v="814"/>
  </r>
  <r>
    <s v="Ruben Dunn"/>
    <x v="4"/>
    <s v="Curtains"/>
    <d v="2025-02-04T00:00:00"/>
    <d v="2025-02-19T00:00:00"/>
    <n v="2"/>
    <n v="530"/>
    <x v="1"/>
    <x v="0"/>
    <x v="3"/>
    <x v="1"/>
    <x v="7"/>
    <x v="1"/>
    <n v="15"/>
    <n v="689"/>
    <n v="1060"/>
    <n v="371"/>
  </r>
  <r>
    <s v="Jason Bauer"/>
    <x v="4"/>
    <s v="Table Lamp"/>
    <d v="2025-04-12T00:00:00"/>
    <d v="2025-04-20T00:00:00"/>
    <n v="7"/>
    <n v="744"/>
    <x v="0"/>
    <x v="2"/>
    <x v="1"/>
    <x v="1"/>
    <x v="11"/>
    <x v="5"/>
    <n v="8"/>
    <n v="3906"/>
    <n v="5208"/>
    <n v="1302"/>
  </r>
  <r>
    <s v="Lynn Andrews"/>
    <x v="3"/>
    <s v="Milk"/>
    <d v="2025-08-23T00:00:00"/>
    <d v="2025-09-03T00:00:00"/>
    <n v="4"/>
    <n v="444"/>
    <x v="1"/>
    <x v="3"/>
    <x v="0"/>
    <x v="1"/>
    <x v="9"/>
    <x v="5"/>
    <n v="11"/>
    <n v="888"/>
    <n v="1776"/>
    <n v="888"/>
  </r>
  <r>
    <s v="Heather Ashley"/>
    <x v="3"/>
    <s v="Juice"/>
    <d v="2025-07-20T00:00:00"/>
    <d v="2025-07-28T00:00:00"/>
    <n v="7"/>
    <n v="474"/>
    <x v="0"/>
    <x v="2"/>
    <x v="0"/>
    <x v="1"/>
    <x v="2"/>
    <x v="4"/>
    <n v="8"/>
    <n v="1825"/>
    <n v="3318"/>
    <n v="1493"/>
  </r>
  <r>
    <s v="Haley Quinn"/>
    <x v="0"/>
    <s v="Headphones"/>
    <d v="2025-10-01T00:00:00"/>
    <d v="2025-10-06T00:00:00"/>
    <n v="8"/>
    <n v="731"/>
    <x v="0"/>
    <x v="4"/>
    <x v="3"/>
    <x v="1"/>
    <x v="1"/>
    <x v="2"/>
    <n v="5"/>
    <n v="3801"/>
    <n v="5848"/>
    <n v="2047"/>
  </r>
  <r>
    <s v="Catherine Taylor"/>
    <x v="1"/>
    <s v="Fiction"/>
    <d v="2025-05-27T00:00:00"/>
    <d v="2025-06-03T00:00:00"/>
    <n v="2"/>
    <n v="288"/>
    <x v="0"/>
    <x v="4"/>
    <x v="3"/>
    <x v="1"/>
    <x v="0"/>
    <x v="1"/>
    <n v="7"/>
    <n v="288"/>
    <n v="576"/>
    <n v="288"/>
  </r>
  <r>
    <s v="Emily Collins"/>
    <x v="2"/>
    <s v="Jacket"/>
    <d v="2025-12-16T00:00:00"/>
    <d v="2025-12-31T00:00:00"/>
    <n v="8"/>
    <n v="179"/>
    <x v="1"/>
    <x v="3"/>
    <x v="2"/>
    <x v="1"/>
    <x v="6"/>
    <x v="1"/>
    <n v="15"/>
    <n v="1146"/>
    <n v="1432"/>
    <n v="286"/>
  </r>
  <r>
    <s v="Mitchell Jackson"/>
    <x v="1"/>
    <s v="Biography"/>
    <d v="2025-03-09T00:00:00"/>
    <d v="2025-03-14T00:00:00"/>
    <n v="6"/>
    <n v="788"/>
    <x v="0"/>
    <x v="1"/>
    <x v="3"/>
    <x v="1"/>
    <x v="3"/>
    <x v="4"/>
    <n v="5"/>
    <n v="2600"/>
    <n v="4728"/>
    <n v="2128"/>
  </r>
  <r>
    <s v="Jessica Martinez"/>
    <x v="2"/>
    <s v="T-Shirt"/>
    <d v="2025-08-14T00:00:00"/>
    <d v="2025-08-16T00:00:00"/>
    <n v="3"/>
    <n v="949"/>
    <x v="0"/>
    <x v="3"/>
    <x v="2"/>
    <x v="1"/>
    <x v="9"/>
    <x v="3"/>
    <n v="2"/>
    <n v="1851"/>
    <n v="2847"/>
    <n v="996"/>
  </r>
  <r>
    <s v="Michelle Pierce"/>
    <x v="1"/>
    <s v="Non-Fiction"/>
    <d v="2025-11-16T00:00:00"/>
    <d v="2025-11-25T00:00:00"/>
    <n v="8"/>
    <n v="137"/>
    <x v="0"/>
    <x v="2"/>
    <x v="0"/>
    <x v="1"/>
    <x v="4"/>
    <x v="4"/>
    <n v="9"/>
    <n v="548"/>
    <n v="1096"/>
    <n v="548"/>
  </r>
  <r>
    <s v="William Conner"/>
    <x v="0"/>
    <s v="Headphones"/>
    <d v="2025-08-26T00:00:00"/>
    <d v="2025-08-29T00:00:00"/>
    <n v="2"/>
    <n v="968"/>
    <x v="1"/>
    <x v="0"/>
    <x v="3"/>
    <x v="1"/>
    <x v="9"/>
    <x v="1"/>
    <n v="3"/>
    <n v="1258"/>
    <n v="1936"/>
    <n v="678"/>
  </r>
  <r>
    <s v="Ana Sanders"/>
    <x v="3"/>
    <s v="Juice"/>
    <d v="2025-09-13T00:00:00"/>
    <d v="2025-09-22T00:00:00"/>
    <n v="9"/>
    <n v="605"/>
    <x v="1"/>
    <x v="2"/>
    <x v="3"/>
    <x v="1"/>
    <x v="8"/>
    <x v="5"/>
    <n v="9"/>
    <n v="2995"/>
    <n v="5445"/>
    <n v="2450"/>
  </r>
  <r>
    <s v="Evan Jones"/>
    <x v="3"/>
    <s v="Cereal"/>
    <d v="2025-10-02T00:00:00"/>
    <d v="2025-10-12T00:00:00"/>
    <n v="5"/>
    <n v="50"/>
    <x v="1"/>
    <x v="4"/>
    <x v="1"/>
    <x v="1"/>
    <x v="1"/>
    <x v="3"/>
    <n v="10"/>
    <n v="138"/>
    <n v="250"/>
    <n v="112"/>
  </r>
  <r>
    <s v="Emma Travis"/>
    <x v="0"/>
    <s v="Smartphone"/>
    <d v="2025-12-12T00:00:00"/>
    <d v="2025-12-23T00:00:00"/>
    <n v="9"/>
    <n v="647"/>
    <x v="0"/>
    <x v="1"/>
    <x v="2"/>
    <x v="1"/>
    <x v="6"/>
    <x v="6"/>
    <n v="11"/>
    <n v="4367"/>
    <n v="5823"/>
    <n v="1456"/>
  </r>
  <r>
    <s v="Emma Owens"/>
    <x v="2"/>
    <s v="Jacket"/>
    <d v="2025-05-13T00:00:00"/>
    <d v="2025-05-16T00:00:00"/>
    <n v="10"/>
    <n v="253"/>
    <x v="0"/>
    <x v="1"/>
    <x v="1"/>
    <x v="1"/>
    <x v="0"/>
    <x v="1"/>
    <n v="3"/>
    <n v="2024"/>
    <n v="2530"/>
    <n v="506"/>
  </r>
  <r>
    <s v="Dylan Hughes"/>
    <x v="1"/>
    <s v="Children's Book"/>
    <d v="2025-06-13T00:00:00"/>
    <d v="2025-06-20T00:00:00"/>
    <n v="10"/>
    <n v="525"/>
    <x v="1"/>
    <x v="1"/>
    <x v="3"/>
    <x v="1"/>
    <x v="5"/>
    <x v="6"/>
    <n v="7"/>
    <n v="3150"/>
    <n v="5250"/>
    <n v="2100"/>
  </r>
  <r>
    <s v="Andrew Williams"/>
    <x v="2"/>
    <s v="Jeans"/>
    <d v="2025-02-16T00:00:00"/>
    <d v="2025-02-22T00:00:00"/>
    <n v="6"/>
    <n v="678"/>
    <x v="1"/>
    <x v="0"/>
    <x v="3"/>
    <x v="1"/>
    <x v="7"/>
    <x v="4"/>
    <n v="6"/>
    <n v="2848"/>
    <n v="4068"/>
    <n v="1220"/>
  </r>
  <r>
    <s v="Reginald Knapp"/>
    <x v="2"/>
    <s v="Jeans"/>
    <d v="2025-09-05T00:00:00"/>
    <d v="2025-09-07T00:00:00"/>
    <n v="6"/>
    <n v="117"/>
    <x v="0"/>
    <x v="4"/>
    <x v="0"/>
    <x v="1"/>
    <x v="8"/>
    <x v="6"/>
    <n v="2"/>
    <n v="491"/>
    <n v="702"/>
    <n v="211"/>
  </r>
  <r>
    <s v="Mary Burgess"/>
    <x v="2"/>
    <s v="Jeans"/>
    <d v="2025-02-13T00:00:00"/>
    <d v="2025-02-27T00:00:00"/>
    <n v="3"/>
    <n v="262"/>
    <x v="1"/>
    <x v="2"/>
    <x v="1"/>
    <x v="1"/>
    <x v="7"/>
    <x v="3"/>
    <n v="14"/>
    <n v="550"/>
    <n v="786"/>
    <n v="236"/>
  </r>
  <r>
    <s v="Brooke Delgado"/>
    <x v="3"/>
    <s v="Juice"/>
    <d v="2025-07-10T00:00:00"/>
    <d v="2025-07-18T00:00:00"/>
    <n v="8"/>
    <n v="360"/>
    <x v="1"/>
    <x v="2"/>
    <x v="2"/>
    <x v="1"/>
    <x v="2"/>
    <x v="3"/>
    <n v="8"/>
    <n v="1584"/>
    <n v="2880"/>
    <n v="1296"/>
  </r>
  <r>
    <s v="Casey Gillespie"/>
    <x v="3"/>
    <s v="Milk"/>
    <d v="2025-10-22T00:00:00"/>
    <d v="2025-10-23T00:00:00"/>
    <n v="10"/>
    <n v="279"/>
    <x v="0"/>
    <x v="1"/>
    <x v="3"/>
    <x v="1"/>
    <x v="1"/>
    <x v="2"/>
    <n v="1"/>
    <n v="1395"/>
    <n v="2790"/>
    <n v="1395"/>
  </r>
  <r>
    <s v="Corey Rodriguez"/>
    <x v="1"/>
    <s v="Non-Fiction"/>
    <d v="2025-01-18T00:00:00"/>
    <d v="2025-01-21T00:00:00"/>
    <n v="4"/>
    <n v="801"/>
    <x v="0"/>
    <x v="2"/>
    <x v="0"/>
    <x v="1"/>
    <x v="10"/>
    <x v="5"/>
    <n v="3"/>
    <n v="1602"/>
    <n v="3204"/>
    <n v="1602"/>
  </r>
  <r>
    <s v="Cathy Taylor"/>
    <x v="4"/>
    <s v="Table Lamp"/>
    <d v="2025-11-28T00:00:00"/>
    <d v="2025-12-02T00:00:00"/>
    <n v="4"/>
    <n v="346"/>
    <x v="1"/>
    <x v="0"/>
    <x v="2"/>
    <x v="1"/>
    <x v="4"/>
    <x v="6"/>
    <n v="4"/>
    <n v="1038"/>
    <n v="1384"/>
    <n v="346"/>
  </r>
  <r>
    <s v="Tiffany Turner"/>
    <x v="2"/>
    <s v="Jeans"/>
    <d v="2025-02-07T00:00:00"/>
    <d v="2025-02-18T00:00:00"/>
    <n v="5"/>
    <n v="215"/>
    <x v="1"/>
    <x v="3"/>
    <x v="1"/>
    <x v="1"/>
    <x v="7"/>
    <x v="6"/>
    <n v="11"/>
    <n v="753"/>
    <n v="1075"/>
    <n v="322"/>
  </r>
  <r>
    <s v="Michael Durham"/>
    <x v="0"/>
    <s v="Laptop"/>
    <d v="2025-04-17T00:00:00"/>
    <d v="2025-04-22T00:00:00"/>
    <n v="9"/>
    <n v="860"/>
    <x v="0"/>
    <x v="4"/>
    <x v="3"/>
    <x v="1"/>
    <x v="11"/>
    <x v="3"/>
    <n v="5"/>
    <n v="6579"/>
    <n v="7740"/>
    <n v="1161"/>
  </r>
  <r>
    <s v="Donald Hawkins"/>
    <x v="2"/>
    <s v="Sneakers"/>
    <d v="2025-02-07T00:00:00"/>
    <d v="2025-02-16T00:00:00"/>
    <n v="2"/>
    <n v="461"/>
    <x v="1"/>
    <x v="1"/>
    <x v="1"/>
    <x v="1"/>
    <x v="7"/>
    <x v="6"/>
    <n v="9"/>
    <n v="692"/>
    <n v="922"/>
    <n v="230"/>
  </r>
  <r>
    <s v="Sarah Davis"/>
    <x v="3"/>
    <s v="Cereal"/>
    <d v="2025-11-27T00:00:00"/>
    <d v="2025-12-06T00:00:00"/>
    <n v="7"/>
    <n v="579"/>
    <x v="0"/>
    <x v="0"/>
    <x v="3"/>
    <x v="1"/>
    <x v="4"/>
    <x v="3"/>
    <n v="9"/>
    <n v="2229"/>
    <n v="4053"/>
    <n v="1824"/>
  </r>
  <r>
    <s v="Autumn Key"/>
    <x v="0"/>
    <s v="Smartphone"/>
    <d v="2025-10-19T00:00:00"/>
    <d v="2025-10-23T00:00:00"/>
    <n v="3"/>
    <n v="982"/>
    <x v="1"/>
    <x v="0"/>
    <x v="3"/>
    <x v="1"/>
    <x v="1"/>
    <x v="4"/>
    <n v="4"/>
    <n v="2210"/>
    <n v="2946"/>
    <n v="736"/>
  </r>
  <r>
    <s v="Kristen Rowe"/>
    <x v="3"/>
    <s v="Juice"/>
    <d v="2025-07-04T00:00:00"/>
    <d v="2025-07-11T00:00:00"/>
    <n v="2"/>
    <n v="969"/>
    <x v="0"/>
    <x v="3"/>
    <x v="3"/>
    <x v="1"/>
    <x v="2"/>
    <x v="6"/>
    <n v="7"/>
    <n v="1066"/>
    <n v="1938"/>
    <n v="872"/>
  </r>
  <r>
    <s v="Kelly Sanchez"/>
    <x v="1"/>
    <s v="Fiction"/>
    <d v="2025-01-22T00:00:00"/>
    <d v="2025-01-29T00:00:00"/>
    <n v="6"/>
    <n v="563"/>
    <x v="0"/>
    <x v="0"/>
    <x v="3"/>
    <x v="1"/>
    <x v="10"/>
    <x v="2"/>
    <n v="7"/>
    <n v="1689"/>
    <n v="3378"/>
    <n v="1689"/>
  </r>
  <r>
    <s v="Alan Bowen"/>
    <x v="2"/>
    <s v="Jeans"/>
    <d v="2025-08-12T00:00:00"/>
    <d v="2025-08-22T00:00:00"/>
    <n v="7"/>
    <n v="894"/>
    <x v="0"/>
    <x v="2"/>
    <x v="0"/>
    <x v="1"/>
    <x v="9"/>
    <x v="1"/>
    <n v="10"/>
    <n v="4381"/>
    <n v="6258"/>
    <n v="1877"/>
  </r>
  <r>
    <s v="Susan Rodriguez"/>
    <x v="4"/>
    <s v="Table Lamp"/>
    <d v="2025-08-12T00:00:00"/>
    <d v="2025-08-13T00:00:00"/>
    <n v="8"/>
    <n v="177"/>
    <x v="0"/>
    <x v="0"/>
    <x v="0"/>
    <x v="1"/>
    <x v="9"/>
    <x v="1"/>
    <n v="1"/>
    <n v="1062"/>
    <n v="1416"/>
    <n v="354"/>
  </r>
  <r>
    <s v="Tyler Stevens"/>
    <x v="1"/>
    <s v="Children's Book"/>
    <d v="2025-12-28T00:00:00"/>
    <d v="2025-12-30T00:00:00"/>
    <n v="9"/>
    <n v="455"/>
    <x v="0"/>
    <x v="4"/>
    <x v="2"/>
    <x v="1"/>
    <x v="6"/>
    <x v="4"/>
    <n v="2"/>
    <n v="2457"/>
    <n v="4095"/>
    <n v="1638"/>
  </r>
  <r>
    <s v="Amanda Mcfarland"/>
    <x v="2"/>
    <s v="Jeans"/>
    <d v="2025-03-21T00:00:00"/>
    <d v="2025-03-30T00:00:00"/>
    <n v="6"/>
    <n v="565"/>
    <x v="0"/>
    <x v="1"/>
    <x v="3"/>
    <x v="1"/>
    <x v="3"/>
    <x v="6"/>
    <n v="9"/>
    <n v="2373"/>
    <n v="3390"/>
    <n v="1017"/>
  </r>
  <r>
    <s v="Tanya Evans"/>
    <x v="0"/>
    <s v="Headphones"/>
    <d v="2025-09-24T00:00:00"/>
    <d v="2025-10-01T00:00:00"/>
    <n v="3"/>
    <n v="565"/>
    <x v="0"/>
    <x v="3"/>
    <x v="0"/>
    <x v="1"/>
    <x v="8"/>
    <x v="2"/>
    <n v="7"/>
    <n v="1102"/>
    <n v="1695"/>
    <n v="593"/>
  </r>
  <r>
    <s v="Valerie Brown"/>
    <x v="2"/>
    <s v="Sneakers"/>
    <d v="2025-08-26T00:00:00"/>
    <d v="2025-08-27T00:00:00"/>
    <n v="10"/>
    <n v="572"/>
    <x v="0"/>
    <x v="3"/>
    <x v="1"/>
    <x v="1"/>
    <x v="9"/>
    <x v="1"/>
    <n v="1"/>
    <n v="4290"/>
    <n v="5720"/>
    <n v="1430"/>
  </r>
  <r>
    <s v="Richard Moore"/>
    <x v="1"/>
    <s v="Children's Book"/>
    <d v="2025-03-02T00:00:00"/>
    <d v="2025-03-09T00:00:00"/>
    <n v="9"/>
    <n v="616"/>
    <x v="1"/>
    <x v="1"/>
    <x v="3"/>
    <x v="1"/>
    <x v="3"/>
    <x v="4"/>
    <n v="7"/>
    <n v="3326"/>
    <n v="5544"/>
    <n v="2218"/>
  </r>
  <r>
    <s v="Philip Garcia"/>
    <x v="1"/>
    <s v="Biography"/>
    <d v="2025-04-27T00:00:00"/>
    <d v="2025-05-04T00:00:00"/>
    <n v="1"/>
    <n v="692"/>
    <x v="1"/>
    <x v="2"/>
    <x v="1"/>
    <x v="1"/>
    <x v="11"/>
    <x v="4"/>
    <n v="7"/>
    <n v="381"/>
    <n v="692"/>
    <n v="311"/>
  </r>
  <r>
    <s v="Rachel Shields"/>
    <x v="1"/>
    <s v="Non-Fiction"/>
    <d v="2025-07-23T00:00:00"/>
    <d v="2025-07-31T00:00:00"/>
    <n v="6"/>
    <n v="366"/>
    <x v="0"/>
    <x v="0"/>
    <x v="3"/>
    <x v="1"/>
    <x v="2"/>
    <x v="2"/>
    <n v="8"/>
    <n v="1098"/>
    <n v="2196"/>
    <n v="1098"/>
  </r>
  <r>
    <s v="Douglas Hartman"/>
    <x v="1"/>
    <s v="Fiction"/>
    <d v="2025-01-04T00:00:00"/>
    <d v="2025-01-11T00:00:00"/>
    <n v="2"/>
    <n v="132"/>
    <x v="1"/>
    <x v="2"/>
    <x v="2"/>
    <x v="1"/>
    <x v="10"/>
    <x v="5"/>
    <n v="7"/>
    <n v="132"/>
    <n v="264"/>
    <n v="132"/>
  </r>
  <r>
    <s v="Sheila Barnes"/>
    <x v="0"/>
    <s v="Smartphone"/>
    <d v="2025-01-21T00:00:00"/>
    <d v="2025-02-05T00:00:00"/>
    <n v="1"/>
    <n v="102"/>
    <x v="1"/>
    <x v="0"/>
    <x v="1"/>
    <x v="1"/>
    <x v="10"/>
    <x v="1"/>
    <n v="15"/>
    <n v="77"/>
    <n v="102"/>
    <n v="25"/>
  </r>
  <r>
    <s v="Daniel Burgess"/>
    <x v="2"/>
    <s v="Sneakers"/>
    <d v="2025-10-09T00:00:00"/>
    <d v="2025-10-19T00:00:00"/>
    <n v="5"/>
    <n v="644"/>
    <x v="0"/>
    <x v="3"/>
    <x v="2"/>
    <x v="1"/>
    <x v="1"/>
    <x v="3"/>
    <n v="10"/>
    <n v="2415"/>
    <n v="3220"/>
    <n v="805"/>
  </r>
  <r>
    <s v="Thomas Miller"/>
    <x v="4"/>
    <s v="Vase"/>
    <d v="2025-03-12T00:00:00"/>
    <d v="2025-03-18T00:00:00"/>
    <n v="7"/>
    <n v="171"/>
    <x v="1"/>
    <x v="1"/>
    <x v="0"/>
    <x v="1"/>
    <x v="3"/>
    <x v="2"/>
    <n v="6"/>
    <n v="898"/>
    <n v="1197"/>
    <n v="299"/>
  </r>
  <r>
    <s v="Christopher Castro"/>
    <x v="2"/>
    <s v="Jacket"/>
    <d v="2025-09-01T00:00:00"/>
    <d v="2025-09-03T00:00:00"/>
    <n v="8"/>
    <n v="204"/>
    <x v="1"/>
    <x v="3"/>
    <x v="0"/>
    <x v="1"/>
    <x v="8"/>
    <x v="0"/>
    <n v="2"/>
    <n v="1306"/>
    <n v="1632"/>
    <n v="326"/>
  </r>
  <r>
    <s v="Jessica Johnson"/>
    <x v="3"/>
    <s v="Juice"/>
    <d v="2025-11-14T00:00:00"/>
    <d v="2025-11-24T00:00:00"/>
    <n v="1"/>
    <n v="410"/>
    <x v="1"/>
    <x v="1"/>
    <x v="1"/>
    <x v="1"/>
    <x v="4"/>
    <x v="6"/>
    <n v="10"/>
    <n v="226"/>
    <n v="410"/>
    <n v="184"/>
  </r>
  <r>
    <s v="Michael Mcbride"/>
    <x v="3"/>
    <s v="Milk"/>
    <d v="2025-05-05T00:00:00"/>
    <d v="2025-05-08T00:00:00"/>
    <n v="2"/>
    <n v="874"/>
    <x v="0"/>
    <x v="0"/>
    <x v="2"/>
    <x v="1"/>
    <x v="0"/>
    <x v="0"/>
    <n v="3"/>
    <n v="874"/>
    <n v="1748"/>
    <n v="874"/>
  </r>
  <r>
    <s v="Jennifer Taylor"/>
    <x v="1"/>
    <s v="Non-Fiction"/>
    <d v="2025-02-19T00:00:00"/>
    <d v="2025-02-23T00:00:00"/>
    <n v="7"/>
    <n v="855"/>
    <x v="1"/>
    <x v="2"/>
    <x v="0"/>
    <x v="1"/>
    <x v="7"/>
    <x v="2"/>
    <n v="4"/>
    <n v="2993"/>
    <n v="5985"/>
    <n v="2992"/>
  </r>
  <r>
    <s v="Maria Cooke"/>
    <x v="4"/>
    <s v="Wall Art"/>
    <d v="2025-04-06T00:00:00"/>
    <d v="2025-04-13T00:00:00"/>
    <n v="1"/>
    <n v="386"/>
    <x v="0"/>
    <x v="0"/>
    <x v="1"/>
    <x v="1"/>
    <x v="11"/>
    <x v="4"/>
    <n v="7"/>
    <n v="270"/>
    <n v="386"/>
    <n v="116"/>
  </r>
  <r>
    <s v="Kari Lee"/>
    <x v="1"/>
    <s v="Biography"/>
    <d v="2025-03-16T00:00:00"/>
    <d v="2025-03-27T00:00:00"/>
    <n v="9"/>
    <n v="309"/>
    <x v="1"/>
    <x v="4"/>
    <x v="3"/>
    <x v="1"/>
    <x v="3"/>
    <x v="4"/>
    <n v="11"/>
    <n v="1530"/>
    <n v="2781"/>
    <n v="1251"/>
  </r>
  <r>
    <s v="Xavier Rowe"/>
    <x v="4"/>
    <s v="Vase"/>
    <d v="2025-02-21T00:00:00"/>
    <d v="2025-03-03T00:00:00"/>
    <n v="3"/>
    <n v="97"/>
    <x v="0"/>
    <x v="2"/>
    <x v="0"/>
    <x v="1"/>
    <x v="7"/>
    <x v="6"/>
    <n v="10"/>
    <n v="218"/>
    <n v="291"/>
    <n v="73"/>
  </r>
  <r>
    <s v="Tiffany Robertson"/>
    <x v="1"/>
    <s v="Biography"/>
    <d v="2025-11-09T00:00:00"/>
    <d v="2025-11-20T00:00:00"/>
    <n v="4"/>
    <n v="180"/>
    <x v="1"/>
    <x v="1"/>
    <x v="3"/>
    <x v="1"/>
    <x v="4"/>
    <x v="4"/>
    <n v="11"/>
    <n v="396"/>
    <n v="720"/>
    <n v="324"/>
  </r>
  <r>
    <s v="Samantha Simpson"/>
    <x v="2"/>
    <s v="Sneakers"/>
    <d v="2025-06-28T00:00:00"/>
    <d v="2025-07-04T00:00:00"/>
    <n v="1"/>
    <n v="187"/>
    <x v="1"/>
    <x v="0"/>
    <x v="1"/>
    <x v="1"/>
    <x v="5"/>
    <x v="5"/>
    <n v="6"/>
    <n v="140"/>
    <n v="187"/>
    <n v="47"/>
  </r>
  <r>
    <s v="Rachel Shannon"/>
    <x v="4"/>
    <s v="Table Lamp"/>
    <d v="2025-09-26T00:00:00"/>
    <d v="2025-10-04T00:00:00"/>
    <n v="9"/>
    <n v="286"/>
    <x v="1"/>
    <x v="3"/>
    <x v="3"/>
    <x v="1"/>
    <x v="8"/>
    <x v="6"/>
    <n v="8"/>
    <n v="1931"/>
    <n v="2574"/>
    <n v="643"/>
  </r>
  <r>
    <s v="Brandon Lewis"/>
    <x v="4"/>
    <s v="Vase"/>
    <d v="2025-01-18T00:00:00"/>
    <d v="2025-01-31T00:00:00"/>
    <n v="6"/>
    <n v="541"/>
    <x v="1"/>
    <x v="0"/>
    <x v="0"/>
    <x v="1"/>
    <x v="10"/>
    <x v="5"/>
    <n v="13"/>
    <n v="2435"/>
    <n v="3246"/>
    <n v="811"/>
  </r>
  <r>
    <s v="Edwin Reyes"/>
    <x v="1"/>
    <s v="Children's Book"/>
    <d v="2025-07-12T00:00:00"/>
    <d v="2025-07-20T00:00:00"/>
    <n v="8"/>
    <n v="779"/>
    <x v="0"/>
    <x v="2"/>
    <x v="2"/>
    <x v="1"/>
    <x v="2"/>
    <x v="5"/>
    <n v="8"/>
    <n v="3739"/>
    <n v="6232"/>
    <n v="2493"/>
  </r>
  <r>
    <s v="Lisa Ramos"/>
    <x v="0"/>
    <s v="Laptop"/>
    <d v="2025-09-09T00:00:00"/>
    <d v="2025-09-11T00:00:00"/>
    <n v="4"/>
    <n v="249"/>
    <x v="1"/>
    <x v="0"/>
    <x v="0"/>
    <x v="1"/>
    <x v="8"/>
    <x v="1"/>
    <n v="2"/>
    <n v="847"/>
    <n v="996"/>
    <n v="149"/>
  </r>
  <r>
    <s v="Peggy Vaughn"/>
    <x v="0"/>
    <s v="Headphones"/>
    <d v="2025-07-16T00:00:00"/>
    <d v="2025-07-29T00:00:00"/>
    <n v="2"/>
    <n v="146"/>
    <x v="1"/>
    <x v="4"/>
    <x v="3"/>
    <x v="1"/>
    <x v="2"/>
    <x v="2"/>
    <n v="13"/>
    <n v="190"/>
    <n v="292"/>
    <n v="102"/>
  </r>
  <r>
    <s v="Bonnie Valencia"/>
    <x v="3"/>
    <s v="Cereal"/>
    <d v="2025-01-08T00:00:00"/>
    <d v="2025-01-21T00:00:00"/>
    <n v="1"/>
    <n v="333"/>
    <x v="1"/>
    <x v="3"/>
    <x v="0"/>
    <x v="1"/>
    <x v="10"/>
    <x v="2"/>
    <n v="13"/>
    <n v="183"/>
    <n v="333"/>
    <n v="150"/>
  </r>
  <r>
    <s v="Austin Baker"/>
    <x v="3"/>
    <s v="Milk"/>
    <d v="2025-08-28T00:00:00"/>
    <d v="2025-09-04T00:00:00"/>
    <n v="9"/>
    <n v="687"/>
    <x v="1"/>
    <x v="4"/>
    <x v="2"/>
    <x v="1"/>
    <x v="9"/>
    <x v="3"/>
    <n v="7"/>
    <n v="3092"/>
    <n v="6183"/>
    <n v="3091"/>
  </r>
  <r>
    <s v="James Davidson"/>
    <x v="2"/>
    <s v="Jacket"/>
    <d v="2025-07-09T00:00:00"/>
    <d v="2025-07-19T00:00:00"/>
    <n v="6"/>
    <n v="342"/>
    <x v="0"/>
    <x v="3"/>
    <x v="2"/>
    <x v="1"/>
    <x v="2"/>
    <x v="2"/>
    <n v="10"/>
    <n v="1642"/>
    <n v="2052"/>
    <n v="410"/>
  </r>
  <r>
    <s v="Kevin Hines"/>
    <x v="4"/>
    <s v="Table Lamp"/>
    <d v="2025-11-11T00:00:00"/>
    <d v="2025-11-16T00:00:00"/>
    <n v="6"/>
    <n v="461"/>
    <x v="0"/>
    <x v="2"/>
    <x v="0"/>
    <x v="1"/>
    <x v="4"/>
    <x v="1"/>
    <n v="5"/>
    <n v="2075"/>
    <n v="2766"/>
    <n v="691"/>
  </r>
  <r>
    <s v="Lee Parker"/>
    <x v="4"/>
    <s v="Wall Art"/>
    <d v="2025-02-19T00:00:00"/>
    <d v="2025-03-01T00:00:00"/>
    <n v="4"/>
    <n v="371"/>
    <x v="1"/>
    <x v="1"/>
    <x v="3"/>
    <x v="1"/>
    <x v="7"/>
    <x v="2"/>
    <n v="10"/>
    <n v="1039"/>
    <n v="1484"/>
    <n v="445"/>
  </r>
  <r>
    <s v="Patricia Johnson"/>
    <x v="1"/>
    <s v="Biography"/>
    <d v="2025-02-10T00:00:00"/>
    <d v="2025-02-19T00:00:00"/>
    <n v="1"/>
    <n v="200"/>
    <x v="1"/>
    <x v="1"/>
    <x v="1"/>
    <x v="1"/>
    <x v="7"/>
    <x v="0"/>
    <n v="9"/>
    <n v="110"/>
    <n v="200"/>
    <n v="90"/>
  </r>
  <r>
    <s v="Megan Wilson"/>
    <x v="0"/>
    <s v="Smartphone"/>
    <d v="2025-02-06T00:00:00"/>
    <d v="2025-02-15T00:00:00"/>
    <n v="3"/>
    <n v="356"/>
    <x v="0"/>
    <x v="1"/>
    <x v="3"/>
    <x v="1"/>
    <x v="7"/>
    <x v="3"/>
    <n v="9"/>
    <n v="801"/>
    <n v="1068"/>
    <n v="267"/>
  </r>
  <r>
    <s v="Roger Duncan"/>
    <x v="1"/>
    <s v="Fiction"/>
    <d v="2025-03-04T00:00:00"/>
    <d v="2025-03-05T00:00:00"/>
    <n v="4"/>
    <n v="587"/>
    <x v="0"/>
    <x v="4"/>
    <x v="3"/>
    <x v="1"/>
    <x v="3"/>
    <x v="1"/>
    <n v="1"/>
    <n v="1174"/>
    <n v="2348"/>
    <n v="1174"/>
  </r>
  <r>
    <s v="April Sandoval"/>
    <x v="1"/>
    <s v="Fiction"/>
    <d v="2025-06-27T00:00:00"/>
    <d v="2025-07-05T00:00:00"/>
    <n v="4"/>
    <n v="441"/>
    <x v="0"/>
    <x v="3"/>
    <x v="0"/>
    <x v="1"/>
    <x v="5"/>
    <x v="6"/>
    <n v="8"/>
    <n v="882"/>
    <n v="1764"/>
    <n v="882"/>
  </r>
  <r>
    <s v="Dillon Jones"/>
    <x v="1"/>
    <s v="Non-Fiction"/>
    <d v="2025-12-22T00:00:00"/>
    <d v="2025-12-31T00:00:00"/>
    <n v="8"/>
    <n v="953"/>
    <x v="0"/>
    <x v="1"/>
    <x v="2"/>
    <x v="1"/>
    <x v="6"/>
    <x v="0"/>
    <n v="9"/>
    <n v="3812"/>
    <n v="7624"/>
    <n v="3812"/>
  </r>
  <r>
    <s v="Bryan Howard"/>
    <x v="4"/>
    <s v="Vase"/>
    <d v="2025-02-05T00:00:00"/>
    <d v="2025-02-14T00:00:00"/>
    <n v="10"/>
    <n v="356"/>
    <x v="0"/>
    <x v="4"/>
    <x v="3"/>
    <x v="1"/>
    <x v="7"/>
    <x v="2"/>
    <n v="9"/>
    <n v="2670"/>
    <n v="3560"/>
    <n v="890"/>
  </r>
  <r>
    <s v="Angela Osborn"/>
    <x v="2"/>
    <s v="Sneakers"/>
    <d v="2025-07-24T00:00:00"/>
    <d v="2025-07-27T00:00:00"/>
    <n v="9"/>
    <n v="855"/>
    <x v="1"/>
    <x v="3"/>
    <x v="1"/>
    <x v="1"/>
    <x v="2"/>
    <x v="3"/>
    <n v="3"/>
    <n v="5771"/>
    <n v="7695"/>
    <n v="1924"/>
  </r>
  <r>
    <s v="Daniel Lopez"/>
    <x v="1"/>
    <s v="Non-Fiction"/>
    <d v="2025-04-26T00:00:00"/>
    <d v="2025-05-10T00:00:00"/>
    <n v="1"/>
    <n v="320"/>
    <x v="1"/>
    <x v="0"/>
    <x v="0"/>
    <x v="1"/>
    <x v="11"/>
    <x v="5"/>
    <n v="14"/>
    <n v="160"/>
    <n v="320"/>
    <n v="160"/>
  </r>
  <r>
    <s v="Vickie Price"/>
    <x v="2"/>
    <s v="Jacket"/>
    <d v="2025-12-20T00:00:00"/>
    <d v="2025-12-30T00:00:00"/>
    <n v="10"/>
    <n v="308"/>
    <x v="1"/>
    <x v="0"/>
    <x v="3"/>
    <x v="1"/>
    <x v="6"/>
    <x v="5"/>
    <n v="10"/>
    <n v="2464"/>
    <n v="3080"/>
    <n v="616"/>
  </r>
  <r>
    <s v="Morgan Kim"/>
    <x v="2"/>
    <s v="Sneakers"/>
    <d v="2025-12-16T00:00:00"/>
    <d v="2025-12-29T00:00:00"/>
    <n v="8"/>
    <n v="259"/>
    <x v="1"/>
    <x v="1"/>
    <x v="2"/>
    <x v="1"/>
    <x v="6"/>
    <x v="1"/>
    <n v="13"/>
    <n v="1554"/>
    <n v="2072"/>
    <n v="518"/>
  </r>
  <r>
    <s v="Kevin Thompson"/>
    <x v="2"/>
    <s v="Sneakers"/>
    <d v="2025-01-27T00:00:00"/>
    <d v="2025-01-29T00:00:00"/>
    <n v="8"/>
    <n v="684"/>
    <x v="0"/>
    <x v="1"/>
    <x v="2"/>
    <x v="1"/>
    <x v="10"/>
    <x v="0"/>
    <n v="2"/>
    <n v="4104"/>
    <n v="5472"/>
    <n v="1368"/>
  </r>
  <r>
    <s v="Heather Bennett"/>
    <x v="2"/>
    <s v="Jacket"/>
    <d v="2025-09-25T00:00:00"/>
    <d v="2025-09-30T00:00:00"/>
    <n v="6"/>
    <n v="993"/>
    <x v="1"/>
    <x v="4"/>
    <x v="0"/>
    <x v="1"/>
    <x v="8"/>
    <x v="3"/>
    <n v="5"/>
    <n v="4766"/>
    <n v="5958"/>
    <n v="1192"/>
  </r>
  <r>
    <s v="Karen Davis"/>
    <x v="4"/>
    <s v="Curtains"/>
    <d v="2025-05-21T00:00:00"/>
    <d v="2025-05-27T00:00:00"/>
    <n v="1"/>
    <n v="773"/>
    <x v="1"/>
    <x v="3"/>
    <x v="0"/>
    <x v="1"/>
    <x v="0"/>
    <x v="2"/>
    <n v="6"/>
    <n v="502"/>
    <n v="773"/>
    <n v="271"/>
  </r>
  <r>
    <s v="Leah Spencer"/>
    <x v="0"/>
    <s v="Laptop"/>
    <d v="2025-01-06T00:00:00"/>
    <d v="2025-01-12T00:00:00"/>
    <n v="8"/>
    <n v="527"/>
    <x v="1"/>
    <x v="0"/>
    <x v="3"/>
    <x v="1"/>
    <x v="10"/>
    <x v="0"/>
    <n v="6"/>
    <n v="3584"/>
    <n v="4216"/>
    <n v="632"/>
  </r>
  <r>
    <s v="Lisa Martinez"/>
    <x v="2"/>
    <s v="Jacket"/>
    <d v="2025-12-01T00:00:00"/>
    <d v="2025-12-11T00:00:00"/>
    <n v="10"/>
    <n v="752"/>
    <x v="0"/>
    <x v="0"/>
    <x v="0"/>
    <x v="1"/>
    <x v="6"/>
    <x v="0"/>
    <n v="10"/>
    <n v="6016"/>
    <n v="7520"/>
    <n v="1504"/>
  </r>
  <r>
    <s v="Lisa Mills"/>
    <x v="3"/>
    <s v="Milk"/>
    <d v="2025-11-27T00:00:00"/>
    <d v="2025-12-04T00:00:00"/>
    <n v="1"/>
    <n v="821"/>
    <x v="0"/>
    <x v="1"/>
    <x v="0"/>
    <x v="1"/>
    <x v="4"/>
    <x v="3"/>
    <n v="7"/>
    <n v="411"/>
    <n v="821"/>
    <n v="410"/>
  </r>
  <r>
    <s v="Traci Garcia"/>
    <x v="2"/>
    <s v="Jeans"/>
    <d v="2025-09-28T00:00:00"/>
    <d v="2025-10-04T00:00:00"/>
    <n v="9"/>
    <n v="733"/>
    <x v="1"/>
    <x v="2"/>
    <x v="2"/>
    <x v="1"/>
    <x v="8"/>
    <x v="4"/>
    <n v="6"/>
    <n v="4618"/>
    <n v="6597"/>
    <n v="1979"/>
  </r>
  <r>
    <s v="Ryan Garrison"/>
    <x v="3"/>
    <s v="Juice"/>
    <d v="2025-02-19T00:00:00"/>
    <d v="2025-02-25T00:00:00"/>
    <n v="7"/>
    <n v="471"/>
    <x v="1"/>
    <x v="0"/>
    <x v="3"/>
    <x v="1"/>
    <x v="7"/>
    <x v="2"/>
    <n v="6"/>
    <n v="1813"/>
    <n v="3297"/>
    <n v="1484"/>
  </r>
  <r>
    <s v="Ann Alexander"/>
    <x v="4"/>
    <s v="Curtains"/>
    <d v="2025-03-22T00:00:00"/>
    <d v="2025-03-29T00:00:00"/>
    <n v="2"/>
    <n v="566"/>
    <x v="1"/>
    <x v="2"/>
    <x v="1"/>
    <x v="1"/>
    <x v="3"/>
    <x v="5"/>
    <n v="7"/>
    <n v="736"/>
    <n v="1132"/>
    <n v="396"/>
  </r>
  <r>
    <s v="Hailey Monroe"/>
    <x v="2"/>
    <s v="Sneakers"/>
    <d v="2025-07-01T00:00:00"/>
    <d v="2025-07-08T00:00:00"/>
    <n v="1"/>
    <n v="284"/>
    <x v="0"/>
    <x v="2"/>
    <x v="3"/>
    <x v="1"/>
    <x v="2"/>
    <x v="1"/>
    <n v="7"/>
    <n v="213"/>
    <n v="284"/>
    <n v="71"/>
  </r>
  <r>
    <s v="Donald Nguyen"/>
    <x v="0"/>
    <s v="Smartphone"/>
    <d v="2025-08-17T00:00:00"/>
    <d v="2025-08-18T00:00:00"/>
    <n v="8"/>
    <n v="48"/>
    <x v="0"/>
    <x v="3"/>
    <x v="3"/>
    <x v="1"/>
    <x v="9"/>
    <x v="4"/>
    <n v="1"/>
    <n v="288"/>
    <n v="384"/>
    <n v="96"/>
  </r>
  <r>
    <s v="Cynthia Brown"/>
    <x v="2"/>
    <s v="Sneakers"/>
    <d v="2025-08-05T00:00:00"/>
    <d v="2025-08-11T00:00:00"/>
    <n v="3"/>
    <n v="262"/>
    <x v="1"/>
    <x v="3"/>
    <x v="2"/>
    <x v="1"/>
    <x v="9"/>
    <x v="1"/>
    <n v="6"/>
    <n v="590"/>
    <n v="786"/>
    <n v="196"/>
  </r>
  <r>
    <s v="Jason Price"/>
    <x v="2"/>
    <s v="T-Shirt"/>
    <d v="2025-02-28T00:00:00"/>
    <d v="2025-03-10T00:00:00"/>
    <n v="8"/>
    <n v="733"/>
    <x v="0"/>
    <x v="0"/>
    <x v="3"/>
    <x v="1"/>
    <x v="7"/>
    <x v="6"/>
    <n v="10"/>
    <n v="3812"/>
    <n v="5864"/>
    <n v="2052"/>
  </r>
  <r>
    <s v="William Orozco"/>
    <x v="2"/>
    <s v="Sneakers"/>
    <d v="2025-04-11T00:00:00"/>
    <d v="2025-04-14T00:00:00"/>
    <n v="8"/>
    <n v="258"/>
    <x v="0"/>
    <x v="4"/>
    <x v="0"/>
    <x v="1"/>
    <x v="11"/>
    <x v="6"/>
    <n v="3"/>
    <n v="1548"/>
    <n v="2064"/>
    <n v="516"/>
  </r>
  <r>
    <s v="Christopher Walters"/>
    <x v="2"/>
    <s v="Sneakers"/>
    <d v="2025-03-26T00:00:00"/>
    <d v="2025-04-01T00:00:00"/>
    <n v="10"/>
    <n v="405"/>
    <x v="0"/>
    <x v="3"/>
    <x v="3"/>
    <x v="1"/>
    <x v="3"/>
    <x v="2"/>
    <n v="6"/>
    <n v="3038"/>
    <n v="4050"/>
    <n v="1012"/>
  </r>
  <r>
    <s v="Katherine Christensen MD"/>
    <x v="2"/>
    <s v="Jacket"/>
    <d v="2025-09-24T00:00:00"/>
    <d v="2025-09-25T00:00:00"/>
    <n v="6"/>
    <n v="252"/>
    <x v="0"/>
    <x v="0"/>
    <x v="0"/>
    <x v="1"/>
    <x v="8"/>
    <x v="2"/>
    <n v="1"/>
    <n v="1210"/>
    <n v="1512"/>
    <n v="302"/>
  </r>
  <r>
    <s v="Elizabeth Williams"/>
    <x v="4"/>
    <s v="Curtains"/>
    <d v="2025-11-04T00:00:00"/>
    <d v="2025-11-10T00:00:00"/>
    <n v="10"/>
    <n v="85"/>
    <x v="0"/>
    <x v="4"/>
    <x v="2"/>
    <x v="1"/>
    <x v="4"/>
    <x v="1"/>
    <n v="6"/>
    <n v="553"/>
    <n v="850"/>
    <n v="297"/>
  </r>
  <r>
    <s v="Ashley Scott"/>
    <x v="4"/>
    <s v="Curtains"/>
    <d v="2025-04-21T00:00:00"/>
    <d v="2025-04-25T00:00:00"/>
    <n v="9"/>
    <n v="67"/>
    <x v="0"/>
    <x v="0"/>
    <x v="0"/>
    <x v="1"/>
    <x v="11"/>
    <x v="0"/>
    <n v="4"/>
    <n v="392"/>
    <n v="603"/>
    <n v="211"/>
  </r>
  <r>
    <s v="Meghan White"/>
    <x v="2"/>
    <s v="Jeans"/>
    <d v="2025-06-04T00:00:00"/>
    <d v="2025-06-10T00:00:00"/>
    <n v="3"/>
    <n v="723"/>
    <x v="0"/>
    <x v="0"/>
    <x v="3"/>
    <x v="1"/>
    <x v="5"/>
    <x v="2"/>
    <n v="6"/>
    <n v="1518"/>
    <n v="2169"/>
    <n v="651"/>
  </r>
  <r>
    <s v="Michael Cruz"/>
    <x v="4"/>
    <s v="Vase"/>
    <d v="2025-04-15T00:00:00"/>
    <d v="2025-04-19T00:00:00"/>
    <n v="2"/>
    <n v="919"/>
    <x v="0"/>
    <x v="0"/>
    <x v="1"/>
    <x v="1"/>
    <x v="11"/>
    <x v="1"/>
    <n v="4"/>
    <n v="1379"/>
    <n v="1838"/>
    <n v="459"/>
  </r>
  <r>
    <s v="David Stevens"/>
    <x v="0"/>
    <s v="Laptop"/>
    <d v="2025-08-02T00:00:00"/>
    <d v="2025-08-08T00:00:00"/>
    <n v="2"/>
    <n v="315"/>
    <x v="0"/>
    <x v="3"/>
    <x v="3"/>
    <x v="1"/>
    <x v="9"/>
    <x v="5"/>
    <n v="6"/>
    <n v="536"/>
    <n v="630"/>
    <n v="94"/>
  </r>
  <r>
    <s v="Heidi Brown"/>
    <x v="0"/>
    <s v="Camera"/>
    <d v="2025-03-23T00:00:00"/>
    <d v="2025-03-29T00:00:00"/>
    <n v="3"/>
    <n v="561"/>
    <x v="0"/>
    <x v="3"/>
    <x v="2"/>
    <x v="1"/>
    <x v="3"/>
    <x v="4"/>
    <n v="6"/>
    <n v="1346"/>
    <n v="1683"/>
    <n v="337"/>
  </r>
  <r>
    <s v="Peter Walker"/>
    <x v="0"/>
    <s v="Smartphone"/>
    <d v="2025-06-26T00:00:00"/>
    <d v="2025-06-30T00:00:00"/>
    <n v="1"/>
    <n v="934"/>
    <x v="0"/>
    <x v="3"/>
    <x v="0"/>
    <x v="1"/>
    <x v="5"/>
    <x v="3"/>
    <n v="4"/>
    <n v="701"/>
    <n v="934"/>
    <n v="233"/>
  </r>
  <r>
    <s v="Levi Lopez"/>
    <x v="0"/>
    <s v="Laptop"/>
    <d v="2025-12-17T00:00:00"/>
    <d v="2025-12-22T00:00:00"/>
    <n v="1"/>
    <n v="979"/>
    <x v="1"/>
    <x v="0"/>
    <x v="2"/>
    <x v="1"/>
    <x v="6"/>
    <x v="2"/>
    <n v="5"/>
    <n v="832"/>
    <n v="979"/>
    <n v="147"/>
  </r>
  <r>
    <s v="Peter Williams"/>
    <x v="4"/>
    <s v="Vase"/>
    <d v="2025-09-17T00:00:00"/>
    <d v="2025-09-23T00:00:00"/>
    <n v="1"/>
    <n v="805"/>
    <x v="1"/>
    <x v="1"/>
    <x v="2"/>
    <x v="1"/>
    <x v="8"/>
    <x v="2"/>
    <n v="6"/>
    <n v="604"/>
    <n v="805"/>
    <n v="201"/>
  </r>
  <r>
    <s v="Jessica Richards"/>
    <x v="1"/>
    <s v="Fiction"/>
    <d v="2025-01-09T00:00:00"/>
    <d v="2025-01-16T00:00:00"/>
    <n v="3"/>
    <n v="319"/>
    <x v="0"/>
    <x v="0"/>
    <x v="3"/>
    <x v="1"/>
    <x v="10"/>
    <x v="3"/>
    <n v="7"/>
    <n v="479"/>
    <n v="957"/>
    <n v="478"/>
  </r>
  <r>
    <s v="Tammy Anderson"/>
    <x v="1"/>
    <s v="Children's Book"/>
    <d v="2025-05-02T00:00:00"/>
    <d v="2025-05-12T00:00:00"/>
    <n v="4"/>
    <n v="872"/>
    <x v="0"/>
    <x v="2"/>
    <x v="2"/>
    <x v="1"/>
    <x v="0"/>
    <x v="6"/>
    <n v="10"/>
    <n v="2093"/>
    <n v="3488"/>
    <n v="1395"/>
  </r>
  <r>
    <s v="Stephanie Ferguson"/>
    <x v="3"/>
    <s v="Juice"/>
    <d v="2025-03-12T00:00:00"/>
    <d v="2025-03-16T00:00:00"/>
    <n v="3"/>
    <n v="154"/>
    <x v="1"/>
    <x v="2"/>
    <x v="2"/>
    <x v="1"/>
    <x v="3"/>
    <x v="2"/>
    <n v="4"/>
    <n v="254"/>
    <n v="462"/>
    <n v="208"/>
  </r>
  <r>
    <s v="Ashley Parrish"/>
    <x v="0"/>
    <s v="Smartphone"/>
    <d v="2025-07-04T00:00:00"/>
    <d v="2025-07-06T00:00:00"/>
    <n v="10"/>
    <n v="674"/>
    <x v="1"/>
    <x v="1"/>
    <x v="1"/>
    <x v="1"/>
    <x v="2"/>
    <x v="6"/>
    <n v="2"/>
    <n v="5055"/>
    <n v="6740"/>
    <n v="1685"/>
  </r>
  <r>
    <s v="Kimberly Morrison"/>
    <x v="1"/>
    <s v="Fiction"/>
    <d v="2025-09-25T00:00:00"/>
    <d v="2025-09-30T00:00:00"/>
    <n v="8"/>
    <n v="203"/>
    <x v="0"/>
    <x v="4"/>
    <x v="1"/>
    <x v="1"/>
    <x v="8"/>
    <x v="3"/>
    <n v="5"/>
    <n v="812"/>
    <n v="1624"/>
    <n v="812"/>
  </r>
  <r>
    <s v="Timothy Gilbert"/>
    <x v="4"/>
    <s v="Wall Art"/>
    <d v="2025-04-12T00:00:00"/>
    <d v="2025-04-18T00:00:00"/>
    <n v="5"/>
    <n v="608"/>
    <x v="1"/>
    <x v="0"/>
    <x v="3"/>
    <x v="1"/>
    <x v="11"/>
    <x v="5"/>
    <n v="6"/>
    <n v="2128"/>
    <n v="3040"/>
    <n v="912"/>
  </r>
  <r>
    <s v="Erin Carter"/>
    <x v="4"/>
    <s v="Curtains"/>
    <d v="2025-04-21T00:00:00"/>
    <d v="2025-04-25T00:00:00"/>
    <n v="5"/>
    <n v="664"/>
    <x v="1"/>
    <x v="3"/>
    <x v="1"/>
    <x v="1"/>
    <x v="11"/>
    <x v="0"/>
    <n v="4"/>
    <n v="2158"/>
    <n v="3320"/>
    <n v="1162"/>
  </r>
  <r>
    <s v="Jaime Lang"/>
    <x v="4"/>
    <s v="Curtains"/>
    <d v="2025-05-25T00:00:00"/>
    <d v="2025-06-06T00:00:00"/>
    <n v="9"/>
    <n v="164"/>
    <x v="1"/>
    <x v="4"/>
    <x v="0"/>
    <x v="1"/>
    <x v="0"/>
    <x v="4"/>
    <n v="12"/>
    <n v="959"/>
    <n v="1476"/>
    <n v="517"/>
  </r>
  <r>
    <s v="Amanda Jones"/>
    <x v="2"/>
    <s v="Sneakers"/>
    <d v="2025-01-26T00:00:00"/>
    <d v="2025-01-29T00:00:00"/>
    <n v="4"/>
    <n v="200"/>
    <x v="0"/>
    <x v="1"/>
    <x v="3"/>
    <x v="1"/>
    <x v="10"/>
    <x v="4"/>
    <n v="3"/>
    <n v="600"/>
    <n v="800"/>
    <n v="200"/>
  </r>
  <r>
    <s v="Elizabeth Miller"/>
    <x v="3"/>
    <s v="Milk"/>
    <d v="2025-05-16T00:00:00"/>
    <d v="2025-05-25T00:00:00"/>
    <n v="4"/>
    <n v="959"/>
    <x v="0"/>
    <x v="2"/>
    <x v="2"/>
    <x v="1"/>
    <x v="0"/>
    <x v="6"/>
    <n v="9"/>
    <n v="1918"/>
    <n v="3836"/>
    <n v="1918"/>
  </r>
  <r>
    <s v="Joseph Taylor"/>
    <x v="3"/>
    <s v="Milk"/>
    <d v="2025-10-12T00:00:00"/>
    <d v="2025-10-15T00:00:00"/>
    <n v="3"/>
    <n v="960"/>
    <x v="0"/>
    <x v="4"/>
    <x v="3"/>
    <x v="1"/>
    <x v="1"/>
    <x v="4"/>
    <n v="3"/>
    <n v="1440"/>
    <n v="2880"/>
    <n v="1440"/>
  </r>
  <r>
    <s v="Traci Camacho"/>
    <x v="3"/>
    <s v="Juice"/>
    <d v="2025-08-09T00:00:00"/>
    <d v="2025-08-13T00:00:00"/>
    <n v="1"/>
    <n v="269"/>
    <x v="0"/>
    <x v="2"/>
    <x v="0"/>
    <x v="1"/>
    <x v="9"/>
    <x v="5"/>
    <n v="4"/>
    <n v="148"/>
    <n v="269"/>
    <n v="121"/>
  </r>
  <r>
    <s v="Kenneth Long"/>
    <x v="0"/>
    <s v="Headphones"/>
    <d v="2025-01-23T00:00:00"/>
    <d v="2025-02-01T00:00:00"/>
    <n v="9"/>
    <n v="498"/>
    <x v="0"/>
    <x v="0"/>
    <x v="3"/>
    <x v="1"/>
    <x v="10"/>
    <x v="3"/>
    <n v="9"/>
    <n v="2913"/>
    <n v="4482"/>
    <n v="1569"/>
  </r>
  <r>
    <s v="Michael Young"/>
    <x v="2"/>
    <s v="Jacket"/>
    <d v="2025-03-20T00:00:00"/>
    <d v="2025-03-27T00:00:00"/>
    <n v="6"/>
    <n v="662"/>
    <x v="0"/>
    <x v="2"/>
    <x v="3"/>
    <x v="1"/>
    <x v="3"/>
    <x v="3"/>
    <n v="7"/>
    <n v="3178"/>
    <n v="3972"/>
    <n v="794"/>
  </r>
  <r>
    <s v="Matthew Steele"/>
    <x v="3"/>
    <s v="Milk"/>
    <d v="2025-01-24T00:00:00"/>
    <d v="2025-02-03T00:00:00"/>
    <n v="1"/>
    <n v="909"/>
    <x v="1"/>
    <x v="3"/>
    <x v="0"/>
    <x v="1"/>
    <x v="10"/>
    <x v="6"/>
    <n v="10"/>
    <n v="455"/>
    <n v="909"/>
    <n v="454"/>
  </r>
  <r>
    <s v="Reginald Diaz"/>
    <x v="4"/>
    <s v="Vase"/>
    <d v="2025-12-21T00:00:00"/>
    <d v="2025-12-24T00:00:00"/>
    <n v="8"/>
    <n v="189"/>
    <x v="0"/>
    <x v="0"/>
    <x v="2"/>
    <x v="1"/>
    <x v="6"/>
    <x v="4"/>
    <n v="3"/>
    <n v="1134"/>
    <n v="1512"/>
    <n v="378"/>
  </r>
  <r>
    <s v="Amanda Juarez"/>
    <x v="3"/>
    <s v="Cereal"/>
    <d v="2025-04-23T00:00:00"/>
    <d v="2025-05-02T00:00:00"/>
    <n v="4"/>
    <n v="689"/>
    <x v="1"/>
    <x v="1"/>
    <x v="1"/>
    <x v="1"/>
    <x v="11"/>
    <x v="2"/>
    <n v="9"/>
    <n v="1516"/>
    <n v="2756"/>
    <n v="1240"/>
  </r>
  <r>
    <s v="Courtney Sullivan"/>
    <x v="1"/>
    <s v="Children's Book"/>
    <d v="2025-09-21T00:00:00"/>
    <d v="2025-09-28T00:00:00"/>
    <n v="9"/>
    <n v="485"/>
    <x v="1"/>
    <x v="2"/>
    <x v="2"/>
    <x v="1"/>
    <x v="8"/>
    <x v="4"/>
    <n v="7"/>
    <n v="2619"/>
    <n v="4365"/>
    <n v="1746"/>
  </r>
  <r>
    <s v="Linda Elliott"/>
    <x v="3"/>
    <s v="Cereal"/>
    <d v="2025-09-09T00:00:00"/>
    <d v="2025-09-11T00:00:00"/>
    <n v="2"/>
    <n v="31"/>
    <x v="1"/>
    <x v="4"/>
    <x v="0"/>
    <x v="1"/>
    <x v="8"/>
    <x v="1"/>
    <n v="2"/>
    <n v="34"/>
    <n v="62"/>
    <n v="28"/>
  </r>
  <r>
    <s v="Sherry Schmidt"/>
    <x v="1"/>
    <s v="Biography"/>
    <d v="2025-09-12T00:00:00"/>
    <d v="2025-09-14T00:00:00"/>
    <n v="6"/>
    <n v="806"/>
    <x v="0"/>
    <x v="3"/>
    <x v="0"/>
    <x v="1"/>
    <x v="8"/>
    <x v="6"/>
    <n v="2"/>
    <n v="2660"/>
    <n v="4836"/>
    <n v="2176"/>
  </r>
  <r>
    <s v="Jacqueline Williams"/>
    <x v="4"/>
    <s v="Curtains"/>
    <d v="2025-10-08T00:00:00"/>
    <d v="2025-10-10T00:00:00"/>
    <n v="5"/>
    <n v="720"/>
    <x v="0"/>
    <x v="0"/>
    <x v="2"/>
    <x v="1"/>
    <x v="1"/>
    <x v="2"/>
    <n v="2"/>
    <n v="2340"/>
    <n v="3600"/>
    <n v="1260"/>
  </r>
  <r>
    <s v="Brian Simmons"/>
    <x v="4"/>
    <s v="Curtains"/>
    <d v="2025-07-17T00:00:00"/>
    <d v="2025-07-23T00:00:00"/>
    <n v="2"/>
    <n v="420"/>
    <x v="0"/>
    <x v="1"/>
    <x v="3"/>
    <x v="1"/>
    <x v="2"/>
    <x v="3"/>
    <n v="6"/>
    <n v="546"/>
    <n v="840"/>
    <n v="294"/>
  </r>
  <r>
    <s v="Richard Avery"/>
    <x v="3"/>
    <s v="Juice"/>
    <d v="2025-12-16T00:00:00"/>
    <d v="2025-12-26T00:00:00"/>
    <n v="3"/>
    <n v="10"/>
    <x v="0"/>
    <x v="3"/>
    <x v="3"/>
    <x v="1"/>
    <x v="6"/>
    <x v="1"/>
    <n v="10"/>
    <n v="17"/>
    <n v="30"/>
    <n v="13"/>
  </r>
  <r>
    <s v="Abigail Davis"/>
    <x v="1"/>
    <s v="Fiction"/>
    <d v="2025-10-23T00:00:00"/>
    <d v="2025-11-02T00:00:00"/>
    <n v="1"/>
    <n v="950"/>
    <x v="0"/>
    <x v="1"/>
    <x v="1"/>
    <x v="1"/>
    <x v="1"/>
    <x v="3"/>
    <n v="10"/>
    <n v="475"/>
    <n v="950"/>
    <n v="475"/>
  </r>
  <r>
    <s v="Andrew Cruz"/>
    <x v="2"/>
    <s v="T-Shirt"/>
    <d v="2025-02-28T00:00:00"/>
    <d v="2025-03-06T00:00:00"/>
    <n v="7"/>
    <n v="996"/>
    <x v="0"/>
    <x v="4"/>
    <x v="0"/>
    <x v="1"/>
    <x v="7"/>
    <x v="6"/>
    <n v="6"/>
    <n v="4532"/>
    <n v="6972"/>
    <n v="2440"/>
  </r>
  <r>
    <s v="Laura Benson"/>
    <x v="1"/>
    <s v="Biography"/>
    <d v="2025-02-01T00:00:00"/>
    <d v="2025-02-05T00:00:00"/>
    <n v="4"/>
    <n v="439"/>
    <x v="0"/>
    <x v="2"/>
    <x v="2"/>
    <x v="1"/>
    <x v="7"/>
    <x v="5"/>
    <n v="4"/>
    <n v="966"/>
    <n v="1756"/>
    <n v="790"/>
  </r>
  <r>
    <s v="Pamela Weaver"/>
    <x v="1"/>
    <s v="Biography"/>
    <d v="2025-01-03T00:00:00"/>
    <d v="2025-01-10T00:00:00"/>
    <n v="9"/>
    <n v="727"/>
    <x v="0"/>
    <x v="0"/>
    <x v="0"/>
    <x v="1"/>
    <x v="10"/>
    <x v="6"/>
    <n v="7"/>
    <n v="3599"/>
    <n v="6543"/>
    <n v="2944"/>
  </r>
  <r>
    <s v="Robert Mendoza"/>
    <x v="0"/>
    <s v="Headphones"/>
    <d v="2025-02-16T00:00:00"/>
    <d v="2025-02-20T00:00:00"/>
    <n v="5"/>
    <n v="314"/>
    <x v="0"/>
    <x v="3"/>
    <x v="2"/>
    <x v="1"/>
    <x v="7"/>
    <x v="4"/>
    <n v="4"/>
    <n v="1021"/>
    <n v="1570"/>
    <n v="549"/>
  </r>
  <r>
    <s v="Veronica Parks"/>
    <x v="4"/>
    <s v="Table Lamp"/>
    <d v="2025-09-20T00:00:00"/>
    <d v="2025-09-24T00:00:00"/>
    <n v="8"/>
    <n v="419"/>
    <x v="1"/>
    <x v="0"/>
    <x v="3"/>
    <x v="1"/>
    <x v="8"/>
    <x v="5"/>
    <n v="4"/>
    <n v="2514"/>
    <n v="3352"/>
    <n v="838"/>
  </r>
  <r>
    <s v="Pamela Romero"/>
    <x v="1"/>
    <s v="Children's Book"/>
    <d v="2025-11-26T00:00:00"/>
    <d v="2025-12-05T00:00:00"/>
    <n v="5"/>
    <n v="900"/>
    <x v="1"/>
    <x v="1"/>
    <x v="3"/>
    <x v="1"/>
    <x v="4"/>
    <x v="2"/>
    <n v="9"/>
    <n v="2700"/>
    <n v="4500"/>
    <n v="1800"/>
  </r>
  <r>
    <s v="Tammy Sellers"/>
    <x v="3"/>
    <s v="Cereal"/>
    <d v="2025-11-27T00:00:00"/>
    <d v="2025-12-03T00:00:00"/>
    <n v="7"/>
    <n v="444"/>
    <x v="1"/>
    <x v="1"/>
    <x v="3"/>
    <x v="1"/>
    <x v="4"/>
    <x v="3"/>
    <n v="6"/>
    <n v="1709"/>
    <n v="3108"/>
    <n v="1399"/>
  </r>
  <r>
    <s v="Joseph Obrien"/>
    <x v="3"/>
    <s v="Cereal"/>
    <d v="2025-06-06T00:00:00"/>
    <d v="2025-06-09T00:00:00"/>
    <n v="5"/>
    <n v="615"/>
    <x v="1"/>
    <x v="1"/>
    <x v="0"/>
    <x v="1"/>
    <x v="5"/>
    <x v="6"/>
    <n v="3"/>
    <n v="1691"/>
    <n v="3075"/>
    <n v="1384"/>
  </r>
  <r>
    <s v="Austin Smith"/>
    <x v="1"/>
    <s v="Non-Fiction"/>
    <d v="2025-12-15T00:00:00"/>
    <d v="2025-12-16T00:00:00"/>
    <n v="7"/>
    <n v="595"/>
    <x v="0"/>
    <x v="0"/>
    <x v="1"/>
    <x v="1"/>
    <x v="6"/>
    <x v="0"/>
    <n v="1"/>
    <n v="2083"/>
    <n v="4165"/>
    <n v="2082"/>
  </r>
  <r>
    <s v="David Caldwell"/>
    <x v="4"/>
    <s v="Wall Art"/>
    <d v="2025-01-03T00:00:00"/>
    <d v="2025-01-12T00:00:00"/>
    <n v="1"/>
    <n v="669"/>
    <x v="0"/>
    <x v="0"/>
    <x v="1"/>
    <x v="1"/>
    <x v="10"/>
    <x v="6"/>
    <n v="9"/>
    <n v="468"/>
    <n v="669"/>
    <n v="201"/>
  </r>
  <r>
    <s v="Matthew Gomez"/>
    <x v="2"/>
    <s v="T-Shirt"/>
    <d v="2025-08-10T00:00:00"/>
    <d v="2025-08-13T00:00:00"/>
    <n v="9"/>
    <n v="967"/>
    <x v="0"/>
    <x v="3"/>
    <x v="1"/>
    <x v="1"/>
    <x v="9"/>
    <x v="4"/>
    <n v="3"/>
    <n v="5657"/>
    <n v="8703"/>
    <n v="3046"/>
  </r>
  <r>
    <s v="Maria Brown"/>
    <x v="0"/>
    <s v="Smartphone"/>
    <d v="2025-04-12T00:00:00"/>
    <d v="2025-04-18T00:00:00"/>
    <n v="5"/>
    <n v="874"/>
    <x v="0"/>
    <x v="3"/>
    <x v="3"/>
    <x v="1"/>
    <x v="11"/>
    <x v="5"/>
    <n v="6"/>
    <n v="3278"/>
    <n v="4370"/>
    <n v="1092"/>
  </r>
  <r>
    <s v="Clifford Ford"/>
    <x v="3"/>
    <s v="Milk"/>
    <d v="2025-10-18T00:00:00"/>
    <d v="2025-10-25T00:00:00"/>
    <n v="6"/>
    <n v="124"/>
    <x v="1"/>
    <x v="0"/>
    <x v="3"/>
    <x v="1"/>
    <x v="1"/>
    <x v="5"/>
    <n v="7"/>
    <n v="372"/>
    <n v="744"/>
    <n v="372"/>
  </r>
  <r>
    <s v="Tammy Allison"/>
    <x v="1"/>
    <s v="Children's Book"/>
    <d v="2025-10-26T00:00:00"/>
    <d v="2025-11-01T00:00:00"/>
    <n v="6"/>
    <n v="894"/>
    <x v="1"/>
    <x v="3"/>
    <x v="0"/>
    <x v="1"/>
    <x v="1"/>
    <x v="4"/>
    <n v="6"/>
    <n v="3218"/>
    <n v="5364"/>
    <n v="2146"/>
  </r>
  <r>
    <s v="Rachel Gibson"/>
    <x v="2"/>
    <s v="Jeans"/>
    <d v="2025-05-23T00:00:00"/>
    <d v="2025-05-26T00:00:00"/>
    <n v="4"/>
    <n v="740"/>
    <x v="0"/>
    <x v="1"/>
    <x v="2"/>
    <x v="1"/>
    <x v="0"/>
    <x v="6"/>
    <n v="3"/>
    <n v="2072"/>
    <n v="2960"/>
    <n v="888"/>
  </r>
  <r>
    <s v="Lauren Daniels"/>
    <x v="4"/>
    <s v="Wall Art"/>
    <d v="2025-09-16T00:00:00"/>
    <d v="2025-09-19T00:00:00"/>
    <n v="10"/>
    <n v="741"/>
    <x v="1"/>
    <x v="4"/>
    <x v="3"/>
    <x v="1"/>
    <x v="8"/>
    <x v="1"/>
    <n v="3"/>
    <n v="5187"/>
    <n v="7410"/>
    <n v="2223"/>
  </r>
  <r>
    <s v="Joseph Obrien"/>
    <x v="0"/>
    <s v="Smartphone"/>
    <d v="2025-02-21T00:00:00"/>
    <d v="2025-03-02T00:00:00"/>
    <n v="1"/>
    <n v="474"/>
    <x v="1"/>
    <x v="3"/>
    <x v="2"/>
    <x v="1"/>
    <x v="7"/>
    <x v="6"/>
    <n v="9"/>
    <n v="356"/>
    <n v="474"/>
    <n v="118"/>
  </r>
  <r>
    <s v="Amanda Miller"/>
    <x v="4"/>
    <s v="Table Lamp"/>
    <d v="2025-02-03T00:00:00"/>
    <d v="2025-02-08T00:00:00"/>
    <n v="7"/>
    <n v="811"/>
    <x v="1"/>
    <x v="2"/>
    <x v="0"/>
    <x v="1"/>
    <x v="7"/>
    <x v="0"/>
    <n v="5"/>
    <n v="4258"/>
    <n v="5677"/>
    <n v="1419"/>
  </r>
  <r>
    <s v="Michael Evans"/>
    <x v="3"/>
    <s v="Cereal"/>
    <d v="2025-03-25T00:00:00"/>
    <d v="2025-03-29T00:00:00"/>
    <n v="4"/>
    <n v="247"/>
    <x v="0"/>
    <x v="3"/>
    <x v="3"/>
    <x v="1"/>
    <x v="3"/>
    <x v="1"/>
    <n v="4"/>
    <n v="543"/>
    <n v="988"/>
    <n v="445"/>
  </r>
  <r>
    <s v="Angel Lewis MD"/>
    <x v="4"/>
    <s v="Vase"/>
    <d v="2025-03-25T00:00:00"/>
    <d v="2025-04-05T00:00:00"/>
    <n v="3"/>
    <n v="774"/>
    <x v="1"/>
    <x v="4"/>
    <x v="1"/>
    <x v="1"/>
    <x v="3"/>
    <x v="1"/>
    <n v="11"/>
    <n v="1742"/>
    <n v="2322"/>
    <n v="580"/>
  </r>
  <r>
    <s v="Joshua Turner"/>
    <x v="2"/>
    <s v="Jacket"/>
    <d v="2025-04-06T00:00:00"/>
    <d v="2025-04-12T00:00:00"/>
    <n v="5"/>
    <n v="63"/>
    <x v="0"/>
    <x v="1"/>
    <x v="3"/>
    <x v="1"/>
    <x v="11"/>
    <x v="4"/>
    <n v="6"/>
    <n v="252"/>
    <n v="315"/>
    <n v="63"/>
  </r>
  <r>
    <s v="Douglas Clark"/>
    <x v="4"/>
    <s v="Vase"/>
    <d v="2025-04-17T00:00:00"/>
    <d v="2025-04-23T00:00:00"/>
    <n v="1"/>
    <n v="30"/>
    <x v="1"/>
    <x v="3"/>
    <x v="0"/>
    <x v="1"/>
    <x v="11"/>
    <x v="3"/>
    <n v="6"/>
    <n v="23"/>
    <n v="30"/>
    <n v="7"/>
  </r>
  <r>
    <s v="Kimberly Davenport"/>
    <x v="0"/>
    <s v="Smartphone"/>
    <d v="2025-10-01T00:00:00"/>
    <d v="2025-10-03T00:00:00"/>
    <n v="7"/>
    <n v="149"/>
    <x v="1"/>
    <x v="0"/>
    <x v="2"/>
    <x v="1"/>
    <x v="1"/>
    <x v="2"/>
    <n v="2"/>
    <n v="782"/>
    <n v="1043"/>
    <n v="261"/>
  </r>
  <r>
    <s v="Richard Rodriguez"/>
    <x v="4"/>
    <s v="Curtains"/>
    <d v="2025-01-05T00:00:00"/>
    <d v="2025-01-06T00:00:00"/>
    <n v="4"/>
    <n v="212"/>
    <x v="0"/>
    <x v="2"/>
    <x v="0"/>
    <x v="1"/>
    <x v="10"/>
    <x v="4"/>
    <n v="1"/>
    <n v="551"/>
    <n v="848"/>
    <n v="297"/>
  </r>
  <r>
    <s v="Matthew Ross"/>
    <x v="3"/>
    <s v="Juice"/>
    <d v="2025-01-12T00:00:00"/>
    <d v="2025-01-27T00:00:00"/>
    <n v="10"/>
    <n v="639"/>
    <x v="1"/>
    <x v="4"/>
    <x v="3"/>
    <x v="1"/>
    <x v="10"/>
    <x v="4"/>
    <n v="15"/>
    <n v="3515"/>
    <n v="6390"/>
    <n v="2875"/>
  </r>
  <r>
    <s v="Victoria Johnson"/>
    <x v="1"/>
    <s v="Children's Book"/>
    <d v="2025-01-25T00:00:00"/>
    <d v="2025-01-26T00:00:00"/>
    <n v="7"/>
    <n v="785"/>
    <x v="0"/>
    <x v="4"/>
    <x v="1"/>
    <x v="1"/>
    <x v="10"/>
    <x v="5"/>
    <n v="1"/>
    <n v="3297"/>
    <n v="5495"/>
    <n v="2198"/>
  </r>
  <r>
    <s v="Stephanie Lee"/>
    <x v="2"/>
    <s v="Jeans"/>
    <d v="2025-09-15T00:00:00"/>
    <d v="2025-09-18T00:00:00"/>
    <n v="8"/>
    <n v="656"/>
    <x v="0"/>
    <x v="0"/>
    <x v="3"/>
    <x v="1"/>
    <x v="8"/>
    <x v="0"/>
    <n v="3"/>
    <n v="3674"/>
    <n v="5248"/>
    <n v="1574"/>
  </r>
  <r>
    <s v="Benjamin Beck"/>
    <x v="2"/>
    <s v="Jacket"/>
    <d v="2025-02-03T00:00:00"/>
    <d v="2025-02-11T00:00:00"/>
    <n v="3"/>
    <n v="703"/>
    <x v="0"/>
    <x v="4"/>
    <x v="2"/>
    <x v="1"/>
    <x v="7"/>
    <x v="0"/>
    <n v="8"/>
    <n v="1687"/>
    <n v="2109"/>
    <n v="422"/>
  </r>
  <r>
    <s v="Stephanie Gilbert"/>
    <x v="1"/>
    <s v="Fiction"/>
    <d v="2025-10-06T00:00:00"/>
    <d v="2025-10-10T00:00:00"/>
    <n v="3"/>
    <n v="908"/>
    <x v="1"/>
    <x v="4"/>
    <x v="0"/>
    <x v="1"/>
    <x v="1"/>
    <x v="0"/>
    <n v="4"/>
    <n v="1362"/>
    <n v="2724"/>
    <n v="1362"/>
  </r>
  <r>
    <s v="Jeffrey Carpenter"/>
    <x v="4"/>
    <s v="Wall Art"/>
    <d v="2025-10-19T00:00:00"/>
    <d v="2025-10-31T00:00:00"/>
    <n v="7"/>
    <n v="50"/>
    <x v="1"/>
    <x v="2"/>
    <x v="2"/>
    <x v="1"/>
    <x v="1"/>
    <x v="4"/>
    <n v="12"/>
    <n v="245"/>
    <n v="350"/>
    <n v="105"/>
  </r>
  <r>
    <s v="Curtis Johnson"/>
    <x v="2"/>
    <s v="Jeans"/>
    <d v="2025-05-27T00:00:00"/>
    <d v="2025-06-04T00:00:00"/>
    <n v="10"/>
    <n v="723"/>
    <x v="1"/>
    <x v="1"/>
    <x v="2"/>
    <x v="1"/>
    <x v="0"/>
    <x v="1"/>
    <n v="8"/>
    <n v="5061"/>
    <n v="7230"/>
    <n v="2169"/>
  </r>
  <r>
    <s v="Michael Snyder"/>
    <x v="2"/>
    <s v="Jeans"/>
    <d v="2025-11-06T00:00:00"/>
    <d v="2025-11-12T00:00:00"/>
    <n v="7"/>
    <n v="568"/>
    <x v="1"/>
    <x v="4"/>
    <x v="3"/>
    <x v="1"/>
    <x v="4"/>
    <x v="3"/>
    <n v="6"/>
    <n v="2783"/>
    <n v="3976"/>
    <n v="1193"/>
  </r>
  <r>
    <s v="Melissa Marshall"/>
    <x v="2"/>
    <s v="Jacket"/>
    <d v="2025-11-11T00:00:00"/>
    <d v="2025-11-26T00:00:00"/>
    <n v="6"/>
    <n v="250"/>
    <x v="1"/>
    <x v="2"/>
    <x v="2"/>
    <x v="1"/>
    <x v="4"/>
    <x v="1"/>
    <n v="15"/>
    <n v="1200"/>
    <n v="1500"/>
    <n v="300"/>
  </r>
  <r>
    <s v="Michelle Wagner"/>
    <x v="0"/>
    <s v="Laptop"/>
    <d v="2025-02-05T00:00:00"/>
    <d v="2025-02-06T00:00:00"/>
    <n v="4"/>
    <n v="572"/>
    <x v="0"/>
    <x v="2"/>
    <x v="2"/>
    <x v="1"/>
    <x v="7"/>
    <x v="2"/>
    <n v="1"/>
    <n v="1945"/>
    <n v="2288"/>
    <n v="343"/>
  </r>
  <r>
    <s v="Sara Ramirez"/>
    <x v="4"/>
    <s v="Curtains"/>
    <d v="2025-01-21T00:00:00"/>
    <d v="2025-02-04T00:00:00"/>
    <n v="8"/>
    <n v="849"/>
    <x v="1"/>
    <x v="0"/>
    <x v="1"/>
    <x v="1"/>
    <x v="10"/>
    <x v="1"/>
    <n v="14"/>
    <n v="4415"/>
    <n v="6792"/>
    <n v="2377"/>
  </r>
  <r>
    <s v="George Orozco"/>
    <x v="3"/>
    <s v="Cereal"/>
    <d v="2025-03-17T00:00:00"/>
    <d v="2025-03-20T00:00:00"/>
    <n v="8"/>
    <n v="858"/>
    <x v="1"/>
    <x v="4"/>
    <x v="1"/>
    <x v="1"/>
    <x v="3"/>
    <x v="0"/>
    <n v="3"/>
    <n v="3775"/>
    <n v="6864"/>
    <n v="3089"/>
  </r>
  <r>
    <s v="Joshua Perry"/>
    <x v="1"/>
    <s v="Children's Book"/>
    <d v="2025-07-06T00:00:00"/>
    <d v="2025-07-14T00:00:00"/>
    <n v="1"/>
    <n v="256"/>
    <x v="0"/>
    <x v="3"/>
    <x v="3"/>
    <x v="1"/>
    <x v="2"/>
    <x v="4"/>
    <n v="8"/>
    <n v="154"/>
    <n v="256"/>
    <n v="102"/>
  </r>
  <r>
    <s v="Aaron Bell"/>
    <x v="0"/>
    <s v="Smartphone"/>
    <d v="2025-05-22T00:00:00"/>
    <d v="2025-05-29T00:00:00"/>
    <n v="8"/>
    <n v="453"/>
    <x v="1"/>
    <x v="1"/>
    <x v="1"/>
    <x v="1"/>
    <x v="0"/>
    <x v="3"/>
    <n v="7"/>
    <n v="2718"/>
    <n v="3624"/>
    <n v="906"/>
  </r>
  <r>
    <s v="Stephanie Freeman"/>
    <x v="3"/>
    <s v="Cereal"/>
    <d v="2025-06-14T00:00:00"/>
    <d v="2025-06-28T00:00:00"/>
    <n v="6"/>
    <n v="218"/>
    <x v="1"/>
    <x v="3"/>
    <x v="0"/>
    <x v="1"/>
    <x v="5"/>
    <x v="5"/>
    <n v="14"/>
    <n v="719"/>
    <n v="1308"/>
    <n v="589"/>
  </r>
  <r>
    <s v="Rebecca Ramsey"/>
    <x v="1"/>
    <s v="Children's Book"/>
    <d v="2025-12-18T00:00:00"/>
    <d v="2025-12-27T00:00:00"/>
    <n v="7"/>
    <n v="481"/>
    <x v="1"/>
    <x v="1"/>
    <x v="3"/>
    <x v="1"/>
    <x v="6"/>
    <x v="3"/>
    <n v="9"/>
    <n v="2020"/>
    <n v="3367"/>
    <n v="1347"/>
  </r>
  <r>
    <s v="Mary Miller"/>
    <x v="2"/>
    <s v="Sneakers"/>
    <d v="2025-04-09T00:00:00"/>
    <d v="2025-04-17T00:00:00"/>
    <n v="1"/>
    <n v="420"/>
    <x v="0"/>
    <x v="2"/>
    <x v="2"/>
    <x v="1"/>
    <x v="11"/>
    <x v="2"/>
    <n v="8"/>
    <n v="315"/>
    <n v="420"/>
    <n v="105"/>
  </r>
  <r>
    <s v="Andre Wright"/>
    <x v="1"/>
    <s v="Fiction"/>
    <d v="2025-08-02T00:00:00"/>
    <d v="2025-08-06T00:00:00"/>
    <n v="1"/>
    <n v="98"/>
    <x v="1"/>
    <x v="2"/>
    <x v="3"/>
    <x v="1"/>
    <x v="9"/>
    <x v="5"/>
    <n v="4"/>
    <n v="49"/>
    <n v="98"/>
    <n v="49"/>
  </r>
  <r>
    <s v="Jeffrey Wood"/>
    <x v="4"/>
    <s v="Table Lamp"/>
    <d v="2025-02-26T00:00:00"/>
    <d v="2025-03-05T00:00:00"/>
    <n v="1"/>
    <n v="444"/>
    <x v="1"/>
    <x v="2"/>
    <x v="0"/>
    <x v="1"/>
    <x v="7"/>
    <x v="2"/>
    <n v="7"/>
    <n v="333"/>
    <n v="444"/>
    <n v="111"/>
  </r>
  <r>
    <s v="Samuel Rivas"/>
    <x v="1"/>
    <s v="Non-Fiction"/>
    <d v="2025-12-04T00:00:00"/>
    <d v="2025-12-10T00:00:00"/>
    <n v="5"/>
    <n v="858"/>
    <x v="0"/>
    <x v="1"/>
    <x v="3"/>
    <x v="1"/>
    <x v="6"/>
    <x v="3"/>
    <n v="6"/>
    <n v="2145"/>
    <n v="4290"/>
    <n v="2145"/>
  </r>
  <r>
    <s v="Daniel Salinas"/>
    <x v="1"/>
    <s v="Biography"/>
    <d v="2025-09-05T00:00:00"/>
    <d v="2025-09-15T00:00:00"/>
    <n v="6"/>
    <n v="914"/>
    <x v="0"/>
    <x v="0"/>
    <x v="3"/>
    <x v="1"/>
    <x v="8"/>
    <x v="6"/>
    <n v="10"/>
    <n v="3016"/>
    <n v="5484"/>
    <n v="2468"/>
  </r>
  <r>
    <s v="Michael West"/>
    <x v="0"/>
    <s v="Laptop"/>
    <d v="2025-10-05T00:00:00"/>
    <d v="2025-10-19T00:00:00"/>
    <n v="5"/>
    <n v="163"/>
    <x v="1"/>
    <x v="2"/>
    <x v="0"/>
    <x v="1"/>
    <x v="1"/>
    <x v="4"/>
    <n v="14"/>
    <n v="693"/>
    <n v="815"/>
    <n v="122"/>
  </r>
  <r>
    <s v="Elizabeth Ward"/>
    <x v="3"/>
    <s v="Juice"/>
    <d v="2025-11-25T00:00:00"/>
    <d v="2025-12-05T00:00:00"/>
    <n v="9"/>
    <n v="811"/>
    <x v="1"/>
    <x v="0"/>
    <x v="2"/>
    <x v="1"/>
    <x v="4"/>
    <x v="1"/>
    <n v="10"/>
    <n v="4014"/>
    <n v="7299"/>
    <n v="3285"/>
  </r>
  <r>
    <s v="Kristen Terry"/>
    <x v="3"/>
    <s v="Cereal"/>
    <d v="2025-11-05T00:00:00"/>
    <d v="2025-11-07T00:00:00"/>
    <n v="9"/>
    <n v="828"/>
    <x v="0"/>
    <x v="1"/>
    <x v="1"/>
    <x v="1"/>
    <x v="4"/>
    <x v="2"/>
    <n v="2"/>
    <n v="4099"/>
    <n v="7452"/>
    <n v="3353"/>
  </r>
  <r>
    <s v="David Grant"/>
    <x v="4"/>
    <s v="Wall Art"/>
    <d v="2025-02-18T00:00:00"/>
    <d v="2025-02-24T00:00:00"/>
    <n v="8"/>
    <n v="745"/>
    <x v="1"/>
    <x v="3"/>
    <x v="2"/>
    <x v="1"/>
    <x v="7"/>
    <x v="1"/>
    <n v="6"/>
    <n v="4172"/>
    <n v="5960"/>
    <n v="1788"/>
  </r>
  <r>
    <s v="Kevin Patterson"/>
    <x v="1"/>
    <s v="Biography"/>
    <d v="2025-09-04T00:00:00"/>
    <d v="2025-09-10T00:00:00"/>
    <n v="7"/>
    <n v="238"/>
    <x v="0"/>
    <x v="2"/>
    <x v="0"/>
    <x v="1"/>
    <x v="8"/>
    <x v="3"/>
    <n v="6"/>
    <n v="916"/>
    <n v="1666"/>
    <n v="750"/>
  </r>
  <r>
    <s v="Juan Moore"/>
    <x v="0"/>
    <s v="Smartphone"/>
    <d v="2025-12-12T00:00:00"/>
    <d v="2025-12-22T00:00:00"/>
    <n v="1"/>
    <n v="159"/>
    <x v="0"/>
    <x v="2"/>
    <x v="0"/>
    <x v="1"/>
    <x v="6"/>
    <x v="6"/>
    <n v="10"/>
    <n v="119"/>
    <n v="159"/>
    <n v="40"/>
  </r>
  <r>
    <s v="Dwayne Campbell"/>
    <x v="3"/>
    <s v="Juice"/>
    <d v="2025-05-16T00:00:00"/>
    <d v="2025-05-20T00:00:00"/>
    <n v="10"/>
    <n v="102"/>
    <x v="1"/>
    <x v="2"/>
    <x v="2"/>
    <x v="1"/>
    <x v="0"/>
    <x v="6"/>
    <n v="4"/>
    <n v="561"/>
    <n v="1020"/>
    <n v="459"/>
  </r>
  <r>
    <s v="Samantha Morse"/>
    <x v="3"/>
    <s v="Cereal"/>
    <d v="2025-12-06T00:00:00"/>
    <d v="2025-12-07T00:00:00"/>
    <n v="2"/>
    <n v="443"/>
    <x v="0"/>
    <x v="4"/>
    <x v="3"/>
    <x v="1"/>
    <x v="6"/>
    <x v="5"/>
    <n v="1"/>
    <n v="487"/>
    <n v="886"/>
    <n v="399"/>
  </r>
  <r>
    <s v="Kathryn Snyder"/>
    <x v="3"/>
    <s v="Milk"/>
    <d v="2025-02-23T00:00:00"/>
    <d v="2025-02-26T00:00:00"/>
    <n v="9"/>
    <n v="10"/>
    <x v="0"/>
    <x v="0"/>
    <x v="3"/>
    <x v="1"/>
    <x v="7"/>
    <x v="4"/>
    <n v="3"/>
    <n v="45"/>
    <n v="90"/>
    <n v="45"/>
  </r>
  <r>
    <s v="Alicia Hubbard"/>
    <x v="4"/>
    <s v="Vase"/>
    <d v="2025-10-12T00:00:00"/>
    <d v="2025-10-25T00:00:00"/>
    <n v="5"/>
    <n v="758"/>
    <x v="1"/>
    <x v="0"/>
    <x v="1"/>
    <x v="1"/>
    <x v="1"/>
    <x v="4"/>
    <n v="13"/>
    <n v="2843"/>
    <n v="3790"/>
    <n v="947"/>
  </r>
  <r>
    <s v="Tanya Kim"/>
    <x v="0"/>
    <s v="Smartphone"/>
    <d v="2025-08-27T00:00:00"/>
    <d v="2025-08-28T00:00:00"/>
    <n v="10"/>
    <n v="541"/>
    <x v="0"/>
    <x v="1"/>
    <x v="0"/>
    <x v="1"/>
    <x v="9"/>
    <x v="2"/>
    <n v="1"/>
    <n v="4058"/>
    <n v="5410"/>
    <n v="1352"/>
  </r>
  <r>
    <s v="Bruce Collier"/>
    <x v="4"/>
    <s v="Wall Art"/>
    <d v="2025-08-21T00:00:00"/>
    <d v="2025-08-22T00:00:00"/>
    <n v="1"/>
    <n v="46"/>
    <x v="0"/>
    <x v="1"/>
    <x v="2"/>
    <x v="1"/>
    <x v="9"/>
    <x v="3"/>
    <n v="1"/>
    <n v="32"/>
    <n v="46"/>
    <n v="14"/>
  </r>
  <r>
    <s v="Kimberly Gibson"/>
    <x v="4"/>
    <s v="Curtains"/>
    <d v="2025-07-19T00:00:00"/>
    <d v="2025-07-25T00:00:00"/>
    <n v="4"/>
    <n v="82"/>
    <x v="1"/>
    <x v="2"/>
    <x v="0"/>
    <x v="1"/>
    <x v="2"/>
    <x v="5"/>
    <n v="6"/>
    <n v="213"/>
    <n v="328"/>
    <n v="115"/>
  </r>
  <r>
    <s v="Robert Woods"/>
    <x v="3"/>
    <s v="Cereal"/>
    <d v="2025-12-17T00:00:00"/>
    <d v="2025-12-23T00:00:00"/>
    <n v="9"/>
    <n v="891"/>
    <x v="1"/>
    <x v="2"/>
    <x v="2"/>
    <x v="1"/>
    <x v="6"/>
    <x v="2"/>
    <n v="6"/>
    <n v="4410"/>
    <n v="8019"/>
    <n v="3609"/>
  </r>
  <r>
    <s v="Jane Mitchell"/>
    <x v="1"/>
    <s v="Non-Fiction"/>
    <d v="2025-05-02T00:00:00"/>
    <d v="2025-05-04T00:00:00"/>
    <n v="4"/>
    <n v="578"/>
    <x v="0"/>
    <x v="0"/>
    <x v="3"/>
    <x v="1"/>
    <x v="0"/>
    <x v="6"/>
    <n v="2"/>
    <n v="1156"/>
    <n v="2312"/>
    <n v="1156"/>
  </r>
  <r>
    <s v="Teresa Adkins"/>
    <x v="0"/>
    <s v="Camera"/>
    <d v="2025-04-16T00:00:00"/>
    <d v="2025-04-20T00:00:00"/>
    <n v="4"/>
    <n v="152"/>
    <x v="1"/>
    <x v="2"/>
    <x v="3"/>
    <x v="1"/>
    <x v="11"/>
    <x v="2"/>
    <n v="4"/>
    <n v="486"/>
    <n v="608"/>
    <n v="122"/>
  </r>
  <r>
    <s v="Randy Warren"/>
    <x v="2"/>
    <s v="Jeans"/>
    <d v="2025-02-10T00:00:00"/>
    <d v="2025-02-11T00:00:00"/>
    <n v="3"/>
    <n v="288"/>
    <x v="0"/>
    <x v="0"/>
    <x v="3"/>
    <x v="1"/>
    <x v="7"/>
    <x v="0"/>
    <n v="1"/>
    <n v="605"/>
    <n v="864"/>
    <n v="259"/>
  </r>
  <r>
    <s v="Brandon Parker"/>
    <x v="3"/>
    <s v="Cereal"/>
    <d v="2025-11-25T00:00:00"/>
    <d v="2025-12-03T00:00:00"/>
    <n v="1"/>
    <n v="321"/>
    <x v="0"/>
    <x v="1"/>
    <x v="0"/>
    <x v="1"/>
    <x v="4"/>
    <x v="1"/>
    <n v="8"/>
    <n v="177"/>
    <n v="321"/>
    <n v="144"/>
  </r>
  <r>
    <s v="Mark Williamson"/>
    <x v="4"/>
    <s v="Wall Art"/>
    <d v="2025-04-02T00:00:00"/>
    <d v="2025-04-12T00:00:00"/>
    <n v="7"/>
    <n v="356"/>
    <x v="0"/>
    <x v="1"/>
    <x v="1"/>
    <x v="1"/>
    <x v="11"/>
    <x v="2"/>
    <n v="10"/>
    <n v="1744"/>
    <n v="2492"/>
    <n v="748"/>
  </r>
  <r>
    <s v="Joseph Lopez"/>
    <x v="0"/>
    <s v="Camera"/>
    <d v="2025-03-10T00:00:00"/>
    <d v="2025-03-21T00:00:00"/>
    <n v="2"/>
    <n v="944"/>
    <x v="1"/>
    <x v="2"/>
    <x v="1"/>
    <x v="1"/>
    <x v="3"/>
    <x v="0"/>
    <n v="11"/>
    <n v="1510"/>
    <n v="1888"/>
    <n v="378"/>
  </r>
  <r>
    <s v="Ray Boyd"/>
    <x v="4"/>
    <s v="Table Lamp"/>
    <d v="2025-12-17T00:00:00"/>
    <d v="2025-12-27T00:00:00"/>
    <n v="10"/>
    <n v="172"/>
    <x v="0"/>
    <x v="3"/>
    <x v="1"/>
    <x v="1"/>
    <x v="6"/>
    <x v="2"/>
    <n v="10"/>
    <n v="1290"/>
    <n v="1720"/>
    <n v="430"/>
  </r>
  <r>
    <s v="Donald Wilson"/>
    <x v="2"/>
    <s v="Sneakers"/>
    <d v="2025-08-14T00:00:00"/>
    <d v="2025-08-16T00:00:00"/>
    <n v="7"/>
    <n v="70"/>
    <x v="0"/>
    <x v="4"/>
    <x v="3"/>
    <x v="1"/>
    <x v="9"/>
    <x v="3"/>
    <n v="2"/>
    <n v="368"/>
    <n v="490"/>
    <n v="122"/>
  </r>
  <r>
    <s v="Jonathan Parks"/>
    <x v="0"/>
    <s v="Camera"/>
    <d v="2025-09-19T00:00:00"/>
    <d v="2025-09-22T00:00:00"/>
    <n v="2"/>
    <n v="722"/>
    <x v="0"/>
    <x v="2"/>
    <x v="3"/>
    <x v="1"/>
    <x v="8"/>
    <x v="6"/>
    <n v="3"/>
    <n v="1155"/>
    <n v="1444"/>
    <n v="289"/>
  </r>
  <r>
    <s v="Ashley Freeman"/>
    <x v="3"/>
    <s v="Juice"/>
    <d v="2025-12-11T00:00:00"/>
    <d v="2025-12-19T00:00:00"/>
    <n v="2"/>
    <n v="876"/>
    <x v="1"/>
    <x v="4"/>
    <x v="0"/>
    <x v="1"/>
    <x v="6"/>
    <x v="3"/>
    <n v="8"/>
    <n v="964"/>
    <n v="1752"/>
    <n v="788"/>
  </r>
  <r>
    <s v="Kimberly Gibson"/>
    <x v="2"/>
    <s v="Sneakers"/>
    <d v="2025-05-10T00:00:00"/>
    <d v="2025-05-17T00:00:00"/>
    <n v="8"/>
    <n v="281"/>
    <x v="0"/>
    <x v="3"/>
    <x v="2"/>
    <x v="1"/>
    <x v="0"/>
    <x v="5"/>
    <n v="7"/>
    <n v="1686"/>
    <n v="2248"/>
    <n v="562"/>
  </r>
  <r>
    <s v="Dawn Diaz"/>
    <x v="0"/>
    <s v="Headphones"/>
    <d v="2025-04-10T00:00:00"/>
    <d v="2025-04-17T00:00:00"/>
    <n v="7"/>
    <n v="390"/>
    <x v="1"/>
    <x v="4"/>
    <x v="3"/>
    <x v="1"/>
    <x v="11"/>
    <x v="3"/>
    <n v="7"/>
    <n v="1775"/>
    <n v="2730"/>
    <n v="955"/>
  </r>
  <r>
    <s v="Morgan Davenport"/>
    <x v="4"/>
    <s v="Table Lamp"/>
    <d v="2025-10-04T00:00:00"/>
    <d v="2025-10-10T00:00:00"/>
    <n v="5"/>
    <n v="953"/>
    <x v="0"/>
    <x v="1"/>
    <x v="2"/>
    <x v="1"/>
    <x v="1"/>
    <x v="5"/>
    <n v="6"/>
    <n v="3574"/>
    <n v="4765"/>
    <n v="1191"/>
  </r>
  <r>
    <s v="Theresa Hansen"/>
    <x v="4"/>
    <s v="Curtains"/>
    <d v="2025-01-09T00:00:00"/>
    <d v="2025-01-21T00:00:00"/>
    <n v="6"/>
    <n v="323"/>
    <x v="1"/>
    <x v="4"/>
    <x v="0"/>
    <x v="1"/>
    <x v="10"/>
    <x v="3"/>
    <n v="12"/>
    <n v="1260"/>
    <n v="1938"/>
    <n v="678"/>
  </r>
  <r>
    <s v="Krista Shea"/>
    <x v="4"/>
    <s v="Wall Art"/>
    <d v="2025-02-25T00:00:00"/>
    <d v="2025-03-01T00:00:00"/>
    <n v="3"/>
    <n v="380"/>
    <x v="0"/>
    <x v="1"/>
    <x v="3"/>
    <x v="1"/>
    <x v="7"/>
    <x v="1"/>
    <n v="4"/>
    <n v="798"/>
    <n v="1140"/>
    <n v="342"/>
  </r>
  <r>
    <s v="Rebecca Thompson"/>
    <x v="1"/>
    <s v="Fiction"/>
    <d v="2025-08-28T00:00:00"/>
    <d v="2025-09-05T00:00:00"/>
    <n v="10"/>
    <n v="509"/>
    <x v="1"/>
    <x v="4"/>
    <x v="0"/>
    <x v="1"/>
    <x v="9"/>
    <x v="3"/>
    <n v="8"/>
    <n v="2545"/>
    <n v="5090"/>
    <n v="2545"/>
  </r>
  <r>
    <s v="Donald Schultz"/>
    <x v="3"/>
    <s v="Cereal"/>
    <d v="2025-03-27T00:00:00"/>
    <d v="2025-04-01T00:00:00"/>
    <n v="1"/>
    <n v="968"/>
    <x v="0"/>
    <x v="3"/>
    <x v="2"/>
    <x v="1"/>
    <x v="3"/>
    <x v="3"/>
    <n v="5"/>
    <n v="532"/>
    <n v="968"/>
    <n v="436"/>
  </r>
  <r>
    <s v="Mona France "/>
    <x v="0"/>
    <s v="Curtains"/>
    <d v="2024-04-01T00:00:00"/>
    <d v="2024-04-13T00:00:00"/>
    <n v="2"/>
    <n v="180"/>
    <x v="1"/>
    <x v="5"/>
    <x v="3"/>
    <x v="0"/>
    <x v="11"/>
    <x v="0"/>
    <n v="12"/>
    <n v="234"/>
    <n v="360"/>
    <n v="126"/>
  </r>
  <r>
    <s v="John Legend"/>
    <x v="0"/>
    <s v="Curtains"/>
    <d v="2024-04-02T00:00:00"/>
    <d v="2024-04-13T00:00:00"/>
    <n v="3"/>
    <n v="240"/>
    <x v="1"/>
    <x v="5"/>
    <x v="2"/>
    <x v="0"/>
    <x v="11"/>
    <x v="1"/>
    <n v="11"/>
    <n v="468"/>
    <n v="720"/>
    <n v="252"/>
  </r>
  <r>
    <s v="Yoro Yui"/>
    <x v="1"/>
    <s v="Biography"/>
    <d v="2024-04-03T00:00:00"/>
    <d v="2024-04-14T00:00:00"/>
    <n v="4"/>
    <n v="220"/>
    <x v="0"/>
    <x v="2"/>
    <x v="3"/>
    <x v="0"/>
    <x v="11"/>
    <x v="2"/>
    <n v="11"/>
    <n v="484"/>
    <n v="880"/>
    <n v="396"/>
  </r>
  <r>
    <s v="Miya kollar"/>
    <x v="0"/>
    <s v="Camera"/>
    <d v="2024-04-03T00:00:00"/>
    <d v="2024-05-15T00:00:00"/>
    <n v="5"/>
    <n v="220"/>
    <x v="0"/>
    <x v="5"/>
    <x v="1"/>
    <x v="0"/>
    <x v="11"/>
    <x v="2"/>
    <n v="42"/>
    <n v="880"/>
    <n v="1100"/>
    <n v="220"/>
  </r>
  <r>
    <s v="John"/>
    <x v="0"/>
    <s v="Curtains"/>
    <d v="2024-04-01T00:00:00"/>
    <d v="2024-04-12T00:00:00"/>
    <n v="2"/>
    <n v="220"/>
    <x v="1"/>
    <x v="5"/>
    <x v="3"/>
    <x v="0"/>
    <x v="11"/>
    <x v="0"/>
    <n v="11"/>
    <n v="286"/>
    <n v="440"/>
    <n v="15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3B19F01-8C38-44A3-8EEB-A6159F286202}" name="Ordertable "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53:C66" firstHeaderRow="1" firstDataRow="1" firstDataCol="1"/>
  <pivotFields count="17">
    <pivotField dataField="1" showAll="0"/>
    <pivotField showAll="0"/>
    <pivotField showAll="0"/>
    <pivotField numFmtId="14" showAll="0"/>
    <pivotField showAll="0"/>
    <pivotField showAll="0"/>
    <pivotField showAll="0"/>
    <pivotField showAll="0"/>
    <pivotField showAll="0"/>
    <pivotField showAll="0"/>
    <pivotField showAll="0">
      <items count="3">
        <item x="0"/>
        <item x="1"/>
        <item t="default"/>
      </items>
    </pivotField>
    <pivotField axis="axisRow" showAll="0">
      <items count="13">
        <item x="10"/>
        <item x="7"/>
        <item x="3"/>
        <item x="11"/>
        <item x="0"/>
        <item x="5"/>
        <item x="2"/>
        <item x="9"/>
        <item x="8"/>
        <item x="1"/>
        <item x="4"/>
        <item x="6"/>
        <item t="default"/>
      </items>
    </pivotField>
    <pivotField showAll="0"/>
    <pivotField showAll="0"/>
    <pivotField showAll="0"/>
    <pivotField showAll="0"/>
    <pivotField showAll="0"/>
  </pivotFields>
  <rowFields count="1">
    <field x="11"/>
  </rowFields>
  <rowItems count="13">
    <i>
      <x/>
    </i>
    <i>
      <x v="1"/>
    </i>
    <i>
      <x v="2"/>
    </i>
    <i>
      <x v="3"/>
    </i>
    <i>
      <x v="4"/>
    </i>
    <i>
      <x v="5"/>
    </i>
    <i>
      <x v="6"/>
    </i>
    <i>
      <x v="7"/>
    </i>
    <i>
      <x v="8"/>
    </i>
    <i>
      <x v="9"/>
    </i>
    <i>
      <x v="10"/>
    </i>
    <i>
      <x v="11"/>
    </i>
    <i t="grand">
      <x/>
    </i>
  </rowItems>
  <colItems count="1">
    <i/>
  </colItems>
  <dataFields count="1">
    <dataField name="Count of Customer Name" fld="0" subtotal="count" baseField="0" baseItem="0"/>
  </dataFields>
  <formats count="2">
    <format dxfId="9">
      <pivotArea type="all" dataOnly="0" outline="0" fieldPosition="0"/>
    </format>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658B72B-29EF-4743-9EAF-2BBD74FCECA0}" name="PivotTable1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1">
  <location ref="R89:S94" firstHeaderRow="1" firstDataRow="1" firstDataCol="1" rowPageCount="1" colPageCount="1"/>
  <pivotFields count="17">
    <pivotField showAll="0"/>
    <pivotField showAll="0">
      <items count="6">
        <item x="2"/>
        <item x="1"/>
        <item x="0"/>
        <item x="3"/>
        <item x="4"/>
        <item t="default"/>
      </items>
    </pivotField>
    <pivotField showAll="0"/>
    <pivotField numFmtId="14" showAll="0"/>
    <pivotField showAll="0"/>
    <pivotField showAll="0"/>
    <pivotField showAll="0"/>
    <pivotField axis="axisPage" showAll="0">
      <items count="4">
        <item x="0"/>
        <item x="1"/>
        <item m="1" x="2"/>
        <item t="default"/>
      </items>
    </pivotField>
    <pivotField showAll="0">
      <items count="8">
        <item h="1" x="6"/>
        <item x="0"/>
        <item h="1" x="5"/>
        <item h="1" x="2"/>
        <item h="1" x="3"/>
        <item h="1" x="1"/>
        <item h="1" x="4"/>
        <item t="default"/>
      </items>
    </pivotField>
    <pivotField axis="axisRow" dataField="1" showAll="0">
      <items count="5">
        <item x="3"/>
        <item x="2"/>
        <item x="1"/>
        <item x="0"/>
        <item t="default"/>
      </items>
    </pivotField>
    <pivotField showAll="0">
      <items count="3">
        <item x="0"/>
        <item x="1"/>
        <item t="default"/>
      </items>
    </pivotField>
    <pivotField showAll="0">
      <items count="13">
        <item h="1" x="10"/>
        <item h="1" x="7"/>
        <item h="1" x="3"/>
        <item x="11"/>
        <item x="0"/>
        <item x="5"/>
        <item x="2"/>
        <item x="9"/>
        <item h="1" x="8"/>
        <item h="1" x="1"/>
        <item h="1" x="4"/>
        <item h="1" x="6"/>
        <item t="default"/>
      </items>
    </pivotField>
    <pivotField showAll="0"/>
    <pivotField showAll="0"/>
    <pivotField showAll="0"/>
    <pivotField showAll="0"/>
    <pivotField showAll="0"/>
  </pivotFields>
  <rowFields count="1">
    <field x="9"/>
  </rowFields>
  <rowItems count="5">
    <i>
      <x/>
    </i>
    <i>
      <x v="1"/>
    </i>
    <i>
      <x v="2"/>
    </i>
    <i>
      <x v="3"/>
    </i>
    <i t="grand">
      <x/>
    </i>
  </rowItems>
  <colItems count="1">
    <i/>
  </colItems>
  <pageFields count="1">
    <pageField fld="7" item="0" hier="-1"/>
  </pageFields>
  <dataFields count="1">
    <dataField name="Count of Payment Method" fld="9" subtotal="count" baseField="0" baseItem="0"/>
  </dataFields>
  <formats count="2">
    <format dxfId="11">
      <pivotArea type="all" dataOnly="0" outline="0" fieldPosition="0"/>
    </format>
    <format dxfId="10">
      <pivotArea outline="0" collapsedLevelsAreSubtotals="1" fieldPosition="0"/>
    </format>
  </formats>
  <chartFormats count="15">
    <chartFormat chart="43" format="0" series="1">
      <pivotArea type="data" outline="0" fieldPosition="0">
        <references count="1">
          <reference field="4294967294" count="1" selected="0">
            <x v="0"/>
          </reference>
        </references>
      </pivotArea>
    </chartFormat>
    <chartFormat chart="43" format="1">
      <pivotArea type="data" outline="0" fieldPosition="0">
        <references count="2">
          <reference field="4294967294" count="1" selected="0">
            <x v="0"/>
          </reference>
          <reference field="9" count="1" selected="0">
            <x v="0"/>
          </reference>
        </references>
      </pivotArea>
    </chartFormat>
    <chartFormat chart="43" format="2">
      <pivotArea type="data" outline="0" fieldPosition="0">
        <references count="2">
          <reference field="4294967294" count="1" selected="0">
            <x v="0"/>
          </reference>
          <reference field="9" count="1" selected="0">
            <x v="1"/>
          </reference>
        </references>
      </pivotArea>
    </chartFormat>
    <chartFormat chart="43" format="3">
      <pivotArea type="data" outline="0" fieldPosition="0">
        <references count="2">
          <reference field="4294967294" count="1" selected="0">
            <x v="0"/>
          </reference>
          <reference field="9" count="1" selected="0">
            <x v="2"/>
          </reference>
        </references>
      </pivotArea>
    </chartFormat>
    <chartFormat chart="43" format="4">
      <pivotArea type="data" outline="0" fieldPosition="0">
        <references count="2">
          <reference field="4294967294" count="1" selected="0">
            <x v="0"/>
          </reference>
          <reference field="9" count="1" selected="0">
            <x v="3"/>
          </reference>
        </references>
      </pivotArea>
    </chartFormat>
    <chartFormat chart="49" format="5" series="1">
      <pivotArea type="data" outline="0" fieldPosition="0">
        <references count="1">
          <reference field="4294967294" count="1" selected="0">
            <x v="0"/>
          </reference>
        </references>
      </pivotArea>
    </chartFormat>
    <chartFormat chart="49" format="6">
      <pivotArea type="data" outline="0" fieldPosition="0">
        <references count="2">
          <reference field="4294967294" count="1" selected="0">
            <x v="0"/>
          </reference>
          <reference field="9" count="1" selected="0">
            <x v="0"/>
          </reference>
        </references>
      </pivotArea>
    </chartFormat>
    <chartFormat chart="49" format="7">
      <pivotArea type="data" outline="0" fieldPosition="0">
        <references count="2">
          <reference field="4294967294" count="1" selected="0">
            <x v="0"/>
          </reference>
          <reference field="9" count="1" selected="0">
            <x v="1"/>
          </reference>
        </references>
      </pivotArea>
    </chartFormat>
    <chartFormat chart="49" format="8">
      <pivotArea type="data" outline="0" fieldPosition="0">
        <references count="2">
          <reference field="4294967294" count="1" selected="0">
            <x v="0"/>
          </reference>
          <reference field="9" count="1" selected="0">
            <x v="2"/>
          </reference>
        </references>
      </pivotArea>
    </chartFormat>
    <chartFormat chart="49" format="9">
      <pivotArea type="data" outline="0" fieldPosition="0">
        <references count="2">
          <reference field="4294967294" count="1" selected="0">
            <x v="0"/>
          </reference>
          <reference field="9" count="1" selected="0">
            <x v="3"/>
          </reference>
        </references>
      </pivotArea>
    </chartFormat>
    <chartFormat chart="50" format="10" series="1">
      <pivotArea type="data" outline="0" fieldPosition="0">
        <references count="1">
          <reference field="4294967294" count="1" selected="0">
            <x v="0"/>
          </reference>
        </references>
      </pivotArea>
    </chartFormat>
    <chartFormat chart="50" format="11">
      <pivotArea type="data" outline="0" fieldPosition="0">
        <references count="2">
          <reference field="4294967294" count="1" selected="0">
            <x v="0"/>
          </reference>
          <reference field="9" count="1" selected="0">
            <x v="0"/>
          </reference>
        </references>
      </pivotArea>
    </chartFormat>
    <chartFormat chart="50" format="12">
      <pivotArea type="data" outline="0" fieldPosition="0">
        <references count="2">
          <reference field="4294967294" count="1" selected="0">
            <x v="0"/>
          </reference>
          <reference field="9" count="1" selected="0">
            <x v="1"/>
          </reference>
        </references>
      </pivotArea>
    </chartFormat>
    <chartFormat chart="50" format="13">
      <pivotArea type="data" outline="0" fieldPosition="0">
        <references count="2">
          <reference field="4294967294" count="1" selected="0">
            <x v="0"/>
          </reference>
          <reference field="9" count="1" selected="0">
            <x v="2"/>
          </reference>
        </references>
      </pivotArea>
    </chartFormat>
    <chartFormat chart="50" format="14">
      <pivotArea type="data" outline="0" fieldPosition="0">
        <references count="2">
          <reference field="4294967294" count="1" selected="0">
            <x v="0"/>
          </reference>
          <reference field="9"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4470F0D-20DF-466B-A286-1FFA6EB1119E}" name="Country "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1">
  <location ref="L94:M96" firstHeaderRow="1" firstDataRow="1" firstDataCol="1" rowPageCount="1" colPageCount="1"/>
  <pivotFields count="17">
    <pivotField showAll="0"/>
    <pivotField showAll="0">
      <items count="6">
        <item x="2"/>
        <item x="1"/>
        <item x="0"/>
        <item x="3"/>
        <item x="4"/>
        <item t="default"/>
      </items>
    </pivotField>
    <pivotField showAll="0"/>
    <pivotField numFmtId="14" showAll="0"/>
    <pivotField showAll="0"/>
    <pivotField showAll="0"/>
    <pivotField showAll="0"/>
    <pivotField axis="axisPage" showAll="0">
      <items count="4">
        <item x="0"/>
        <item x="1"/>
        <item m="1" x="2"/>
        <item t="default"/>
      </items>
    </pivotField>
    <pivotField axis="axisRow" showAll="0">
      <items count="8">
        <item h="1" x="6"/>
        <item x="0"/>
        <item h="1" x="5"/>
        <item h="1" x="2"/>
        <item h="1" x="3"/>
        <item h="1" x="1"/>
        <item h="1" x="4"/>
        <item t="default"/>
      </items>
    </pivotField>
    <pivotField showAll="0"/>
    <pivotField showAll="0">
      <items count="3">
        <item x="0"/>
        <item x="1"/>
        <item t="default"/>
      </items>
    </pivotField>
    <pivotField showAll="0">
      <items count="13">
        <item h="1" x="10"/>
        <item h="1" x="7"/>
        <item h="1" x="3"/>
        <item x="11"/>
        <item x="0"/>
        <item x="5"/>
        <item x="2"/>
        <item x="9"/>
        <item h="1" x="8"/>
        <item h="1" x="1"/>
        <item h="1" x="4"/>
        <item h="1" x="6"/>
        <item t="default"/>
      </items>
    </pivotField>
    <pivotField showAll="0"/>
    <pivotField showAll="0"/>
    <pivotField showAll="0"/>
    <pivotField dataField="1" showAll="0"/>
    <pivotField showAll="0"/>
  </pivotFields>
  <rowFields count="1">
    <field x="8"/>
  </rowFields>
  <rowItems count="2">
    <i>
      <x v="1"/>
    </i>
    <i t="grand">
      <x/>
    </i>
  </rowItems>
  <colItems count="1">
    <i/>
  </colItems>
  <pageFields count="1">
    <pageField fld="7" item="0" hier="-1"/>
  </pageFields>
  <dataFields count="1">
    <dataField name="Sum of Sales Revenue" fld="15" baseField="0" baseItem="0"/>
  </dataFields>
  <formats count="3">
    <format dxfId="14">
      <pivotArea type="all" dataOnly="0" outline="0" fieldPosition="0"/>
    </format>
    <format dxfId="13">
      <pivotArea outline="0" collapsedLevelsAreSubtotals="1" fieldPosition="0"/>
    </format>
    <format dxfId="12">
      <pivotArea collapsedLevelsAreSubtotals="1" fieldPosition="0">
        <references count="1">
          <reference field="8"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F0369F-B8C9-4B0B-BC43-C60B1421EE48}" name="Month"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7:A43" firstHeaderRow="1" firstDataRow="1" firstDataCol="1"/>
  <pivotFields count="17">
    <pivotField showAll="0"/>
    <pivotField showAll="0">
      <items count="6">
        <item x="2"/>
        <item x="1"/>
        <item x="0"/>
        <item x="3"/>
        <item x="4"/>
        <item t="default"/>
      </items>
    </pivotField>
    <pivotField showAll="0"/>
    <pivotField numFmtId="14" showAll="0"/>
    <pivotField showAll="0"/>
    <pivotField showAll="0"/>
    <pivotField showAll="0"/>
    <pivotField showAll="0"/>
    <pivotField showAll="0"/>
    <pivotField showAll="0"/>
    <pivotField showAll="0">
      <items count="3">
        <item x="0"/>
        <item x="1"/>
        <item t="default"/>
      </items>
    </pivotField>
    <pivotField axis="axisRow" showAll="0">
      <items count="13">
        <item h="1" x="10"/>
        <item h="1" x="7"/>
        <item h="1" x="3"/>
        <item x="11"/>
        <item x="0"/>
        <item x="5"/>
        <item x="2"/>
        <item x="9"/>
        <item h="1" x="8"/>
        <item h="1" x="1"/>
        <item h="1" x="4"/>
        <item h="1" x="6"/>
        <item t="default"/>
      </items>
    </pivotField>
    <pivotField showAll="0"/>
    <pivotField showAll="0"/>
    <pivotField showAll="0"/>
    <pivotField showAll="0"/>
    <pivotField showAll="0"/>
  </pivotFields>
  <rowFields count="1">
    <field x="11"/>
  </rowFields>
  <rowItems count="6">
    <i>
      <x v="3"/>
    </i>
    <i>
      <x v="4"/>
    </i>
    <i>
      <x v="5"/>
    </i>
    <i>
      <x v="6"/>
    </i>
    <i>
      <x v="7"/>
    </i>
    <i t="grand">
      <x/>
    </i>
  </rowItems>
  <colItems count="1">
    <i/>
  </colItems>
  <formats count="2">
    <format dxfId="16">
      <pivotArea type="all" dataOnly="0" outline="0" fieldPosition="0"/>
    </format>
    <format dxfId="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0EE93EF-75DB-4A31-89F9-0D7817D8CDBF}" name="KPI 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4" firstHeaderRow="0" firstDataRow="1" firstDataCol="0" rowPageCount="1" colPageCount="1"/>
  <pivotFields count="17">
    <pivotField showAll="0"/>
    <pivotField showAll="0"/>
    <pivotField showAll="0"/>
    <pivotField numFmtId="14" showAll="0"/>
    <pivotField showAll="0"/>
    <pivotField showAll="0"/>
    <pivotField showAll="0"/>
    <pivotField axis="axisPage" showAll="0">
      <items count="4">
        <item x="0"/>
        <item x="1"/>
        <item m="1" x="2"/>
        <item t="default"/>
      </items>
    </pivotField>
    <pivotField showAll="0">
      <items count="8">
        <item h="1" x="6"/>
        <item x="0"/>
        <item h="1" x="5"/>
        <item h="1" x="2"/>
        <item h="1" x="3"/>
        <item h="1" x="1"/>
        <item h="1" x="4"/>
        <item t="default"/>
      </items>
    </pivotField>
    <pivotField showAll="0"/>
    <pivotField showAll="0">
      <items count="3">
        <item x="0"/>
        <item x="1"/>
        <item t="default"/>
      </items>
    </pivotField>
    <pivotField showAll="0">
      <items count="13">
        <item h="1" x="10"/>
        <item h="1" x="7"/>
        <item h="1" x="3"/>
        <item x="11"/>
        <item x="0"/>
        <item x="5"/>
        <item x="2"/>
        <item x="9"/>
        <item h="1" x="8"/>
        <item h="1" x="1"/>
        <item h="1" x="4"/>
        <item h="1" x="6"/>
        <item t="default"/>
      </items>
    </pivotField>
    <pivotField showAll="0"/>
    <pivotField showAll="0"/>
    <pivotField dataField="1" showAll="0"/>
    <pivotField dataField="1" showAll="0"/>
    <pivotField dataField="1" showAll="0"/>
  </pivotFields>
  <rowItems count="1">
    <i/>
  </rowItems>
  <colFields count="1">
    <field x="-2"/>
  </colFields>
  <colItems count="3">
    <i>
      <x/>
    </i>
    <i i="1">
      <x v="1"/>
    </i>
    <i i="2">
      <x v="2"/>
    </i>
  </colItems>
  <pageFields count="1">
    <pageField fld="7" item="0" hier="-1"/>
  </pageFields>
  <dataFields count="3">
    <dataField name="Sum of Total cost" fld="14" baseField="0" baseItem="0"/>
    <dataField name="Sum of Net Profit" fld="16" baseField="0" baseItem="0"/>
    <dataField name="Sum of Sales Revenue" fld="1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B7D4D5C-1AEB-4E69-B451-ECE91AD13EEE}" name="PivotTable10"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6">
  <location ref="F73:I79" firstHeaderRow="0" firstDataRow="1" firstDataCol="1" rowPageCount="1" colPageCount="1"/>
  <pivotFields count="17">
    <pivotField showAll="0"/>
    <pivotField showAll="0">
      <items count="6">
        <item x="2"/>
        <item x="1"/>
        <item x="0"/>
        <item x="3"/>
        <item x="4"/>
        <item t="default"/>
      </items>
    </pivotField>
    <pivotField showAll="0"/>
    <pivotField numFmtId="14" showAll="0"/>
    <pivotField showAll="0"/>
    <pivotField showAll="0"/>
    <pivotField showAll="0"/>
    <pivotField axis="axisPage" showAll="0">
      <items count="4">
        <item x="0"/>
        <item x="1"/>
        <item m="1" x="2"/>
        <item t="default"/>
      </items>
    </pivotField>
    <pivotField showAll="0">
      <items count="8">
        <item h="1" x="6"/>
        <item x="0"/>
        <item h="1" x="5"/>
        <item h="1" x="2"/>
        <item h="1" x="3"/>
        <item h="1" x="1"/>
        <item h="1" x="4"/>
        <item t="default"/>
      </items>
    </pivotField>
    <pivotField showAll="0"/>
    <pivotField showAll="0">
      <items count="3">
        <item x="0"/>
        <item x="1"/>
        <item t="default"/>
      </items>
    </pivotField>
    <pivotField axis="axisRow" showAll="0">
      <items count="13">
        <item h="1" x="10"/>
        <item h="1" x="7"/>
        <item h="1" x="3"/>
        <item x="11"/>
        <item x="0"/>
        <item x="5"/>
        <item x="2"/>
        <item x="9"/>
        <item h="1" x="8"/>
        <item h="1" x="1"/>
        <item h="1" x="4"/>
        <item h="1" x="6"/>
        <item t="default"/>
      </items>
    </pivotField>
    <pivotField showAll="0"/>
    <pivotField showAll="0"/>
    <pivotField dataField="1" showAll="0"/>
    <pivotField dataField="1" showAll="0"/>
    <pivotField dataField="1" showAll="0"/>
  </pivotFields>
  <rowFields count="1">
    <field x="11"/>
  </rowFields>
  <rowItems count="6">
    <i>
      <x v="3"/>
    </i>
    <i>
      <x v="4"/>
    </i>
    <i>
      <x v="5"/>
    </i>
    <i>
      <x v="6"/>
    </i>
    <i>
      <x v="7"/>
    </i>
    <i t="grand">
      <x/>
    </i>
  </rowItems>
  <colFields count="1">
    <field x="-2"/>
  </colFields>
  <colItems count="3">
    <i>
      <x/>
    </i>
    <i i="1">
      <x v="1"/>
    </i>
    <i i="2">
      <x v="2"/>
    </i>
  </colItems>
  <pageFields count="1">
    <pageField fld="7" item="0" hier="-1"/>
  </pageFields>
  <dataFields count="3">
    <dataField name="Sales Revenue " fld="15" baseField="1" baseItem="0"/>
    <dataField name="Net Profit " fld="16" baseField="1" baseItem="0"/>
    <dataField name="Total cost " fld="14" baseField="1" baseItem="0"/>
  </dataFields>
  <formats count="2">
    <format dxfId="18">
      <pivotArea type="all" dataOnly="0" outline="0" fieldPosition="0"/>
    </format>
    <format dxfId="17">
      <pivotArea outline="0" collapsedLevelsAreSubtotals="1" fieldPosition="0"/>
    </format>
  </formats>
  <chartFormats count="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8" format="6" series="1">
      <pivotArea type="data" outline="0" fieldPosition="0">
        <references count="1">
          <reference field="4294967294" count="1" selected="0">
            <x v="0"/>
          </reference>
        </references>
      </pivotArea>
    </chartFormat>
    <chartFormat chart="8" format="7" series="1">
      <pivotArea type="data" outline="0" fieldPosition="0">
        <references count="1">
          <reference field="4294967294" count="1" selected="0">
            <x v="1"/>
          </reference>
        </references>
      </pivotArea>
    </chartFormat>
    <chartFormat chart="8" format="8" series="1">
      <pivotArea type="data" outline="0" fieldPosition="0">
        <references count="1">
          <reference field="4294967294" count="1" selected="0">
            <x v="2"/>
          </reference>
        </references>
      </pivotArea>
    </chartFormat>
    <chartFormat chart="23" format="6" series="1">
      <pivotArea type="data" outline="0" fieldPosition="0">
        <references count="1">
          <reference field="4294967294" count="1" selected="0">
            <x v="0"/>
          </reference>
        </references>
      </pivotArea>
    </chartFormat>
    <chartFormat chart="23"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243CC18-897E-445C-AB4F-35D6AA427022}" name="PivotTable1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1">
  <location ref="R74:S82" firstHeaderRow="1" firstDataRow="1" firstDataCol="1" rowPageCount="1" colPageCount="1"/>
  <pivotFields count="17">
    <pivotField showAll="0"/>
    <pivotField showAll="0">
      <items count="6">
        <item x="2"/>
        <item x="1"/>
        <item x="0"/>
        <item x="3"/>
        <item x="4"/>
        <item t="default"/>
      </items>
    </pivotField>
    <pivotField showAll="0"/>
    <pivotField numFmtId="14" showAll="0"/>
    <pivotField showAll="0"/>
    <pivotField showAll="0"/>
    <pivotField showAll="0"/>
    <pivotField axis="axisPage" showAll="0">
      <items count="4">
        <item x="0"/>
        <item x="1"/>
        <item m="1" x="2"/>
        <item t="default"/>
      </items>
    </pivotField>
    <pivotField showAll="0">
      <items count="8">
        <item h="1" x="6"/>
        <item x="0"/>
        <item h="1" x="5"/>
        <item h="1" x="2"/>
        <item h="1" x="3"/>
        <item h="1" x="1"/>
        <item h="1" x="4"/>
        <item t="default"/>
      </items>
    </pivotField>
    <pivotField showAll="0"/>
    <pivotField showAll="0">
      <items count="3">
        <item x="0"/>
        <item x="1"/>
        <item t="default"/>
      </items>
    </pivotField>
    <pivotField showAll="0">
      <items count="13">
        <item h="1" x="10"/>
        <item h="1" x="7"/>
        <item h="1" x="3"/>
        <item x="11"/>
        <item x="0"/>
        <item x="5"/>
        <item x="2"/>
        <item x="9"/>
        <item h="1" x="8"/>
        <item h="1" x="1"/>
        <item h="1" x="4"/>
        <item h="1" x="6"/>
        <item t="default"/>
      </items>
    </pivotField>
    <pivotField axis="axisRow" showAll="0">
      <items count="8">
        <item x="4"/>
        <item x="0"/>
        <item x="1"/>
        <item x="2"/>
        <item x="3"/>
        <item x="6"/>
        <item x="5"/>
        <item t="default"/>
      </items>
    </pivotField>
    <pivotField showAll="0"/>
    <pivotField showAll="0"/>
    <pivotField dataField="1" showAll="0"/>
    <pivotField showAll="0"/>
  </pivotFields>
  <rowFields count="1">
    <field x="12"/>
  </rowFields>
  <rowItems count="8">
    <i>
      <x/>
    </i>
    <i>
      <x v="1"/>
    </i>
    <i>
      <x v="2"/>
    </i>
    <i>
      <x v="3"/>
    </i>
    <i>
      <x v="4"/>
    </i>
    <i>
      <x v="5"/>
    </i>
    <i>
      <x v="6"/>
    </i>
    <i t="grand">
      <x/>
    </i>
  </rowItems>
  <colItems count="1">
    <i/>
  </colItems>
  <pageFields count="1">
    <pageField fld="7" item="0" hier="-1"/>
  </pageFields>
  <dataFields count="1">
    <dataField name="Sales Revenue " fld="15" baseField="1" baseItem="0"/>
  </dataFields>
  <formats count="2">
    <format dxfId="20">
      <pivotArea type="all" dataOnly="0" outline="0" fieldPosition="0"/>
    </format>
    <format dxfId="19">
      <pivotArea outline="0" collapsedLevelsAreSubtotals="1" fieldPosition="0"/>
    </format>
  </formats>
  <chartFormats count="9">
    <chartFormat chart="0" format="0" series="1">
      <pivotArea type="data" outline="0" fieldPosition="0">
        <references count="1">
          <reference field="4294967294" count="1" selected="0">
            <x v="0"/>
          </reference>
        </references>
      </pivotArea>
    </chartFormat>
    <chartFormat chart="8" format="6" series="1">
      <pivotArea type="data" outline="0" fieldPosition="0">
        <references count="1">
          <reference field="4294967294" count="1" selected="0">
            <x v="0"/>
          </reference>
        </references>
      </pivotArea>
    </chartFormat>
    <chartFormat chart="11" format="0"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0"/>
          </reference>
        </references>
      </pivotArea>
    </chartFormat>
    <chartFormat chart="19" format="0" series="1">
      <pivotArea type="data" outline="0" fieldPosition="0">
        <references count="1">
          <reference field="4294967294" count="1" selected="0">
            <x v="0"/>
          </reference>
        </references>
      </pivotArea>
    </chartFormat>
    <chartFormat chart="23" format="6" series="1">
      <pivotArea type="data" outline="0" fieldPosition="0">
        <references count="1">
          <reference field="4294967294" count="1" selected="0">
            <x v="0"/>
          </reference>
        </references>
      </pivotArea>
    </chartFormat>
    <chartFormat chart="29" format="0" series="1">
      <pivotArea type="data" outline="0" fieldPosition="0">
        <references count="1">
          <reference field="4294967294" count="1" selected="0">
            <x v="0"/>
          </reference>
        </references>
      </pivotArea>
    </chartFormat>
    <chartFormat chart="29" format="1">
      <pivotArea type="data" outline="0" fieldPosition="0">
        <references count="2">
          <reference field="4294967294" count="1" selected="0">
            <x v="0"/>
          </reference>
          <reference field="12" count="1" selected="0">
            <x v="2"/>
          </reference>
        </references>
      </pivotArea>
    </chartFormat>
    <chartFormat chart="36"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910B156-2254-4EFA-8662-4C80BCE60454}" name="KPI 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3:G4" firstHeaderRow="1" firstDataRow="1" firstDataCol="0"/>
  <pivotFields count="17">
    <pivotField dataField="1" showAll="0"/>
    <pivotField showAll="0"/>
    <pivotField showAll="0"/>
    <pivotField numFmtId="14" showAll="0"/>
    <pivotField showAll="0"/>
    <pivotField showAll="0"/>
    <pivotField showAll="0"/>
    <pivotField showAll="0"/>
    <pivotField showAll="0">
      <items count="8">
        <item h="1" x="6"/>
        <item x="0"/>
        <item h="1" x="5"/>
        <item h="1" x="2"/>
        <item h="1" x="3"/>
        <item h="1" x="1"/>
        <item h="1" x="4"/>
        <item t="default"/>
      </items>
    </pivotField>
    <pivotField showAll="0"/>
    <pivotField showAll="0">
      <items count="3">
        <item x="0"/>
        <item x="1"/>
        <item t="default"/>
      </items>
    </pivotField>
    <pivotField showAll="0">
      <items count="13">
        <item h="1" x="10"/>
        <item h="1" x="7"/>
        <item h="1" x="3"/>
        <item x="11"/>
        <item x="0"/>
        <item x="5"/>
        <item x="2"/>
        <item x="9"/>
        <item h="1" x="8"/>
        <item h="1" x="1"/>
        <item h="1" x="4"/>
        <item h="1" x="6"/>
        <item t="default"/>
      </items>
    </pivotField>
    <pivotField showAll="0"/>
    <pivotField showAll="0"/>
    <pivotField showAll="0"/>
    <pivotField showAll="0"/>
    <pivotField showAll="0"/>
  </pivotFields>
  <rowItems count="1">
    <i/>
  </rowItems>
  <colItems count="1">
    <i/>
  </colItems>
  <dataFields count="1">
    <dataField name="Count of Customer Name" fld="0" subtotal="count" baseField="0" baseItem="0"/>
  </dataFields>
  <formats count="2">
    <format dxfId="22">
      <pivotArea type="all" dataOnly="0" outline="0" fieldPosition="0"/>
    </format>
    <format dxfId="2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85CA1E3-EC8E-460B-BDF7-5DFEF247509E}" name="Status"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1:B14" firstHeaderRow="1" firstDataRow="1" firstDataCol="1"/>
  <pivotFields count="17">
    <pivotField showAll="0"/>
    <pivotField showAll="0"/>
    <pivotField showAll="0"/>
    <pivotField numFmtId="14" showAll="0"/>
    <pivotField showAll="0"/>
    <pivotField showAll="0"/>
    <pivotField showAll="0"/>
    <pivotField axis="axisRow" dataField="1" showAll="0">
      <items count="4">
        <item x="0"/>
        <item x="1"/>
        <item m="1" x="2"/>
        <item t="default"/>
      </items>
    </pivotField>
    <pivotField showAll="0">
      <items count="8">
        <item h="1" x="6"/>
        <item x="0"/>
        <item h="1" x="5"/>
        <item h="1" x="2"/>
        <item h="1" x="3"/>
        <item h="1" x="1"/>
        <item h="1" x="4"/>
        <item t="default"/>
      </items>
    </pivotField>
    <pivotField showAll="0"/>
    <pivotField showAll="0">
      <items count="3">
        <item x="0"/>
        <item x="1"/>
        <item t="default"/>
      </items>
    </pivotField>
    <pivotField showAll="0">
      <items count="13">
        <item h="1" x="10"/>
        <item h="1" x="7"/>
        <item h="1" x="3"/>
        <item x="11"/>
        <item x="0"/>
        <item x="5"/>
        <item x="2"/>
        <item x="9"/>
        <item h="1" x="8"/>
        <item h="1" x="1"/>
        <item h="1" x="4"/>
        <item h="1" x="6"/>
        <item t="default"/>
      </items>
    </pivotField>
    <pivotField showAll="0"/>
    <pivotField showAll="0"/>
    <pivotField showAll="0"/>
    <pivotField showAll="0"/>
    <pivotField showAll="0"/>
  </pivotFields>
  <rowFields count="1">
    <field x="7"/>
  </rowFields>
  <rowItems count="3">
    <i>
      <x/>
    </i>
    <i>
      <x v="1"/>
    </i>
    <i t="grand">
      <x/>
    </i>
  </rowItems>
  <colItems count="1">
    <i/>
  </colItems>
  <dataFields count="1">
    <dataField name="Count of Status" fld="7" subtotal="count" baseField="0" baseItem="0"/>
  </dataFields>
  <formats count="2">
    <format dxfId="24">
      <pivotArea type="all" dataOnly="0" outline="0" fieldPosition="0"/>
    </format>
    <format dxfId="2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7623251-B0AC-4219-A8D2-F331FFEC5AB5}" name="PivotTable9"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F61:I67" firstHeaderRow="0" firstDataRow="1" firstDataCol="1" rowPageCount="1" colPageCount="1"/>
  <pivotFields count="17">
    <pivotField showAll="0"/>
    <pivotField axis="axisRow" showAll="0">
      <items count="6">
        <item x="2"/>
        <item x="1"/>
        <item x="0"/>
        <item x="3"/>
        <item x="4"/>
        <item t="default"/>
      </items>
    </pivotField>
    <pivotField showAll="0"/>
    <pivotField numFmtId="14" showAll="0"/>
    <pivotField showAll="0"/>
    <pivotField showAll="0"/>
    <pivotField showAll="0"/>
    <pivotField axis="axisPage" showAll="0">
      <items count="4">
        <item x="0"/>
        <item x="1"/>
        <item m="1" x="2"/>
        <item t="default"/>
      </items>
    </pivotField>
    <pivotField showAll="0">
      <items count="8">
        <item h="1" x="6"/>
        <item x="0"/>
        <item h="1" x="5"/>
        <item h="1" x="2"/>
        <item h="1" x="3"/>
        <item h="1" x="1"/>
        <item h="1" x="4"/>
        <item t="default"/>
      </items>
    </pivotField>
    <pivotField showAll="0"/>
    <pivotField showAll="0">
      <items count="3">
        <item x="0"/>
        <item x="1"/>
        <item t="default"/>
      </items>
    </pivotField>
    <pivotField showAll="0">
      <items count="13">
        <item h="1" x="10"/>
        <item h="1" x="7"/>
        <item h="1" x="3"/>
        <item x="11"/>
        <item x="0"/>
        <item x="5"/>
        <item x="2"/>
        <item x="9"/>
        <item h="1" x="8"/>
        <item h="1" x="1"/>
        <item h="1" x="4"/>
        <item h="1" x="6"/>
        <item t="default"/>
      </items>
    </pivotField>
    <pivotField showAll="0"/>
    <pivotField showAll="0"/>
    <pivotField dataField="1" showAll="0"/>
    <pivotField dataField="1" showAll="0"/>
    <pivotField dataField="1" showAll="0"/>
  </pivotFields>
  <rowFields count="1">
    <field x="1"/>
  </rowFields>
  <rowItems count="6">
    <i>
      <x/>
    </i>
    <i>
      <x v="1"/>
    </i>
    <i>
      <x v="2"/>
    </i>
    <i>
      <x v="3"/>
    </i>
    <i>
      <x v="4"/>
    </i>
    <i t="grand">
      <x/>
    </i>
  </rowItems>
  <colFields count="1">
    <field x="-2"/>
  </colFields>
  <colItems count="3">
    <i>
      <x/>
    </i>
    <i i="1">
      <x v="1"/>
    </i>
    <i i="2">
      <x v="2"/>
    </i>
  </colItems>
  <pageFields count="1">
    <pageField fld="7" hier="-1"/>
  </pageFields>
  <dataFields count="3">
    <dataField name="Sales Revenue " fld="15" baseField="1" baseItem="0"/>
    <dataField name="Net Profit " fld="16" baseField="1" baseItem="0"/>
    <dataField name="Total cost " fld="14" baseField="1" baseItem="0"/>
  </dataFields>
  <formats count="2">
    <format dxfId="26">
      <pivotArea type="all" dataOnly="0" outline="0" fieldPosition="0"/>
    </format>
    <format dxfId="25">
      <pivotArea outline="0" collapsedLevelsAreSubtotals="1" fieldPosition="0"/>
    </format>
  </formats>
  <chartFormats count="3">
    <chartFormat chart="8" format="6" series="1">
      <pivotArea type="data" outline="0" fieldPosition="0">
        <references count="1">
          <reference field="4294967294" count="1" selected="0">
            <x v="0"/>
          </reference>
        </references>
      </pivotArea>
    </chartFormat>
    <chartFormat chart="8" format="7" series="1">
      <pivotArea type="data" outline="0" fieldPosition="0">
        <references count="1">
          <reference field="4294967294" count="1" selected="0">
            <x v="1"/>
          </reference>
        </references>
      </pivotArea>
    </chartFormat>
    <chartFormat chart="8"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279C2A2-3768-4EDE-B865-FECF10F34582}" name="Montable"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19:E32" firstHeaderRow="0" firstDataRow="1" firstDataCol="1" rowPageCount="1" colPageCount="1"/>
  <pivotFields count="17">
    <pivotField showAll="0"/>
    <pivotField showAll="0"/>
    <pivotField showAll="0"/>
    <pivotField numFmtId="14" showAll="0"/>
    <pivotField showAll="0"/>
    <pivotField showAll="0"/>
    <pivotField showAll="0"/>
    <pivotField axis="axisPage" showAll="0">
      <items count="4">
        <item x="0"/>
        <item x="1"/>
        <item m="1" x="2"/>
        <item t="default"/>
      </items>
    </pivotField>
    <pivotField showAll="0"/>
    <pivotField showAll="0"/>
    <pivotField showAll="0">
      <items count="3">
        <item x="0"/>
        <item x="1"/>
        <item t="default"/>
      </items>
    </pivotField>
    <pivotField axis="axisRow" showAll="0">
      <items count="13">
        <item x="10"/>
        <item x="7"/>
        <item x="3"/>
        <item x="11"/>
        <item x="0"/>
        <item x="5"/>
        <item x="2"/>
        <item x="9"/>
        <item x="8"/>
        <item x="1"/>
        <item x="4"/>
        <item x="6"/>
        <item t="default"/>
      </items>
    </pivotField>
    <pivotField showAll="0"/>
    <pivotField showAll="0"/>
    <pivotField dataField="1" showAll="0"/>
    <pivotField dataField="1" showAll="0"/>
    <pivotField dataField="1" showAll="0"/>
  </pivotFields>
  <rowFields count="1">
    <field x="11"/>
  </rowFields>
  <rowItems count="13">
    <i>
      <x/>
    </i>
    <i>
      <x v="1"/>
    </i>
    <i>
      <x v="2"/>
    </i>
    <i>
      <x v="3"/>
    </i>
    <i>
      <x v="4"/>
    </i>
    <i>
      <x v="5"/>
    </i>
    <i>
      <x v="6"/>
    </i>
    <i>
      <x v="7"/>
    </i>
    <i>
      <x v="8"/>
    </i>
    <i>
      <x v="9"/>
    </i>
    <i>
      <x v="10"/>
    </i>
    <i>
      <x v="11"/>
    </i>
    <i t="grand">
      <x/>
    </i>
  </rowItems>
  <colFields count="1">
    <field x="-2"/>
  </colFields>
  <colItems count="3">
    <i>
      <x/>
    </i>
    <i i="1">
      <x v="1"/>
    </i>
    <i i="2">
      <x v="2"/>
    </i>
  </colItems>
  <pageFields count="1">
    <pageField fld="7" item="0" hier="-1"/>
  </pageFields>
  <dataFields count="3">
    <dataField name="Sum of Sales Revenue" fld="15" baseField="0" baseItem="0"/>
    <dataField name="Sum of Net Profit" fld="16" baseField="0" baseItem="0"/>
    <dataField name="Sum of Total cost" fld="14" baseField="0" baseItem="0"/>
  </dataFields>
  <formats count="2">
    <format dxfId="28">
      <pivotArea type="all" dataOnly="0" outline="0" fieldPosition="0"/>
    </format>
    <format dxfId="2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41489BF8-7DB4-4452-A539-3FC634FFD166}" sourceName="Month">
  <pivotTables>
    <pivotTable tabId="9" name="Month"/>
    <pivotTable tabId="9" name="KPI 1"/>
    <pivotTable tabId="9" name="KPI 2"/>
    <pivotTable tabId="9" name="Status"/>
    <pivotTable tabId="9" name="PivotTable9"/>
    <pivotTable tabId="9" name="PivotTable10"/>
    <pivotTable tabId="9" name="PivotTable11"/>
    <pivotTable tabId="9" name="PivotTable12"/>
    <pivotTable tabId="9" name="Country "/>
  </pivotTables>
  <data>
    <tabular pivotCacheId="604747392">
      <items count="12">
        <i x="10"/>
        <i x="7"/>
        <i x="3"/>
        <i x="11" s="1"/>
        <i x="0" s="1"/>
        <i x="5" s="1"/>
        <i x="2" s="1"/>
        <i x="9" s="1"/>
        <i x="8"/>
        <i x="1"/>
        <i x="4"/>
        <i x="6"/>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882BF030-57C0-4660-8CBF-43AD5AAD746B}" sourceName="Year">
  <pivotTables>
    <pivotTable tabId="9" name="Montable"/>
    <pivotTable tabId="9" name="KPI 1"/>
    <pivotTable tabId="9" name="KPI 2"/>
    <pivotTable tabId="9" name="Month"/>
    <pivotTable tabId="9" name="Status"/>
    <pivotTable tabId="9" name="Ordertable "/>
    <pivotTable tabId="9" name="PivotTable9"/>
    <pivotTable tabId="9" name="PivotTable10"/>
    <pivotTable tabId="9" name="PivotTable11"/>
    <pivotTable tabId="9" name="PivotTable12"/>
    <pivotTable tabId="9" name="Country "/>
  </pivotTables>
  <data>
    <tabular pivotCacheId="604747392">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2CC183B1-708D-4F1B-8481-CAEA06F9C963}" sourceName="Product Category">
  <pivotTables>
    <pivotTable tabId="9" name="Month"/>
    <pivotTable tabId="9" name="PivotTable9"/>
    <pivotTable tabId="9" name="PivotTable10"/>
    <pivotTable tabId="9" name="PivotTable11"/>
    <pivotTable tabId="9" name="PivotTable12"/>
    <pivotTable tabId="9" name="Country "/>
  </pivotTables>
  <data>
    <tabular pivotCacheId="604747392">
      <items count="5">
        <i x="2" s="1"/>
        <i x="1" s="1"/>
        <i x="0" s="1"/>
        <i x="3"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32CF86C5-A60A-46A2-80D3-07A34135B170}" sourceName="Country">
  <pivotTables>
    <pivotTable tabId="9" name="PivotTable9"/>
    <pivotTable tabId="9" name="PivotTable10"/>
    <pivotTable tabId="9" name="PivotTable11"/>
    <pivotTable tabId="9" name="PivotTable12"/>
    <pivotTable tabId="9" name="Country "/>
    <pivotTable tabId="9" name="KPI 1"/>
    <pivotTable tabId="9" name="KPI 2"/>
    <pivotTable tabId="9" name="Status"/>
  </pivotTables>
  <data>
    <tabular pivotCacheId="604747392">
      <items count="7">
        <i x="6"/>
        <i x="0" s="1"/>
        <i x="5"/>
        <i x="2"/>
        <i x="3"/>
        <i x="1"/>
        <i x="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EFD5BF4A-798D-4AF5-ADC6-8CD8E358C322}" cache="Slicer_Month" caption="Month" columnCount="12" showCaption="0" style="Slicer Style 1" rowHeight="241300"/>
  <slicer name="Year 1" xr10:uid="{2A2F0A73-DE5B-404C-BA76-2AC6D54910E7}" cache="Slicer_Year" caption="Year" columnCount="2" showCaption="0" style="Slicer Style 1" rowHeight="241300"/>
  <slicer name="Product Category 1" xr10:uid="{9A536D84-6AE9-48EA-BE6E-61158DFB3340}" cache="Slicer_Product_Category" caption=" Category" style="Slicer Style 1" rowHeight="241300"/>
  <slicer name="Country 1" xr10:uid="{61AE8B98-62EC-4C93-B306-F798ABE50981}" cache="Slicer_Country" caption="Country" style="Slicer Style 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4304647D-AF98-4B28-9C82-7770F6A03482}" cache="Slicer_Month" caption="Month" rowHeight="241300"/>
  <slicer name="Year" xr10:uid="{980A59D2-5141-41A4-BF89-39B1C3F88D4F}" cache="Slicer_Year" caption="Year" rowHeight="241300"/>
  <slicer name="Product Category" xr10:uid="{97B43D55-A722-4E36-9736-E6A036407CF8}" cache="Slicer_Product_Category" caption="Product Category" rowHeight="241300"/>
  <slicer name="Country" xr10:uid="{B594E805-8E5E-446B-9422-041F40172CB7}" cache="Slicer_Country" caption="Country"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A4A83D4-7F2D-4AB4-9921-B52B400979D0}" name="Table1" displayName="Table1" ref="A1:Q562" totalsRowShown="0" headerRowDxfId="47" dataDxfId="46" tableBorderDxfId="45">
  <autoFilter ref="A1:Q562" xr:uid="{6A4A83D4-7F2D-4AB4-9921-B52B400979D0}"/>
  <tableColumns count="17">
    <tableColumn id="2" xr3:uid="{606D641A-39BD-465B-83A5-E4CAAE898B17}" name="Customer Name" dataDxfId="44"/>
    <tableColumn id="3" xr3:uid="{572B174B-7241-4B37-A9FA-6F9F7302F619}" name="Product Category" dataDxfId="43"/>
    <tableColumn id="4" xr3:uid="{1E63CCAB-4E6B-4302-B884-FB867C703BA6}" name="Product Name" dataDxfId="42"/>
    <tableColumn id="5" xr3:uid="{51B96178-2094-42B8-8B8F-21FDE888E2B2}" name="Order Date" dataDxfId="41"/>
    <tableColumn id="6" xr3:uid="{ACA721C6-3C90-4EAA-8401-1B5F8A3952AA}" name="Delivered Date" dataDxfId="40"/>
    <tableColumn id="7" xr3:uid="{888CF453-9BB8-4638-B7FE-BE0AD640F8CE}" name="Quantity" dataDxfId="39"/>
    <tableColumn id="8" xr3:uid="{EF81991F-6FDA-4D86-9A5E-DE0253ABEF74}" name="Unit Price" dataDxfId="38"/>
    <tableColumn id="9" xr3:uid="{0C979AC5-412E-435B-9793-E87EBDE29E3A}" name="Status" dataDxfId="37"/>
    <tableColumn id="10" xr3:uid="{021ADBDB-5631-458D-B556-48881128052B}" name="Country" dataDxfId="36"/>
    <tableColumn id="11" xr3:uid="{DC115072-B0D6-4FF1-86C3-AA95E28DE80A}" name="Payment Method" dataDxfId="35"/>
    <tableColumn id="12" xr3:uid="{52DD25F4-CE47-45E6-A317-AA9BE634EE45}" name="Year" dataDxfId="34">
      <calculatedColumnFormula>TEXT('Retail Store Sales'!$D2,"yyyy")</calculatedColumnFormula>
    </tableColumn>
    <tableColumn id="13" xr3:uid="{AA3CA39D-7578-44E9-B36E-47AA01F753CA}" name="Month" dataDxfId="33">
      <calculatedColumnFormula>TEXT('Retail Store Sales'!$D2,"mmm")</calculatedColumnFormula>
    </tableColumn>
    <tableColumn id="14" xr3:uid="{80AA65F4-C153-47BC-A11C-2C0989317297}" name="Day" dataDxfId="32">
      <calculatedColumnFormula>TEXT('Retail Store Sales'!$D2,"dddd")</calculatedColumnFormula>
    </tableColumn>
    <tableColumn id="15" xr3:uid="{80185649-C953-4D78-B629-7C24A351BB52}" name="Delivery time">
      <calculatedColumnFormula>DATEDIF(D2,E2,"D")</calculatedColumnFormula>
    </tableColumn>
    <tableColumn id="16" xr3:uid="{9D6D298B-9777-4DBE-8863-CC4AC3357160}" name="Total cost" dataDxfId="31">
      <calculatedColumnFormula>ROUND('Retail Store Sales'!$F2*'Retail Store Sales'!$G2*_xlfn.XLOOKUP('Retail Store Sales'!$C2,Table2[Product Name],Table2[Cost Percentage],0),0)</calculatedColumnFormula>
    </tableColumn>
    <tableColumn id="17" xr3:uid="{505703A8-3EDC-4107-A5DB-DED2A7EFAD51}" name="Sales Revenue" dataDxfId="30">
      <calculatedColumnFormula>'Retail Store Sales'!$F2*'Retail Store Sales'!$G2</calculatedColumnFormula>
    </tableColumn>
    <tableColumn id="18" xr3:uid="{EA09A57E-7C7E-4C32-96AA-C0EDF0DD3413}" name="Net Profit" dataDxfId="29">
      <calculatedColumnFormula>P2-Table1[[#This Row],[Total cost]]</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64F2EB0-AC6E-4123-82B5-D482C45874BF}" name="Table2" displayName="Table2" ref="A1:B26" totalsRowShown="0">
  <autoFilter ref="A1:B26" xr:uid="{A64F2EB0-AC6E-4123-82B5-D482C45874BF}"/>
  <tableColumns count="2">
    <tableColumn id="1" xr3:uid="{25FEFEB8-4CC5-4877-9220-B50580DF5CE3}" name="Product Name"/>
    <tableColumn id="2" xr3:uid="{3D7A18F7-AC0D-4049-9D33-7530F64B4B8D}" name="Cost Percentage"/>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microsoft.com/office/2007/relationships/slicer" Target="../slicers/slicer2.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A0CAA-DC0A-4657-B54C-DB0EF5FAB678}">
  <sheetPr codeName="Sheet3"/>
  <dimension ref="C1:AA17"/>
  <sheetViews>
    <sheetView tabSelected="1" workbookViewId="0">
      <selection activeCell="M4" sqref="M4"/>
    </sheetView>
  </sheetViews>
  <sheetFormatPr defaultRowHeight="14.25" x14ac:dyDescent="0.45"/>
  <cols>
    <col min="1" max="3" width="9.06640625" style="35"/>
    <col min="4" max="4" width="14.9296875" style="35" bestFit="1" customWidth="1"/>
    <col min="5" max="5" width="19.33203125" style="35" customWidth="1"/>
    <col min="6" max="6" width="9.06640625" style="35"/>
    <col min="7" max="7" width="14.86328125" style="35" bestFit="1" customWidth="1"/>
    <col min="8" max="8" width="19.1328125" style="35" customWidth="1"/>
    <col min="9" max="16" width="9.06640625" style="35"/>
    <col min="17" max="17" width="13.6640625" style="35" bestFit="1" customWidth="1"/>
    <col min="18" max="18" width="14.3984375" style="35" bestFit="1" customWidth="1"/>
    <col min="19" max="19" width="11.73046875" style="35" bestFit="1" customWidth="1"/>
    <col min="20" max="20" width="9.265625" style="35" bestFit="1" customWidth="1"/>
    <col min="21" max="21" width="12.19921875" style="35" bestFit="1" customWidth="1"/>
    <col min="22" max="22" width="8.1328125" style="35" bestFit="1" customWidth="1"/>
    <col min="23" max="23" width="8.9296875" style="35" bestFit="1" customWidth="1"/>
    <col min="24" max="24" width="8" style="35" bestFit="1" customWidth="1"/>
    <col min="25" max="25" width="7.3984375" style="35" bestFit="1" customWidth="1"/>
    <col min="26" max="26" width="14.33203125" style="35" bestFit="1" customWidth="1"/>
    <col min="27" max="16384" width="9.06640625" style="35"/>
  </cols>
  <sheetData>
    <row r="1" spans="3:27" ht="12" customHeight="1" x14ac:dyDescent="0.45"/>
    <row r="2" spans="3:27" ht="14.65" thickBot="1" x14ac:dyDescent="0.5"/>
    <row r="3" spans="3:27" ht="36" x14ac:dyDescent="1.05">
      <c r="C3" s="54" t="s">
        <v>613</v>
      </c>
      <c r="D3" s="55"/>
      <c r="E3" s="55"/>
      <c r="F3" s="55"/>
      <c r="G3" s="55"/>
      <c r="H3" s="55"/>
      <c r="I3" s="56"/>
      <c r="P3" s="36"/>
      <c r="Q3" s="36"/>
      <c r="R3" s="36"/>
      <c r="S3" s="36"/>
      <c r="T3" s="36"/>
      <c r="U3" s="36"/>
      <c r="V3" s="36"/>
      <c r="W3" s="36"/>
      <c r="X3" s="36"/>
      <c r="Y3" s="36"/>
      <c r="Z3" s="36"/>
      <c r="AA3" s="36"/>
    </row>
    <row r="4" spans="3:27" ht="21" customHeight="1" thickBot="1" x14ac:dyDescent="1.1000000000000001">
      <c r="C4" s="27"/>
      <c r="D4" s="28"/>
      <c r="E4" s="28"/>
      <c r="F4" s="28"/>
      <c r="G4" s="28"/>
      <c r="H4" s="28"/>
      <c r="I4" s="29"/>
      <c r="P4" s="36"/>
      <c r="Q4" s="36"/>
      <c r="R4" s="36"/>
      <c r="S4" s="36"/>
      <c r="T4" s="36"/>
      <c r="U4" s="36"/>
      <c r="V4" s="36"/>
      <c r="W4" s="36"/>
      <c r="X4" s="36"/>
      <c r="Y4" s="36"/>
      <c r="Z4" s="36"/>
      <c r="AA4" s="36"/>
    </row>
    <row r="5" spans="3:27" ht="14.65" thickBot="1" x14ac:dyDescent="0.5">
      <c r="C5" s="30"/>
      <c r="D5" s="26" t="s">
        <v>614</v>
      </c>
      <c r="E5" s="57"/>
      <c r="F5" s="26"/>
      <c r="G5" s="26" t="s">
        <v>619</v>
      </c>
      <c r="H5" s="57"/>
      <c r="I5" s="31"/>
      <c r="P5" s="36"/>
      <c r="Q5" s="36" t="s">
        <v>625</v>
      </c>
      <c r="R5" s="36" t="s">
        <v>1</v>
      </c>
      <c r="S5" s="36" t="s">
        <v>626</v>
      </c>
      <c r="T5" s="36" t="s">
        <v>627</v>
      </c>
      <c r="U5" s="36" t="s">
        <v>628</v>
      </c>
      <c r="V5" s="36" t="s">
        <v>629</v>
      </c>
      <c r="W5" s="36" t="s">
        <v>630</v>
      </c>
      <c r="X5" s="36" t="s">
        <v>7</v>
      </c>
      <c r="Y5" s="36" t="s">
        <v>631</v>
      </c>
      <c r="Z5" s="36" t="s">
        <v>632</v>
      </c>
      <c r="AA5" s="36"/>
    </row>
    <row r="6" spans="3:27" ht="14.65" thickBot="1" x14ac:dyDescent="0.5">
      <c r="C6" s="30"/>
      <c r="D6" s="26"/>
      <c r="E6" s="26"/>
      <c r="F6" s="26"/>
      <c r="G6" s="26"/>
      <c r="H6" s="26"/>
      <c r="I6" s="31"/>
      <c r="P6" s="36"/>
      <c r="Q6" s="37">
        <f>E5</f>
        <v>0</v>
      </c>
      <c r="R6" s="37">
        <f>E7</f>
        <v>0</v>
      </c>
      <c r="S6" s="37">
        <f>E9</f>
        <v>0</v>
      </c>
      <c r="T6" s="38">
        <f>E11</f>
        <v>0</v>
      </c>
      <c r="U6" s="38">
        <f>E13</f>
        <v>0</v>
      </c>
      <c r="V6" s="37">
        <f>H5</f>
        <v>0</v>
      </c>
      <c r="W6" s="37">
        <f>H7</f>
        <v>0</v>
      </c>
      <c r="X6" s="37">
        <f>H9</f>
        <v>0</v>
      </c>
      <c r="Y6" s="37">
        <f>H11</f>
        <v>0</v>
      </c>
      <c r="Z6" s="37">
        <f>H13</f>
        <v>0</v>
      </c>
      <c r="AA6" s="36"/>
    </row>
    <row r="7" spans="3:27" ht="14.65" thickBot="1" x14ac:dyDescent="0.5">
      <c r="C7" s="30"/>
      <c r="D7" s="26" t="s">
        <v>615</v>
      </c>
      <c r="E7" s="57"/>
      <c r="F7" s="26"/>
      <c r="G7" s="26" t="s">
        <v>620</v>
      </c>
      <c r="H7" s="58"/>
      <c r="I7" s="31"/>
      <c r="P7" s="36"/>
      <c r="Q7" s="36"/>
      <c r="R7" s="36"/>
      <c r="S7" s="36"/>
      <c r="T7" s="36"/>
      <c r="U7" s="36"/>
      <c r="V7" s="36"/>
      <c r="W7" s="36"/>
      <c r="X7" s="36"/>
      <c r="Y7" s="36"/>
      <c r="Z7" s="36"/>
      <c r="AA7" s="36"/>
    </row>
    <row r="8" spans="3:27" ht="14.65" thickBot="1" x14ac:dyDescent="0.5">
      <c r="C8" s="30"/>
      <c r="D8" s="26"/>
      <c r="E8" s="26"/>
      <c r="F8" s="26"/>
      <c r="G8" s="26"/>
      <c r="H8" s="26"/>
      <c r="I8" s="31"/>
      <c r="P8" s="36"/>
      <c r="Q8" s="36"/>
      <c r="R8" s="36"/>
      <c r="S8" s="36"/>
      <c r="T8" s="36"/>
      <c r="U8" s="36"/>
      <c r="V8" s="36"/>
      <c r="W8" s="36"/>
      <c r="X8" s="36"/>
      <c r="Y8" s="36"/>
      <c r="Z8" s="36"/>
      <c r="AA8" s="36"/>
    </row>
    <row r="9" spans="3:27" ht="14.65" thickBot="1" x14ac:dyDescent="0.5">
      <c r="C9" s="30"/>
      <c r="D9" s="26" t="s">
        <v>616</v>
      </c>
      <c r="E9" s="57"/>
      <c r="F9" s="26"/>
      <c r="G9" s="26" t="s">
        <v>621</v>
      </c>
      <c r="H9" s="57"/>
      <c r="I9" s="31"/>
      <c r="P9" s="36"/>
      <c r="Q9" s="36" t="s">
        <v>682</v>
      </c>
      <c r="R9" s="36" t="s">
        <v>16</v>
      </c>
      <c r="S9" s="36" t="s">
        <v>55</v>
      </c>
      <c r="T9" s="39">
        <v>45413</v>
      </c>
      <c r="U9" s="39">
        <v>45425</v>
      </c>
      <c r="V9" s="36">
        <v>3</v>
      </c>
      <c r="W9" s="36">
        <v>120</v>
      </c>
      <c r="X9" s="36" t="s">
        <v>13</v>
      </c>
      <c r="Y9" s="36" t="s">
        <v>549</v>
      </c>
      <c r="Z9" s="36" t="s">
        <v>45</v>
      </c>
      <c r="AA9" s="36"/>
    </row>
    <row r="10" spans="3:27" ht="14.65" thickBot="1" x14ac:dyDescent="0.5">
      <c r="C10" s="30"/>
      <c r="D10" s="26"/>
      <c r="E10" s="26"/>
      <c r="F10" s="26"/>
      <c r="G10" s="26"/>
      <c r="H10" s="26"/>
      <c r="I10" s="31"/>
      <c r="P10" s="36"/>
      <c r="Q10" s="36" t="s">
        <v>624</v>
      </c>
      <c r="R10" s="36" t="s">
        <v>11</v>
      </c>
      <c r="S10" s="36" t="s">
        <v>41</v>
      </c>
      <c r="T10" s="39">
        <v>45383</v>
      </c>
      <c r="U10" s="39">
        <v>45395</v>
      </c>
      <c r="V10" s="36">
        <v>2</v>
      </c>
      <c r="W10" s="36">
        <v>180</v>
      </c>
      <c r="X10" s="36" t="s">
        <v>27</v>
      </c>
      <c r="Y10" s="36" t="s">
        <v>547</v>
      </c>
      <c r="Z10" s="36" t="s">
        <v>45</v>
      </c>
      <c r="AA10" s="36"/>
    </row>
    <row r="11" spans="3:27" ht="14.65" thickBot="1" x14ac:dyDescent="0.5">
      <c r="C11" s="30"/>
      <c r="D11" s="26" t="s">
        <v>617</v>
      </c>
      <c r="E11" s="59"/>
      <c r="F11" s="26"/>
      <c r="G11" s="26" t="s">
        <v>622</v>
      </c>
      <c r="H11" s="57"/>
      <c r="I11" s="31"/>
      <c r="P11" s="36"/>
      <c r="Q11" s="37"/>
      <c r="R11" s="37"/>
      <c r="S11" s="37"/>
      <c r="T11" s="38"/>
      <c r="U11" s="38"/>
      <c r="V11" s="37"/>
      <c r="W11" s="37"/>
      <c r="X11" s="37"/>
      <c r="Y11" s="37"/>
      <c r="Z11" s="37"/>
      <c r="AA11" s="36"/>
    </row>
    <row r="12" spans="3:27" ht="14.65" thickBot="1" x14ac:dyDescent="0.5">
      <c r="C12" s="30"/>
      <c r="D12" s="26"/>
      <c r="E12" s="26"/>
      <c r="F12" s="26"/>
      <c r="G12" s="26"/>
      <c r="H12" s="26"/>
      <c r="I12" s="31"/>
      <c r="P12" s="36"/>
      <c r="Q12" s="36"/>
      <c r="R12" s="36"/>
      <c r="S12" s="36"/>
      <c r="T12" s="36"/>
      <c r="U12" s="36"/>
      <c r="V12" s="36"/>
      <c r="W12" s="36"/>
      <c r="X12" s="36"/>
      <c r="Y12" s="36"/>
      <c r="Z12" s="36"/>
      <c r="AA12" s="36"/>
    </row>
    <row r="13" spans="3:27" ht="14.65" thickBot="1" x14ac:dyDescent="0.5">
      <c r="C13" s="30"/>
      <c r="D13" s="26" t="s">
        <v>618</v>
      </c>
      <c r="E13" s="59"/>
      <c r="F13" s="26"/>
      <c r="G13" s="26" t="s">
        <v>623</v>
      </c>
      <c r="H13" s="57"/>
      <c r="I13" s="31"/>
      <c r="P13" s="36"/>
      <c r="Q13" s="36"/>
      <c r="R13" s="36"/>
      <c r="S13" s="36"/>
      <c r="T13" s="36"/>
      <c r="U13" s="36"/>
      <c r="V13" s="36"/>
      <c r="W13" s="36"/>
      <c r="X13" s="36"/>
      <c r="Y13" s="36"/>
      <c r="Z13" s="36"/>
      <c r="AA13" s="36"/>
    </row>
    <row r="14" spans="3:27" x14ac:dyDescent="0.45">
      <c r="C14" s="30"/>
      <c r="D14" s="26"/>
      <c r="E14" s="26"/>
      <c r="F14" s="26"/>
      <c r="G14" s="26"/>
      <c r="H14" s="26"/>
      <c r="I14" s="31"/>
      <c r="P14" s="36"/>
      <c r="Q14" s="36"/>
      <c r="R14" s="36"/>
      <c r="S14" s="36"/>
      <c r="T14" s="36"/>
      <c r="U14" s="36"/>
      <c r="V14" s="36"/>
      <c r="W14" s="36"/>
      <c r="X14" s="36"/>
      <c r="Y14" s="36"/>
      <c r="Z14" s="36"/>
      <c r="AA14" s="36"/>
    </row>
    <row r="15" spans="3:27" x14ac:dyDescent="0.45">
      <c r="C15" s="30"/>
      <c r="D15" s="26"/>
      <c r="E15" s="26"/>
      <c r="F15" s="26"/>
      <c r="G15" s="26"/>
      <c r="H15" s="26"/>
      <c r="I15" s="31"/>
      <c r="P15" s="36"/>
      <c r="Q15" s="36"/>
      <c r="R15" s="36"/>
      <c r="S15" s="36"/>
      <c r="T15" s="36"/>
      <c r="U15" s="36"/>
      <c r="V15" s="36"/>
      <c r="W15" s="36"/>
      <c r="X15" s="36"/>
      <c r="Y15" s="36"/>
      <c r="Z15" s="36"/>
      <c r="AA15" s="36"/>
    </row>
    <row r="16" spans="3:27" x14ac:dyDescent="0.45">
      <c r="C16" s="30"/>
      <c r="D16" s="26"/>
      <c r="E16" s="26"/>
      <c r="F16" s="26"/>
      <c r="G16" s="26"/>
      <c r="H16" s="26"/>
      <c r="I16" s="31"/>
      <c r="P16" s="36"/>
      <c r="Q16" s="36"/>
      <c r="R16" s="36"/>
      <c r="S16" s="36"/>
      <c r="T16" s="36"/>
      <c r="U16" s="36"/>
      <c r="V16" s="36"/>
      <c r="W16" s="36"/>
      <c r="X16" s="36"/>
      <c r="Y16" s="36"/>
      <c r="Z16" s="36"/>
      <c r="AA16" s="36"/>
    </row>
    <row r="17" spans="3:9" ht="14.65" thickBot="1" x14ac:dyDescent="0.5">
      <c r="C17" s="32"/>
      <c r="D17" s="33"/>
      <c r="E17" s="33"/>
      <c r="F17" s="33"/>
      <c r="G17" s="33"/>
      <c r="H17" s="33"/>
      <c r="I17" s="34"/>
    </row>
  </sheetData>
  <mergeCells count="1">
    <mergeCell ref="C3:I3"/>
  </mergeCells>
  <dataValidations count="1">
    <dataValidation type="list" allowBlank="1" showInputMessage="1" showErrorMessage="1" sqref="H9 X6 X11" xr:uid="{F7657F66-74A7-460A-AB13-700848E24847}">
      <formula1>"Completed,Returned"</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Submit">
                <anchor moveWithCells="1" sizeWithCells="1">
                  <from>
                    <xdr:col>4</xdr:col>
                    <xdr:colOff>1052513</xdr:colOff>
                    <xdr:row>14</xdr:row>
                    <xdr:rowOff>80963</xdr:rowOff>
                  </from>
                  <to>
                    <xdr:col>6</xdr:col>
                    <xdr:colOff>438150</xdr:colOff>
                    <xdr:row>16</xdr:row>
                    <xdr:rowOff>71438</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8F2B1603-B1AB-42E8-9E3E-2B9791E1BD81}">
          <x14:formula1>
            <xm:f>Unique!$B$2:$B$6</xm:f>
          </x14:formula1>
          <xm:sqref>E7 R6 R11</xm:sqref>
        </x14:dataValidation>
        <x14:dataValidation type="list" allowBlank="1" showInputMessage="1" showErrorMessage="1" xr:uid="{A1CA6DD4-FA39-4FEA-A9EE-FC4A72821698}">
          <x14:formula1>
            <xm:f>Unique!$B$7:$B$23</xm:f>
          </x14:formula1>
          <xm:sqref>E9 S6 S11</xm:sqref>
        </x14:dataValidation>
        <x14:dataValidation type="list" allowBlank="1" showInputMessage="1" showErrorMessage="1" xr:uid="{E05CF9C4-3AB6-4A40-973B-43270CB539FE}">
          <x14:formula1>
            <xm:f>Unique!$F$2:$F$8</xm:f>
          </x14:formula1>
          <xm:sqref>H11 Y6 Y11</xm:sqref>
        </x14:dataValidation>
        <x14:dataValidation type="list" allowBlank="1" showInputMessage="1" showErrorMessage="1" xr:uid="{E9E8431B-A48D-4568-81E0-498ADEBD009B}">
          <x14:formula1>
            <xm:f>Unique!$F$10:$F$13</xm:f>
          </x14:formula1>
          <xm:sqref>H13 Z6 Z11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42D4C-A94B-445D-B010-B73EF1D61E7D}">
  <sheetPr codeName="Sheet1"/>
  <dimension ref="A1:Q562"/>
  <sheetViews>
    <sheetView topLeftCell="E22" workbookViewId="0">
      <selection activeCell="Q2" sqref="Q2:Q562"/>
    </sheetView>
  </sheetViews>
  <sheetFormatPr defaultRowHeight="14.25" x14ac:dyDescent="0.45"/>
  <cols>
    <col min="1" max="1" width="15.73046875" customWidth="1"/>
    <col min="2" max="2" width="16.59765625" customWidth="1"/>
    <col min="3" max="3" width="14.19921875" customWidth="1"/>
    <col min="4" max="4" width="11.59765625" customWidth="1"/>
    <col min="5" max="5" width="27" bestFit="1" customWidth="1"/>
    <col min="6" max="6" width="9.73046875" customWidth="1"/>
    <col min="7" max="7" width="10.46484375" customWidth="1"/>
    <col min="9" max="9" width="13.53125" bestFit="1" customWidth="1"/>
    <col min="10" max="10" width="17.19921875" bestFit="1" customWidth="1"/>
    <col min="11" max="11" width="6.53125" bestFit="1" customWidth="1"/>
    <col min="14" max="14" width="13.46484375" customWidth="1"/>
    <col min="15" max="15" width="10.46484375" customWidth="1"/>
    <col min="16" max="16" width="14.33203125" customWidth="1"/>
    <col min="17" max="17" width="10.796875" bestFit="1" customWidth="1"/>
  </cols>
  <sheetData>
    <row r="1" spans="1:17" x14ac:dyDescent="0.45">
      <c r="A1" s="20" t="s">
        <v>0</v>
      </c>
      <c r="B1" s="20" t="s">
        <v>1</v>
      </c>
      <c r="C1" s="20" t="s">
        <v>2</v>
      </c>
      <c r="D1" s="20" t="s">
        <v>3</v>
      </c>
      <c r="E1" s="20" t="s">
        <v>4</v>
      </c>
      <c r="F1" s="20" t="s">
        <v>5</v>
      </c>
      <c r="G1" s="20" t="s">
        <v>6</v>
      </c>
      <c r="H1" s="20" t="s">
        <v>7</v>
      </c>
      <c r="I1" s="20" t="s">
        <v>8</v>
      </c>
      <c r="J1" s="20" t="s">
        <v>9</v>
      </c>
      <c r="K1" s="21" t="s">
        <v>552</v>
      </c>
      <c r="L1" s="22" t="s">
        <v>553</v>
      </c>
      <c r="M1" s="20" t="s">
        <v>554</v>
      </c>
      <c r="N1" s="20" t="s">
        <v>555</v>
      </c>
      <c r="O1" s="20" t="s">
        <v>556</v>
      </c>
      <c r="P1" s="20" t="s">
        <v>557</v>
      </c>
      <c r="Q1" s="20" t="s">
        <v>558</v>
      </c>
    </row>
    <row r="2" spans="1:17" x14ac:dyDescent="0.45">
      <c r="A2" s="12" t="s">
        <v>10</v>
      </c>
      <c r="B2" s="12" t="s">
        <v>11</v>
      </c>
      <c r="C2" s="12" t="s">
        <v>12</v>
      </c>
      <c r="D2" s="13">
        <v>45432</v>
      </c>
      <c r="E2" s="13">
        <v>45436</v>
      </c>
      <c r="F2" s="12">
        <v>4</v>
      </c>
      <c r="G2" s="12">
        <v>238</v>
      </c>
      <c r="H2" s="12" t="s">
        <v>13</v>
      </c>
      <c r="I2" s="12" t="s">
        <v>550</v>
      </c>
      <c r="J2" s="12" t="s">
        <v>14</v>
      </c>
      <c r="K2" s="14" t="str">
        <f>TEXT('Retail Store Sales'!$D2,"yyyy")</f>
        <v>2024</v>
      </c>
      <c r="L2" s="11" t="str">
        <f>TEXT('Retail Store Sales'!$D2,"mmm")</f>
        <v>May</v>
      </c>
      <c r="M2" s="12" t="str">
        <f>TEXT('Retail Store Sales'!$D2,"dddd")</f>
        <v>Monday</v>
      </c>
      <c r="N2" s="23">
        <f t="shared" ref="N2:N65" si="0">DATEDIF(D2,E2,"D")</f>
        <v>4</v>
      </c>
      <c r="O2" s="16">
        <f>ROUND('Retail Store Sales'!$F2*'Retail Store Sales'!$G2*_xlfn.XLOOKUP('Retail Store Sales'!$C2,Table2[Product Name],Table2[Cost Percentage],0),0)</f>
        <v>714</v>
      </c>
      <c r="P2" s="12">
        <f>'Retail Store Sales'!$F2*'Retail Store Sales'!$G2</f>
        <v>952</v>
      </c>
      <c r="Q2" s="12">
        <f>P2-Table1[[#This Row],[Total cost]]</f>
        <v>238</v>
      </c>
    </row>
    <row r="3" spans="1:17" x14ac:dyDescent="0.45">
      <c r="A3" s="16" t="s">
        <v>15</v>
      </c>
      <c r="B3" s="16" t="s">
        <v>16</v>
      </c>
      <c r="C3" s="16" t="s">
        <v>17</v>
      </c>
      <c r="D3" s="17">
        <v>45594</v>
      </c>
      <c r="E3" s="17">
        <v>45600</v>
      </c>
      <c r="F3" s="16">
        <v>7</v>
      </c>
      <c r="G3" s="16">
        <v>42</v>
      </c>
      <c r="H3" s="16" t="s">
        <v>13</v>
      </c>
      <c r="I3" s="16" t="s">
        <v>550</v>
      </c>
      <c r="J3" s="16" t="s">
        <v>18</v>
      </c>
      <c r="K3" s="18" t="str">
        <f>TEXT('Retail Store Sales'!$D3,"yyyy")</f>
        <v>2024</v>
      </c>
      <c r="L3" s="15" t="str">
        <f>TEXT('Retail Store Sales'!$D3,"mmm")</f>
        <v>Oct</v>
      </c>
      <c r="M3" s="16" t="str">
        <f>TEXT('Retail Store Sales'!$D3,"dddd")</f>
        <v>Tuesday</v>
      </c>
      <c r="N3" s="24">
        <f t="shared" si="0"/>
        <v>6</v>
      </c>
      <c r="O3" s="16">
        <f>ROUND('Retail Store Sales'!$F3*'Retail Store Sales'!$G3*_xlfn.XLOOKUP('Retail Store Sales'!$C3,Table2[Product Name],Table2[Cost Percentage],0),0)</f>
        <v>147</v>
      </c>
      <c r="P3" s="16">
        <f>'Retail Store Sales'!$F3*'Retail Store Sales'!$G3</f>
        <v>294</v>
      </c>
      <c r="Q3" s="12">
        <f>P3-Table1[[#This Row],[Total cost]]</f>
        <v>147</v>
      </c>
    </row>
    <row r="4" spans="1:17" x14ac:dyDescent="0.45">
      <c r="A4" s="12" t="s">
        <v>19</v>
      </c>
      <c r="B4" s="12" t="s">
        <v>20</v>
      </c>
      <c r="C4" s="12" t="s">
        <v>21</v>
      </c>
      <c r="D4" s="13">
        <v>45593</v>
      </c>
      <c r="E4" s="13">
        <v>45603</v>
      </c>
      <c r="F4" s="12">
        <v>5</v>
      </c>
      <c r="G4" s="12">
        <v>838</v>
      </c>
      <c r="H4" s="12" t="s">
        <v>13</v>
      </c>
      <c r="I4" s="12" t="s">
        <v>548</v>
      </c>
      <c r="J4" s="12" t="s">
        <v>18</v>
      </c>
      <c r="K4" s="14" t="str">
        <f>TEXT('Retail Store Sales'!$D4,"yyyy")</f>
        <v>2024</v>
      </c>
      <c r="L4" s="11" t="str">
        <f>TEXT('Retail Store Sales'!$D4,"mmm")</f>
        <v>Oct</v>
      </c>
      <c r="M4" s="12" t="str">
        <f>TEXT('Retail Store Sales'!$D4,"dddd")</f>
        <v>Monday</v>
      </c>
      <c r="N4" s="23">
        <f t="shared" si="0"/>
        <v>10</v>
      </c>
      <c r="O4" s="16">
        <f>ROUND('Retail Store Sales'!$F4*'Retail Store Sales'!$G4*_xlfn.XLOOKUP('Retail Store Sales'!$C4,Table2[Product Name],Table2[Cost Percentage],0),0)</f>
        <v>3143</v>
      </c>
      <c r="P4" s="12">
        <f>'Retail Store Sales'!$F4*'Retail Store Sales'!$G4</f>
        <v>4190</v>
      </c>
      <c r="Q4" s="12">
        <f>P4-Table1[[#This Row],[Total cost]]</f>
        <v>1047</v>
      </c>
    </row>
    <row r="5" spans="1:17" x14ac:dyDescent="0.45">
      <c r="A5" s="16" t="s">
        <v>22</v>
      </c>
      <c r="B5" s="16" t="s">
        <v>23</v>
      </c>
      <c r="C5" s="16" t="s">
        <v>24</v>
      </c>
      <c r="D5" s="17">
        <v>45434</v>
      </c>
      <c r="E5" s="17">
        <v>45443</v>
      </c>
      <c r="F5" s="16">
        <v>3</v>
      </c>
      <c r="G5" s="16">
        <v>230</v>
      </c>
      <c r="H5" s="16" t="s">
        <v>27</v>
      </c>
      <c r="I5" s="16" t="s">
        <v>548</v>
      </c>
      <c r="J5" s="16" t="s">
        <v>18</v>
      </c>
      <c r="K5" s="18" t="str">
        <f>TEXT('Retail Store Sales'!$D5,"yyyy")</f>
        <v>2024</v>
      </c>
      <c r="L5" s="15" t="str">
        <f>TEXT('Retail Store Sales'!$D5,"mmm")</f>
        <v>May</v>
      </c>
      <c r="M5" s="16" t="str">
        <f>TEXT('Retail Store Sales'!$D5,"dddd")</f>
        <v>Wednesday</v>
      </c>
      <c r="N5" s="24">
        <f t="shared" si="0"/>
        <v>9</v>
      </c>
      <c r="O5" s="16">
        <f>ROUND('Retail Store Sales'!$F5*'Retail Store Sales'!$G5*_xlfn.XLOOKUP('Retail Store Sales'!$C5,Table2[Product Name],Table2[Cost Percentage],0),0)</f>
        <v>380</v>
      </c>
      <c r="P5" s="16">
        <f>'Retail Store Sales'!$F5*'Retail Store Sales'!$G5</f>
        <v>690</v>
      </c>
      <c r="Q5" s="12">
        <f>P5-Table1[[#This Row],[Total cost]]</f>
        <v>310</v>
      </c>
    </row>
    <row r="6" spans="1:17" x14ac:dyDescent="0.45">
      <c r="A6" s="12" t="s">
        <v>25</v>
      </c>
      <c r="B6" s="12" t="s">
        <v>11</v>
      </c>
      <c r="C6" s="12" t="s">
        <v>26</v>
      </c>
      <c r="D6" s="13">
        <v>45566</v>
      </c>
      <c r="E6" s="13">
        <v>45582</v>
      </c>
      <c r="F6" s="12">
        <v>2</v>
      </c>
      <c r="G6" s="12">
        <v>954</v>
      </c>
      <c r="H6" s="12" t="s">
        <v>27</v>
      </c>
      <c r="I6" s="12" t="s">
        <v>549</v>
      </c>
      <c r="J6" s="12" t="s">
        <v>28</v>
      </c>
      <c r="K6" s="14" t="str">
        <f>TEXT('Retail Store Sales'!$D6,"yyyy")</f>
        <v>2024</v>
      </c>
      <c r="L6" s="11" t="str">
        <f>TEXT('Retail Store Sales'!$D6,"mmm")</f>
        <v>Oct</v>
      </c>
      <c r="M6" s="12" t="str">
        <f>TEXT('Retail Store Sales'!$D6,"dddd")</f>
        <v>Tuesday</v>
      </c>
      <c r="N6" s="23">
        <f t="shared" si="0"/>
        <v>16</v>
      </c>
      <c r="O6" s="16">
        <f>ROUND('Retail Store Sales'!$F6*'Retail Store Sales'!$G6*_xlfn.XLOOKUP('Retail Store Sales'!$C6,Table2[Product Name],Table2[Cost Percentage],0),0)</f>
        <v>1240</v>
      </c>
      <c r="P6" s="12">
        <f>'Retail Store Sales'!$F6*'Retail Store Sales'!$G6</f>
        <v>1908</v>
      </c>
      <c r="Q6" s="12">
        <f>P6-Table1[[#This Row],[Total cost]]</f>
        <v>668</v>
      </c>
    </row>
    <row r="7" spans="1:17" x14ac:dyDescent="0.45">
      <c r="A7" s="16" t="s">
        <v>29</v>
      </c>
      <c r="B7" s="16" t="s">
        <v>30</v>
      </c>
      <c r="C7" s="16" t="s">
        <v>31</v>
      </c>
      <c r="D7" s="17">
        <v>45477</v>
      </c>
      <c r="E7" s="17">
        <v>45492</v>
      </c>
      <c r="F7" s="16">
        <v>10</v>
      </c>
      <c r="G7" s="16">
        <v>206</v>
      </c>
      <c r="H7" s="16" t="s">
        <v>13</v>
      </c>
      <c r="I7" s="16" t="s">
        <v>32</v>
      </c>
      <c r="J7" s="16" t="s">
        <v>28</v>
      </c>
      <c r="K7" s="18" t="str">
        <f>TEXT('Retail Store Sales'!$D7,"yyyy")</f>
        <v>2024</v>
      </c>
      <c r="L7" s="15" t="str">
        <f>TEXT('Retail Store Sales'!$D7,"mmm")</f>
        <v>Jul</v>
      </c>
      <c r="M7" s="16" t="str">
        <f>TEXT('Retail Store Sales'!$D7,"dddd")</f>
        <v>Thursday</v>
      </c>
      <c r="N7" s="24">
        <f t="shared" si="0"/>
        <v>15</v>
      </c>
      <c r="O7" s="16">
        <f>ROUND('Retail Store Sales'!$F7*'Retail Store Sales'!$G7*_xlfn.XLOOKUP('Retail Store Sales'!$C7,Table2[Product Name],Table2[Cost Percentage],0),0)</f>
        <v>1545</v>
      </c>
      <c r="P7" s="16">
        <f>'Retail Store Sales'!$F7*'Retail Store Sales'!$G7</f>
        <v>2060</v>
      </c>
      <c r="Q7" s="12">
        <f>P7-Table1[[#This Row],[Total cost]]</f>
        <v>515</v>
      </c>
    </row>
    <row r="8" spans="1:17" x14ac:dyDescent="0.45">
      <c r="A8" s="12" t="s">
        <v>33</v>
      </c>
      <c r="B8" s="12" t="s">
        <v>23</v>
      </c>
      <c r="C8" s="12" t="s">
        <v>24</v>
      </c>
      <c r="D8" s="13">
        <v>45375</v>
      </c>
      <c r="E8" s="13">
        <v>45387</v>
      </c>
      <c r="F8" s="12">
        <v>6</v>
      </c>
      <c r="G8" s="12">
        <v>373</v>
      </c>
      <c r="H8" s="12" t="s">
        <v>27</v>
      </c>
      <c r="I8" s="12" t="s">
        <v>550</v>
      </c>
      <c r="J8" s="12" t="s">
        <v>28</v>
      </c>
      <c r="K8" s="14" t="str">
        <f>TEXT('Retail Store Sales'!$D8,"yyyy")</f>
        <v>2024</v>
      </c>
      <c r="L8" s="11" t="str">
        <f>TEXT('Retail Store Sales'!$D8,"mmm")</f>
        <v>Mar</v>
      </c>
      <c r="M8" s="12" t="str">
        <f>TEXT('Retail Store Sales'!$D8,"dddd")</f>
        <v>Sunday</v>
      </c>
      <c r="N8" s="23">
        <f t="shared" si="0"/>
        <v>12</v>
      </c>
      <c r="O8" s="16">
        <f>ROUND('Retail Store Sales'!$F8*'Retail Store Sales'!$G8*_xlfn.XLOOKUP('Retail Store Sales'!$C8,Table2[Product Name],Table2[Cost Percentage],0),0)</f>
        <v>1231</v>
      </c>
      <c r="P8" s="12">
        <f>'Retail Store Sales'!$F8*'Retail Store Sales'!$G8</f>
        <v>2238</v>
      </c>
      <c r="Q8" s="12">
        <f>P8-Table1[[#This Row],[Total cost]]</f>
        <v>1007</v>
      </c>
    </row>
    <row r="9" spans="1:17" x14ac:dyDescent="0.45">
      <c r="A9" s="16" t="s">
        <v>34</v>
      </c>
      <c r="B9" s="16" t="s">
        <v>11</v>
      </c>
      <c r="C9" s="16" t="s">
        <v>35</v>
      </c>
      <c r="D9" s="17">
        <v>45617</v>
      </c>
      <c r="E9" s="17">
        <v>45627</v>
      </c>
      <c r="F9" s="16">
        <v>3</v>
      </c>
      <c r="G9" s="16">
        <v>556</v>
      </c>
      <c r="H9" s="16" t="s">
        <v>13</v>
      </c>
      <c r="I9" s="16" t="s">
        <v>32</v>
      </c>
      <c r="J9" s="16" t="s">
        <v>18</v>
      </c>
      <c r="K9" s="18" t="str">
        <f>TEXT('Retail Store Sales'!$D9,"yyyy")</f>
        <v>2024</v>
      </c>
      <c r="L9" s="15" t="str">
        <f>TEXT('Retail Store Sales'!$D9,"mmm")</f>
        <v>Nov</v>
      </c>
      <c r="M9" s="16" t="str">
        <f>TEXT('Retail Store Sales'!$D9,"dddd")</f>
        <v>Thursday</v>
      </c>
      <c r="N9" s="24">
        <f t="shared" si="0"/>
        <v>10</v>
      </c>
      <c r="O9" s="16">
        <f>ROUND('Retail Store Sales'!$F9*'Retail Store Sales'!$G9*_xlfn.XLOOKUP('Retail Store Sales'!$C9,Table2[Product Name],Table2[Cost Percentage],0),0)</f>
        <v>1334</v>
      </c>
      <c r="P9" s="16">
        <f>'Retail Store Sales'!$F9*'Retail Store Sales'!$G9</f>
        <v>1668</v>
      </c>
      <c r="Q9" s="12">
        <f>P9-Table1[[#This Row],[Total cost]]</f>
        <v>334</v>
      </c>
    </row>
    <row r="10" spans="1:17" x14ac:dyDescent="0.45">
      <c r="A10" s="12" t="s">
        <v>36</v>
      </c>
      <c r="B10" s="12" t="s">
        <v>23</v>
      </c>
      <c r="C10" s="12" t="s">
        <v>37</v>
      </c>
      <c r="D10" s="13">
        <v>45430</v>
      </c>
      <c r="E10" s="13">
        <v>45434</v>
      </c>
      <c r="F10" s="12">
        <v>9</v>
      </c>
      <c r="G10" s="12">
        <v>234</v>
      </c>
      <c r="H10" s="12" t="s">
        <v>13</v>
      </c>
      <c r="I10" s="12" t="s">
        <v>32</v>
      </c>
      <c r="J10" s="12" t="s">
        <v>18</v>
      </c>
      <c r="K10" s="14" t="str">
        <f>TEXT('Retail Store Sales'!$D10,"yyyy")</f>
        <v>2024</v>
      </c>
      <c r="L10" s="11" t="str">
        <f>TEXT('Retail Store Sales'!$D10,"mmm")</f>
        <v>May</v>
      </c>
      <c r="M10" s="12" t="str">
        <f>TEXT('Retail Store Sales'!$D10,"dddd")</f>
        <v>Saturday</v>
      </c>
      <c r="N10" s="23">
        <f t="shared" si="0"/>
        <v>4</v>
      </c>
      <c r="O10" s="16">
        <f>ROUND('Retail Store Sales'!$F10*'Retail Store Sales'!$G10*_xlfn.XLOOKUP('Retail Store Sales'!$C10,Table2[Product Name],Table2[Cost Percentage],0),0)</f>
        <v>1053</v>
      </c>
      <c r="P10" s="12">
        <f>'Retail Store Sales'!$F10*'Retail Store Sales'!$G10</f>
        <v>2106</v>
      </c>
      <c r="Q10" s="12">
        <f>P10-Table1[[#This Row],[Total cost]]</f>
        <v>1053</v>
      </c>
    </row>
    <row r="11" spans="1:17" x14ac:dyDescent="0.45">
      <c r="A11" s="16" t="s">
        <v>38</v>
      </c>
      <c r="B11" s="16" t="s">
        <v>20</v>
      </c>
      <c r="C11" s="16" t="s">
        <v>39</v>
      </c>
      <c r="D11" s="17">
        <v>45453</v>
      </c>
      <c r="E11" s="17">
        <v>45469</v>
      </c>
      <c r="F11" s="16">
        <v>7</v>
      </c>
      <c r="G11" s="16">
        <v>284</v>
      </c>
      <c r="H11" s="16" t="s">
        <v>27</v>
      </c>
      <c r="I11" s="16" t="s">
        <v>550</v>
      </c>
      <c r="J11" s="16" t="s">
        <v>18</v>
      </c>
      <c r="K11" s="18" t="str">
        <f>TEXT('Retail Store Sales'!$D11,"yyyy")</f>
        <v>2024</v>
      </c>
      <c r="L11" s="15" t="str">
        <f>TEXT('Retail Store Sales'!$D11,"mmm")</f>
        <v>Jun</v>
      </c>
      <c r="M11" s="16" t="str">
        <f>TEXT('Retail Store Sales'!$D11,"dddd")</f>
        <v>Monday</v>
      </c>
      <c r="N11" s="24">
        <f t="shared" si="0"/>
        <v>16</v>
      </c>
      <c r="O11" s="16">
        <f>ROUND('Retail Store Sales'!$F11*'Retail Store Sales'!$G11*_xlfn.XLOOKUP('Retail Store Sales'!$C11,Table2[Product Name],Table2[Cost Percentage],0),0)</f>
        <v>1292</v>
      </c>
      <c r="P11" s="16">
        <f>'Retail Store Sales'!$F11*'Retail Store Sales'!$G11</f>
        <v>1988</v>
      </c>
      <c r="Q11" s="12">
        <f>P11-Table1[[#This Row],[Total cost]]</f>
        <v>696</v>
      </c>
    </row>
    <row r="12" spans="1:17" x14ac:dyDescent="0.45">
      <c r="A12" s="12" t="s">
        <v>40</v>
      </c>
      <c r="B12" s="12" t="s">
        <v>30</v>
      </c>
      <c r="C12" s="12" t="s">
        <v>41</v>
      </c>
      <c r="D12" s="13">
        <v>45627</v>
      </c>
      <c r="E12" s="13">
        <v>45636</v>
      </c>
      <c r="F12" s="12">
        <v>8</v>
      </c>
      <c r="G12" s="12">
        <v>415</v>
      </c>
      <c r="H12" s="12" t="s">
        <v>13</v>
      </c>
      <c r="I12" s="12" t="s">
        <v>32</v>
      </c>
      <c r="J12" s="12" t="s">
        <v>28</v>
      </c>
      <c r="K12" s="14" t="str">
        <f>TEXT('Retail Store Sales'!$D12,"yyyy")</f>
        <v>2024</v>
      </c>
      <c r="L12" s="11" t="str">
        <f>TEXT('Retail Store Sales'!$D12,"mmm")</f>
        <v>Dec</v>
      </c>
      <c r="M12" s="12" t="str">
        <f>TEXT('Retail Store Sales'!$D12,"dddd")</f>
        <v>Sunday</v>
      </c>
      <c r="N12" s="23">
        <f t="shared" si="0"/>
        <v>9</v>
      </c>
      <c r="O12" s="16">
        <f>ROUND('Retail Store Sales'!$F12*'Retail Store Sales'!$G12*_xlfn.XLOOKUP('Retail Store Sales'!$C12,Table2[Product Name],Table2[Cost Percentage],0),0)</f>
        <v>2158</v>
      </c>
      <c r="P12" s="12">
        <f>'Retail Store Sales'!$F12*'Retail Store Sales'!$G12</f>
        <v>3320</v>
      </c>
      <c r="Q12" s="12">
        <f>P12-Table1[[#This Row],[Total cost]]</f>
        <v>1162</v>
      </c>
    </row>
    <row r="13" spans="1:17" x14ac:dyDescent="0.45">
      <c r="A13" s="16" t="s">
        <v>42</v>
      </c>
      <c r="B13" s="16" t="s">
        <v>16</v>
      </c>
      <c r="C13" s="16" t="s">
        <v>43</v>
      </c>
      <c r="D13" s="17">
        <v>45477</v>
      </c>
      <c r="E13" s="17">
        <v>45492</v>
      </c>
      <c r="F13" s="16">
        <v>4</v>
      </c>
      <c r="G13" s="16">
        <v>151</v>
      </c>
      <c r="H13" s="16" t="s">
        <v>13</v>
      </c>
      <c r="I13" s="16" t="s">
        <v>32</v>
      </c>
      <c r="J13" s="16" t="s">
        <v>18</v>
      </c>
      <c r="K13" s="18" t="str">
        <f>TEXT('Retail Store Sales'!$D13,"yyyy")</f>
        <v>2024</v>
      </c>
      <c r="L13" s="15" t="str">
        <f>TEXT('Retail Store Sales'!$D13,"mmm")</f>
        <v>Jul</v>
      </c>
      <c r="M13" s="16" t="str">
        <f>TEXT('Retail Store Sales'!$D13,"dddd")</f>
        <v>Thursday</v>
      </c>
      <c r="N13" s="24">
        <f t="shared" si="0"/>
        <v>15</v>
      </c>
      <c r="O13" s="16">
        <f>ROUND('Retail Store Sales'!$F13*'Retail Store Sales'!$G13*_xlfn.XLOOKUP('Retail Store Sales'!$C13,Table2[Product Name],Table2[Cost Percentage],0),0)</f>
        <v>362</v>
      </c>
      <c r="P13" s="16">
        <f>'Retail Store Sales'!$F13*'Retail Store Sales'!$G13</f>
        <v>604</v>
      </c>
      <c r="Q13" s="12">
        <f>P13-Table1[[#This Row],[Total cost]]</f>
        <v>242</v>
      </c>
    </row>
    <row r="14" spans="1:17" x14ac:dyDescent="0.45">
      <c r="A14" s="12" t="s">
        <v>44</v>
      </c>
      <c r="B14" s="12" t="s">
        <v>11</v>
      </c>
      <c r="C14" s="12" t="s">
        <v>12</v>
      </c>
      <c r="D14" s="13">
        <v>45370</v>
      </c>
      <c r="E14" s="13">
        <v>45380</v>
      </c>
      <c r="F14" s="12">
        <v>3</v>
      </c>
      <c r="G14" s="12">
        <v>821</v>
      </c>
      <c r="H14" s="12" t="s">
        <v>27</v>
      </c>
      <c r="I14" s="12" t="s">
        <v>32</v>
      </c>
      <c r="J14" s="12" t="s">
        <v>45</v>
      </c>
      <c r="K14" s="14" t="str">
        <f>TEXT('Retail Store Sales'!$D14,"yyyy")</f>
        <v>2024</v>
      </c>
      <c r="L14" s="11" t="str">
        <f>TEXT('Retail Store Sales'!$D14,"mmm")</f>
        <v>Mar</v>
      </c>
      <c r="M14" s="12" t="str">
        <f>TEXT('Retail Store Sales'!$D14,"dddd")</f>
        <v>Tuesday</v>
      </c>
      <c r="N14" s="23">
        <f t="shared" si="0"/>
        <v>10</v>
      </c>
      <c r="O14" s="16">
        <f>ROUND('Retail Store Sales'!$F14*'Retail Store Sales'!$G14*_xlfn.XLOOKUP('Retail Store Sales'!$C14,Table2[Product Name],Table2[Cost Percentage],0),0)</f>
        <v>1847</v>
      </c>
      <c r="P14" s="12">
        <f>'Retail Store Sales'!$F14*'Retail Store Sales'!$G14</f>
        <v>2463</v>
      </c>
      <c r="Q14" s="12">
        <f>P14-Table1[[#This Row],[Total cost]]</f>
        <v>616</v>
      </c>
    </row>
    <row r="15" spans="1:17" x14ac:dyDescent="0.45">
      <c r="A15" s="16" t="s">
        <v>46</v>
      </c>
      <c r="B15" s="16" t="s">
        <v>11</v>
      </c>
      <c r="C15" s="16" t="s">
        <v>26</v>
      </c>
      <c r="D15" s="17">
        <v>45487</v>
      </c>
      <c r="E15" s="17">
        <v>45501</v>
      </c>
      <c r="F15" s="16">
        <v>10</v>
      </c>
      <c r="G15" s="16">
        <v>489</v>
      </c>
      <c r="H15" s="16" t="s">
        <v>27</v>
      </c>
      <c r="I15" s="16" t="s">
        <v>32</v>
      </c>
      <c r="J15" s="16" t="s">
        <v>28</v>
      </c>
      <c r="K15" s="18" t="str">
        <f>TEXT('Retail Store Sales'!$D15,"yyyy")</f>
        <v>2024</v>
      </c>
      <c r="L15" s="15" t="str">
        <f>TEXT('Retail Store Sales'!$D15,"mmm")</f>
        <v>Jul</v>
      </c>
      <c r="M15" s="16" t="str">
        <f>TEXT('Retail Store Sales'!$D15,"dddd")</f>
        <v>Sunday</v>
      </c>
      <c r="N15" s="24">
        <f t="shared" si="0"/>
        <v>14</v>
      </c>
      <c r="O15" s="16">
        <f>ROUND('Retail Store Sales'!$F15*'Retail Store Sales'!$G15*_xlfn.XLOOKUP('Retail Store Sales'!$C15,Table2[Product Name],Table2[Cost Percentage],0),0)</f>
        <v>3179</v>
      </c>
      <c r="P15" s="16">
        <f>'Retail Store Sales'!$F15*'Retail Store Sales'!$G15</f>
        <v>4890</v>
      </c>
      <c r="Q15" s="12">
        <f>P15-Table1[[#This Row],[Total cost]]</f>
        <v>1711</v>
      </c>
    </row>
    <row r="16" spans="1:17" x14ac:dyDescent="0.45">
      <c r="A16" s="12" t="s">
        <v>47</v>
      </c>
      <c r="B16" s="12" t="s">
        <v>11</v>
      </c>
      <c r="C16" s="12" t="s">
        <v>12</v>
      </c>
      <c r="D16" s="13">
        <v>45641</v>
      </c>
      <c r="E16" s="13">
        <v>45650</v>
      </c>
      <c r="F16" s="12">
        <v>9</v>
      </c>
      <c r="G16" s="12">
        <v>778</v>
      </c>
      <c r="H16" s="12" t="s">
        <v>13</v>
      </c>
      <c r="I16" s="12" t="s">
        <v>546</v>
      </c>
      <c r="J16" s="12" t="s">
        <v>28</v>
      </c>
      <c r="K16" s="14" t="str">
        <f>TEXT('Retail Store Sales'!$D16,"yyyy")</f>
        <v>2024</v>
      </c>
      <c r="L16" s="11" t="str">
        <f>TEXT('Retail Store Sales'!$D16,"mmm")</f>
        <v>Dec</v>
      </c>
      <c r="M16" s="12" t="str">
        <f>TEXT('Retail Store Sales'!$D16,"dddd")</f>
        <v>Sunday</v>
      </c>
      <c r="N16" s="23">
        <f t="shared" si="0"/>
        <v>9</v>
      </c>
      <c r="O16" s="16">
        <f>ROUND('Retail Store Sales'!$F16*'Retail Store Sales'!$G16*_xlfn.XLOOKUP('Retail Store Sales'!$C16,Table2[Product Name],Table2[Cost Percentage],0),0)</f>
        <v>5252</v>
      </c>
      <c r="P16" s="12">
        <f>'Retail Store Sales'!$F16*'Retail Store Sales'!$G16</f>
        <v>7002</v>
      </c>
      <c r="Q16" s="12">
        <f>P16-Table1[[#This Row],[Total cost]]</f>
        <v>1750</v>
      </c>
    </row>
    <row r="17" spans="1:17" x14ac:dyDescent="0.45">
      <c r="A17" s="16" t="s">
        <v>48</v>
      </c>
      <c r="B17" s="16" t="s">
        <v>30</v>
      </c>
      <c r="C17" s="16" t="s">
        <v>49</v>
      </c>
      <c r="D17" s="17">
        <v>45372</v>
      </c>
      <c r="E17" s="17">
        <v>45380</v>
      </c>
      <c r="F17" s="16">
        <v>8</v>
      </c>
      <c r="G17" s="16">
        <v>13</v>
      </c>
      <c r="H17" s="16" t="s">
        <v>27</v>
      </c>
      <c r="I17" s="16" t="s">
        <v>32</v>
      </c>
      <c r="J17" s="16" t="s">
        <v>45</v>
      </c>
      <c r="K17" s="18" t="str">
        <f>TEXT('Retail Store Sales'!$D17,"yyyy")</f>
        <v>2024</v>
      </c>
      <c r="L17" s="15" t="str">
        <f>TEXT('Retail Store Sales'!$D17,"mmm")</f>
        <v>Mar</v>
      </c>
      <c r="M17" s="16" t="str">
        <f>TEXT('Retail Store Sales'!$D17,"dddd")</f>
        <v>Thursday</v>
      </c>
      <c r="N17" s="24">
        <f t="shared" si="0"/>
        <v>8</v>
      </c>
      <c r="O17" s="16">
        <f>ROUND('Retail Store Sales'!$F17*'Retail Store Sales'!$G17*_xlfn.XLOOKUP('Retail Store Sales'!$C17,Table2[Product Name],Table2[Cost Percentage],0),0)</f>
        <v>73</v>
      </c>
      <c r="P17" s="16">
        <f>'Retail Store Sales'!$F17*'Retail Store Sales'!$G17</f>
        <v>104</v>
      </c>
      <c r="Q17" s="12">
        <f>P17-Table1[[#This Row],[Total cost]]</f>
        <v>31</v>
      </c>
    </row>
    <row r="18" spans="1:17" x14ac:dyDescent="0.45">
      <c r="A18" s="12" t="s">
        <v>50</v>
      </c>
      <c r="B18" s="12" t="s">
        <v>20</v>
      </c>
      <c r="C18" s="12" t="s">
        <v>51</v>
      </c>
      <c r="D18" s="13">
        <v>45346</v>
      </c>
      <c r="E18" s="13">
        <v>45354</v>
      </c>
      <c r="F18" s="12">
        <v>5</v>
      </c>
      <c r="G18" s="12">
        <v>871</v>
      </c>
      <c r="H18" s="12" t="s">
        <v>27</v>
      </c>
      <c r="I18" s="12" t="s">
        <v>32</v>
      </c>
      <c r="J18" s="12" t="s">
        <v>14</v>
      </c>
      <c r="K18" s="14" t="str">
        <f>TEXT('Retail Store Sales'!$D18,"yyyy")</f>
        <v>2024</v>
      </c>
      <c r="L18" s="11" t="str">
        <f>TEXT('Retail Store Sales'!$D18,"mmm")</f>
        <v>Feb</v>
      </c>
      <c r="M18" s="12" t="str">
        <f>TEXT('Retail Store Sales'!$D18,"dddd")</f>
        <v>Saturday</v>
      </c>
      <c r="N18" s="23">
        <f t="shared" si="0"/>
        <v>8</v>
      </c>
      <c r="O18" s="16">
        <f>ROUND('Retail Store Sales'!$F18*'Retail Store Sales'!$G18*_xlfn.XLOOKUP('Retail Store Sales'!$C18,Table2[Product Name],Table2[Cost Percentage],0),0)</f>
        <v>3049</v>
      </c>
      <c r="P18" s="12">
        <f>'Retail Store Sales'!$F18*'Retail Store Sales'!$G18</f>
        <v>4355</v>
      </c>
      <c r="Q18" s="12">
        <f>P18-Table1[[#This Row],[Total cost]]</f>
        <v>1306</v>
      </c>
    </row>
    <row r="19" spans="1:17" x14ac:dyDescent="0.45">
      <c r="A19" s="16" t="s">
        <v>52</v>
      </c>
      <c r="B19" s="16" t="s">
        <v>20</v>
      </c>
      <c r="C19" s="16" t="s">
        <v>53</v>
      </c>
      <c r="D19" s="17">
        <v>45483</v>
      </c>
      <c r="E19" s="17">
        <v>45492</v>
      </c>
      <c r="F19" s="16">
        <v>3</v>
      </c>
      <c r="G19" s="16">
        <v>562</v>
      </c>
      <c r="H19" s="16" t="s">
        <v>13</v>
      </c>
      <c r="I19" s="16" t="s">
        <v>548</v>
      </c>
      <c r="J19" s="16" t="s">
        <v>45</v>
      </c>
      <c r="K19" s="18" t="str">
        <f>TEXT('Retail Store Sales'!$D19,"yyyy")</f>
        <v>2024</v>
      </c>
      <c r="L19" s="15" t="str">
        <f>TEXT('Retail Store Sales'!$D19,"mmm")</f>
        <v>Jul</v>
      </c>
      <c r="M19" s="16" t="str">
        <f>TEXT('Retail Store Sales'!$D19,"dddd")</f>
        <v>Wednesday</v>
      </c>
      <c r="N19" s="24">
        <f t="shared" si="0"/>
        <v>9</v>
      </c>
      <c r="O19" s="16">
        <f>ROUND('Retail Store Sales'!$F19*'Retail Store Sales'!$G19*_xlfn.XLOOKUP('Retail Store Sales'!$C19,Table2[Product Name],Table2[Cost Percentage],0),0)</f>
        <v>1180</v>
      </c>
      <c r="P19" s="16">
        <f>'Retail Store Sales'!$F19*'Retail Store Sales'!$G19</f>
        <v>1686</v>
      </c>
      <c r="Q19" s="12">
        <f>P19-Table1[[#This Row],[Total cost]]</f>
        <v>506</v>
      </c>
    </row>
    <row r="20" spans="1:17" x14ac:dyDescent="0.45">
      <c r="A20" s="12" t="s">
        <v>54</v>
      </c>
      <c r="B20" s="12" t="s">
        <v>16</v>
      </c>
      <c r="C20" s="12" t="s">
        <v>55</v>
      </c>
      <c r="D20" s="13">
        <v>45542</v>
      </c>
      <c r="E20" s="13">
        <v>45552</v>
      </c>
      <c r="F20" s="12">
        <v>1</v>
      </c>
      <c r="G20" s="12">
        <v>124</v>
      </c>
      <c r="H20" s="12" t="s">
        <v>13</v>
      </c>
      <c r="I20" s="12" t="s">
        <v>546</v>
      </c>
      <c r="J20" s="12" t="s">
        <v>14</v>
      </c>
      <c r="K20" s="14" t="str">
        <f>TEXT('Retail Store Sales'!$D20,"yyyy")</f>
        <v>2024</v>
      </c>
      <c r="L20" s="11" t="str">
        <f>TEXT('Retail Store Sales'!$D20,"mmm")</f>
        <v>Sep</v>
      </c>
      <c r="M20" s="12" t="str">
        <f>TEXT('Retail Store Sales'!$D20,"dddd")</f>
        <v>Saturday</v>
      </c>
      <c r="N20" s="23">
        <f t="shared" si="0"/>
        <v>10</v>
      </c>
      <c r="O20" s="16">
        <f>ROUND('Retail Store Sales'!$F20*'Retail Store Sales'!$G20*_xlfn.XLOOKUP('Retail Store Sales'!$C20,Table2[Product Name],Table2[Cost Percentage],0),0)</f>
        <v>68</v>
      </c>
      <c r="P20" s="12">
        <f>'Retail Store Sales'!$F20*'Retail Store Sales'!$G20</f>
        <v>124</v>
      </c>
      <c r="Q20" s="12">
        <f>P20-Table1[[#This Row],[Total cost]]</f>
        <v>56</v>
      </c>
    </row>
    <row r="21" spans="1:17" x14ac:dyDescent="0.45">
      <c r="A21" s="16" t="s">
        <v>56</v>
      </c>
      <c r="B21" s="16" t="s">
        <v>11</v>
      </c>
      <c r="C21" s="16" t="s">
        <v>57</v>
      </c>
      <c r="D21" s="17">
        <v>45582</v>
      </c>
      <c r="E21" s="17">
        <v>45588</v>
      </c>
      <c r="F21" s="16">
        <v>2</v>
      </c>
      <c r="G21" s="16">
        <v>97</v>
      </c>
      <c r="H21" s="16" t="s">
        <v>13</v>
      </c>
      <c r="I21" s="16" t="s">
        <v>32</v>
      </c>
      <c r="J21" s="16" t="s">
        <v>45</v>
      </c>
      <c r="K21" s="18" t="str">
        <f>TEXT('Retail Store Sales'!$D21,"yyyy")</f>
        <v>2024</v>
      </c>
      <c r="L21" s="15" t="str">
        <f>TEXT('Retail Store Sales'!$D21,"mmm")</f>
        <v>Oct</v>
      </c>
      <c r="M21" s="16" t="str">
        <f>TEXT('Retail Store Sales'!$D21,"dddd")</f>
        <v>Thursday</v>
      </c>
      <c r="N21" s="24">
        <f t="shared" si="0"/>
        <v>6</v>
      </c>
      <c r="O21" s="16">
        <f>ROUND('Retail Store Sales'!$F21*'Retail Store Sales'!$G21*_xlfn.XLOOKUP('Retail Store Sales'!$C21,Table2[Product Name],Table2[Cost Percentage],0),0)</f>
        <v>165</v>
      </c>
      <c r="P21" s="16">
        <f>'Retail Store Sales'!$F21*'Retail Store Sales'!$G21</f>
        <v>194</v>
      </c>
      <c r="Q21" s="12">
        <f>P21-Table1[[#This Row],[Total cost]]</f>
        <v>29</v>
      </c>
    </row>
    <row r="22" spans="1:17" x14ac:dyDescent="0.45">
      <c r="A22" s="12" t="s">
        <v>42</v>
      </c>
      <c r="B22" s="12" t="s">
        <v>16</v>
      </c>
      <c r="C22" s="12" t="s">
        <v>43</v>
      </c>
      <c r="D22" s="13">
        <v>45477</v>
      </c>
      <c r="E22" s="13">
        <v>45480</v>
      </c>
      <c r="F22" s="12">
        <v>4</v>
      </c>
      <c r="G22" s="12">
        <v>151</v>
      </c>
      <c r="H22" s="12" t="s">
        <v>13</v>
      </c>
      <c r="I22" s="12" t="s">
        <v>32</v>
      </c>
      <c r="J22" s="12" t="s">
        <v>14</v>
      </c>
      <c r="K22" s="14" t="str">
        <f>TEXT('Retail Store Sales'!$D22,"yyyy")</f>
        <v>2024</v>
      </c>
      <c r="L22" s="11" t="str">
        <f>TEXT('Retail Store Sales'!$D22,"mmm")</f>
        <v>Jul</v>
      </c>
      <c r="M22" s="12" t="str">
        <f>TEXT('Retail Store Sales'!$D22,"dddd")</f>
        <v>Thursday</v>
      </c>
      <c r="N22" s="23">
        <f t="shared" si="0"/>
        <v>3</v>
      </c>
      <c r="O22" s="16">
        <f>ROUND('Retail Store Sales'!$F22*'Retail Store Sales'!$G22*_xlfn.XLOOKUP('Retail Store Sales'!$C22,Table2[Product Name],Table2[Cost Percentage],0),0)</f>
        <v>362</v>
      </c>
      <c r="P22" s="12">
        <f>'Retail Store Sales'!$F22*'Retail Store Sales'!$G22</f>
        <v>604</v>
      </c>
      <c r="Q22" s="12">
        <f>P22-Table1[[#This Row],[Total cost]]</f>
        <v>242</v>
      </c>
    </row>
    <row r="23" spans="1:17" x14ac:dyDescent="0.45">
      <c r="A23" s="16" t="s">
        <v>58</v>
      </c>
      <c r="B23" s="16" t="s">
        <v>16</v>
      </c>
      <c r="C23" s="16" t="s">
        <v>59</v>
      </c>
      <c r="D23" s="17">
        <v>45508</v>
      </c>
      <c r="E23" s="17">
        <v>45520</v>
      </c>
      <c r="F23" s="16">
        <v>4</v>
      </c>
      <c r="G23" s="16">
        <v>961</v>
      </c>
      <c r="H23" s="16" t="s">
        <v>27</v>
      </c>
      <c r="I23" s="16" t="s">
        <v>32</v>
      </c>
      <c r="J23" s="16" t="s">
        <v>14</v>
      </c>
      <c r="K23" s="18" t="str">
        <f>TEXT('Retail Store Sales'!$D23,"yyyy")</f>
        <v>2024</v>
      </c>
      <c r="L23" s="15" t="str">
        <f>TEXT('Retail Store Sales'!$D23,"mmm")</f>
        <v>Aug</v>
      </c>
      <c r="M23" s="16" t="str">
        <f>TEXT('Retail Store Sales'!$D23,"dddd")</f>
        <v>Sunday</v>
      </c>
      <c r="N23" s="24">
        <f t="shared" si="0"/>
        <v>12</v>
      </c>
      <c r="O23" s="16">
        <f>ROUND('Retail Store Sales'!$F23*'Retail Store Sales'!$G23*_xlfn.XLOOKUP('Retail Store Sales'!$C23,Table2[Product Name],Table2[Cost Percentage],0),0)</f>
        <v>2499</v>
      </c>
      <c r="P23" s="16">
        <f>'Retail Store Sales'!$F23*'Retail Store Sales'!$G23</f>
        <v>3844</v>
      </c>
      <c r="Q23" s="12">
        <f>P23-Table1[[#This Row],[Total cost]]</f>
        <v>1345</v>
      </c>
    </row>
    <row r="24" spans="1:17" x14ac:dyDescent="0.45">
      <c r="A24" s="12" t="s">
        <v>60</v>
      </c>
      <c r="B24" s="12" t="s">
        <v>30</v>
      </c>
      <c r="C24" s="12" t="s">
        <v>49</v>
      </c>
      <c r="D24" s="13">
        <v>45635</v>
      </c>
      <c r="E24" s="13">
        <v>45638</v>
      </c>
      <c r="F24" s="12">
        <v>6</v>
      </c>
      <c r="G24" s="12">
        <v>458</v>
      </c>
      <c r="H24" s="12" t="s">
        <v>13</v>
      </c>
      <c r="I24" s="12" t="s">
        <v>32</v>
      </c>
      <c r="J24" s="12" t="s">
        <v>18</v>
      </c>
      <c r="K24" s="14" t="str">
        <f>TEXT('Retail Store Sales'!$D24,"yyyy")</f>
        <v>2024</v>
      </c>
      <c r="L24" s="11" t="str">
        <f>TEXT('Retail Store Sales'!$D24,"mmm")</f>
        <v>Dec</v>
      </c>
      <c r="M24" s="12" t="str">
        <f>TEXT('Retail Store Sales'!$D24,"dddd")</f>
        <v>Monday</v>
      </c>
      <c r="N24" s="23">
        <f t="shared" si="0"/>
        <v>3</v>
      </c>
      <c r="O24" s="16">
        <f>ROUND('Retail Store Sales'!$F24*'Retail Store Sales'!$G24*_xlfn.XLOOKUP('Retail Store Sales'!$C24,Table2[Product Name],Table2[Cost Percentage],0),0)</f>
        <v>1924</v>
      </c>
      <c r="P24" s="12">
        <f>'Retail Store Sales'!$F24*'Retail Store Sales'!$G24</f>
        <v>2748</v>
      </c>
      <c r="Q24" s="12">
        <f>P24-Table1[[#This Row],[Total cost]]</f>
        <v>824</v>
      </c>
    </row>
    <row r="25" spans="1:17" x14ac:dyDescent="0.45">
      <c r="A25" s="16" t="s">
        <v>61</v>
      </c>
      <c r="B25" s="16" t="s">
        <v>20</v>
      </c>
      <c r="C25" s="16" t="s">
        <v>53</v>
      </c>
      <c r="D25" s="17">
        <v>45324</v>
      </c>
      <c r="E25" s="17">
        <v>45334</v>
      </c>
      <c r="F25" s="16">
        <v>6</v>
      </c>
      <c r="G25" s="16">
        <v>31</v>
      </c>
      <c r="H25" s="16" t="s">
        <v>13</v>
      </c>
      <c r="I25" s="16" t="s">
        <v>32</v>
      </c>
      <c r="J25" s="16" t="s">
        <v>28</v>
      </c>
      <c r="K25" s="18" t="str">
        <f>TEXT('Retail Store Sales'!$D25,"yyyy")</f>
        <v>2024</v>
      </c>
      <c r="L25" s="15" t="str">
        <f>TEXT('Retail Store Sales'!$D25,"mmm")</f>
        <v>Feb</v>
      </c>
      <c r="M25" s="16" t="str">
        <f>TEXT('Retail Store Sales'!$D25,"dddd")</f>
        <v>Friday</v>
      </c>
      <c r="N25" s="24">
        <f t="shared" si="0"/>
        <v>10</v>
      </c>
      <c r="O25" s="16">
        <f>ROUND('Retail Store Sales'!$F25*'Retail Store Sales'!$G25*_xlfn.XLOOKUP('Retail Store Sales'!$C25,Table2[Product Name],Table2[Cost Percentage],0),0)</f>
        <v>130</v>
      </c>
      <c r="P25" s="16">
        <f>'Retail Store Sales'!$F25*'Retail Store Sales'!$G25</f>
        <v>186</v>
      </c>
      <c r="Q25" s="12">
        <f>P25-Table1[[#This Row],[Total cost]]</f>
        <v>56</v>
      </c>
    </row>
    <row r="26" spans="1:17" x14ac:dyDescent="0.45">
      <c r="A26" s="12" t="s">
        <v>62</v>
      </c>
      <c r="B26" s="12" t="s">
        <v>16</v>
      </c>
      <c r="C26" s="12" t="s">
        <v>63</v>
      </c>
      <c r="D26" s="13">
        <v>45295</v>
      </c>
      <c r="E26" s="13">
        <v>45306</v>
      </c>
      <c r="F26" s="12">
        <v>2</v>
      </c>
      <c r="G26" s="12">
        <v>734</v>
      </c>
      <c r="H26" s="12" t="s">
        <v>13</v>
      </c>
      <c r="I26" s="12" t="s">
        <v>32</v>
      </c>
      <c r="J26" s="12" t="s">
        <v>45</v>
      </c>
      <c r="K26" s="14" t="str">
        <f>TEXT('Retail Store Sales'!$D26,"yyyy")</f>
        <v>2024</v>
      </c>
      <c r="L26" s="11" t="str">
        <f>TEXT('Retail Store Sales'!$D26,"mmm")</f>
        <v>Jan</v>
      </c>
      <c r="M26" s="12" t="str">
        <f>TEXT('Retail Store Sales'!$D26,"dddd")</f>
        <v>Thursday</v>
      </c>
      <c r="N26" s="23">
        <f t="shared" si="0"/>
        <v>11</v>
      </c>
      <c r="O26" s="16">
        <f>ROUND('Retail Store Sales'!$F26*'Retail Store Sales'!$G26*_xlfn.XLOOKUP('Retail Store Sales'!$C26,Table2[Product Name],Table2[Cost Percentage],0),0)</f>
        <v>734</v>
      </c>
      <c r="P26" s="12">
        <f>'Retail Store Sales'!$F26*'Retail Store Sales'!$G26</f>
        <v>1468</v>
      </c>
      <c r="Q26" s="12">
        <f>P26-Table1[[#This Row],[Total cost]]</f>
        <v>734</v>
      </c>
    </row>
    <row r="27" spans="1:17" x14ac:dyDescent="0.45">
      <c r="A27" s="16" t="s">
        <v>64</v>
      </c>
      <c r="B27" s="16" t="s">
        <v>11</v>
      </c>
      <c r="C27" s="16" t="s">
        <v>12</v>
      </c>
      <c r="D27" s="17">
        <v>45461</v>
      </c>
      <c r="E27" s="17">
        <v>45472</v>
      </c>
      <c r="F27" s="16">
        <v>2</v>
      </c>
      <c r="G27" s="16">
        <v>536</v>
      </c>
      <c r="H27" s="16" t="s">
        <v>27</v>
      </c>
      <c r="I27" s="16" t="s">
        <v>550</v>
      </c>
      <c r="J27" s="16" t="s">
        <v>14</v>
      </c>
      <c r="K27" s="18" t="str">
        <f>TEXT('Retail Store Sales'!$D27,"yyyy")</f>
        <v>2024</v>
      </c>
      <c r="L27" s="15" t="str">
        <f>TEXT('Retail Store Sales'!$D27,"mmm")</f>
        <v>Jun</v>
      </c>
      <c r="M27" s="16" t="str">
        <f>TEXT('Retail Store Sales'!$D27,"dddd")</f>
        <v>Tuesday</v>
      </c>
      <c r="N27" s="24">
        <f t="shared" si="0"/>
        <v>11</v>
      </c>
      <c r="O27" s="16">
        <f>ROUND('Retail Store Sales'!$F27*'Retail Store Sales'!$G27*_xlfn.XLOOKUP('Retail Store Sales'!$C27,Table2[Product Name],Table2[Cost Percentage],0),0)</f>
        <v>804</v>
      </c>
      <c r="P27" s="16">
        <f>'Retail Store Sales'!$F27*'Retail Store Sales'!$G27</f>
        <v>1072</v>
      </c>
      <c r="Q27" s="12">
        <f>P27-Table1[[#This Row],[Total cost]]</f>
        <v>268</v>
      </c>
    </row>
    <row r="28" spans="1:17" x14ac:dyDescent="0.45">
      <c r="A28" s="12" t="s">
        <v>65</v>
      </c>
      <c r="B28" s="12" t="s">
        <v>23</v>
      </c>
      <c r="C28" s="12" t="s">
        <v>37</v>
      </c>
      <c r="D28" s="13">
        <v>45531</v>
      </c>
      <c r="E28" s="13">
        <v>45534</v>
      </c>
      <c r="F28" s="12">
        <v>1</v>
      </c>
      <c r="G28" s="12">
        <v>200</v>
      </c>
      <c r="H28" s="12" t="s">
        <v>13</v>
      </c>
      <c r="I28" s="12" t="s">
        <v>32</v>
      </c>
      <c r="J28" s="12" t="s">
        <v>45</v>
      </c>
      <c r="K28" s="14" t="str">
        <f>TEXT('Retail Store Sales'!$D28,"yyyy")</f>
        <v>2024</v>
      </c>
      <c r="L28" s="11" t="str">
        <f>TEXT('Retail Store Sales'!$D28,"mmm")</f>
        <v>Aug</v>
      </c>
      <c r="M28" s="12" t="str">
        <f>TEXT('Retail Store Sales'!$D28,"dddd")</f>
        <v>Tuesday</v>
      </c>
      <c r="N28" s="23">
        <f t="shared" si="0"/>
        <v>3</v>
      </c>
      <c r="O28" s="16">
        <f>ROUND('Retail Store Sales'!$F28*'Retail Store Sales'!$G28*_xlfn.XLOOKUP('Retail Store Sales'!$C28,Table2[Product Name],Table2[Cost Percentage],0),0)</f>
        <v>100</v>
      </c>
      <c r="P28" s="12">
        <f>'Retail Store Sales'!$F28*'Retail Store Sales'!$G28</f>
        <v>200</v>
      </c>
      <c r="Q28" s="12">
        <f>P28-Table1[[#This Row],[Total cost]]</f>
        <v>100</v>
      </c>
    </row>
    <row r="29" spans="1:17" x14ac:dyDescent="0.45">
      <c r="A29" s="16" t="s">
        <v>66</v>
      </c>
      <c r="B29" s="16" t="s">
        <v>16</v>
      </c>
      <c r="C29" s="16" t="s">
        <v>17</v>
      </c>
      <c r="D29" s="17">
        <v>45317</v>
      </c>
      <c r="E29" s="17">
        <v>45329</v>
      </c>
      <c r="F29" s="16">
        <v>9</v>
      </c>
      <c r="G29" s="16">
        <v>866</v>
      </c>
      <c r="H29" s="16" t="s">
        <v>13</v>
      </c>
      <c r="I29" s="16" t="s">
        <v>550</v>
      </c>
      <c r="J29" s="16" t="s">
        <v>28</v>
      </c>
      <c r="K29" s="18" t="str">
        <f>TEXT('Retail Store Sales'!$D29,"yyyy")</f>
        <v>2024</v>
      </c>
      <c r="L29" s="15" t="str">
        <f>TEXT('Retail Store Sales'!$D29,"mmm")</f>
        <v>Jan</v>
      </c>
      <c r="M29" s="16" t="str">
        <f>TEXT('Retail Store Sales'!$D29,"dddd")</f>
        <v>Friday</v>
      </c>
      <c r="N29" s="24">
        <f t="shared" si="0"/>
        <v>12</v>
      </c>
      <c r="O29" s="16">
        <f>ROUND('Retail Store Sales'!$F29*'Retail Store Sales'!$G29*_xlfn.XLOOKUP('Retail Store Sales'!$C29,Table2[Product Name],Table2[Cost Percentage],0),0)</f>
        <v>3897</v>
      </c>
      <c r="P29" s="16">
        <f>'Retail Store Sales'!$F29*'Retail Store Sales'!$G29</f>
        <v>7794</v>
      </c>
      <c r="Q29" s="12">
        <f>P29-Table1[[#This Row],[Total cost]]</f>
        <v>3897</v>
      </c>
    </row>
    <row r="30" spans="1:17" x14ac:dyDescent="0.45">
      <c r="A30" s="12" t="s">
        <v>67</v>
      </c>
      <c r="B30" s="12" t="s">
        <v>20</v>
      </c>
      <c r="C30" s="12" t="s">
        <v>21</v>
      </c>
      <c r="D30" s="13">
        <v>45540</v>
      </c>
      <c r="E30" s="13">
        <v>45554</v>
      </c>
      <c r="F30" s="12">
        <v>8</v>
      </c>
      <c r="G30" s="12">
        <v>228</v>
      </c>
      <c r="H30" s="12" t="s">
        <v>13</v>
      </c>
      <c r="I30" s="12" t="s">
        <v>548</v>
      </c>
      <c r="J30" s="12" t="s">
        <v>28</v>
      </c>
      <c r="K30" s="14" t="str">
        <f>TEXT('Retail Store Sales'!$D30,"yyyy")</f>
        <v>2024</v>
      </c>
      <c r="L30" s="11" t="str">
        <f>TEXT('Retail Store Sales'!$D30,"mmm")</f>
        <v>Sep</v>
      </c>
      <c r="M30" s="12" t="str">
        <f>TEXT('Retail Store Sales'!$D30,"dddd")</f>
        <v>Thursday</v>
      </c>
      <c r="N30" s="23">
        <f t="shared" si="0"/>
        <v>14</v>
      </c>
      <c r="O30" s="16">
        <f>ROUND('Retail Store Sales'!$F30*'Retail Store Sales'!$G30*_xlfn.XLOOKUP('Retail Store Sales'!$C30,Table2[Product Name],Table2[Cost Percentage],0),0)</f>
        <v>1368</v>
      </c>
      <c r="P30" s="12">
        <f>'Retail Store Sales'!$F30*'Retail Store Sales'!$G30</f>
        <v>1824</v>
      </c>
      <c r="Q30" s="12">
        <f>P30-Table1[[#This Row],[Total cost]]</f>
        <v>456</v>
      </c>
    </row>
    <row r="31" spans="1:17" x14ac:dyDescent="0.45">
      <c r="A31" s="16" t="s">
        <v>68</v>
      </c>
      <c r="B31" s="16" t="s">
        <v>23</v>
      </c>
      <c r="C31" s="16" t="s">
        <v>69</v>
      </c>
      <c r="D31" s="17">
        <v>45630</v>
      </c>
      <c r="E31" s="17">
        <v>45637</v>
      </c>
      <c r="F31" s="16">
        <v>8</v>
      </c>
      <c r="G31" s="16">
        <v>168</v>
      </c>
      <c r="H31" s="16" t="s">
        <v>13</v>
      </c>
      <c r="I31" s="16" t="s">
        <v>550</v>
      </c>
      <c r="J31" s="16" t="s">
        <v>18</v>
      </c>
      <c r="K31" s="18" t="str">
        <f>TEXT('Retail Store Sales'!$D31,"yyyy")</f>
        <v>2024</v>
      </c>
      <c r="L31" s="15" t="str">
        <f>TEXT('Retail Store Sales'!$D31,"mmm")</f>
        <v>Dec</v>
      </c>
      <c r="M31" s="16" t="str">
        <f>TEXT('Retail Store Sales'!$D31,"dddd")</f>
        <v>Wednesday</v>
      </c>
      <c r="N31" s="24">
        <f t="shared" si="0"/>
        <v>7</v>
      </c>
      <c r="O31" s="16">
        <f>ROUND('Retail Store Sales'!$F31*'Retail Store Sales'!$G31*_xlfn.XLOOKUP('Retail Store Sales'!$C31,Table2[Product Name],Table2[Cost Percentage],0),0)</f>
        <v>739</v>
      </c>
      <c r="P31" s="16">
        <f>'Retail Store Sales'!$F31*'Retail Store Sales'!$G31</f>
        <v>1344</v>
      </c>
      <c r="Q31" s="12">
        <f>P31-Table1[[#This Row],[Total cost]]</f>
        <v>605</v>
      </c>
    </row>
    <row r="32" spans="1:17" x14ac:dyDescent="0.45">
      <c r="A32" s="12" t="s">
        <v>70</v>
      </c>
      <c r="B32" s="12" t="s">
        <v>11</v>
      </c>
      <c r="C32" s="12" t="s">
        <v>35</v>
      </c>
      <c r="D32" s="13">
        <v>45569</v>
      </c>
      <c r="E32" s="13">
        <v>45572</v>
      </c>
      <c r="F32" s="12">
        <v>1</v>
      </c>
      <c r="G32" s="12">
        <v>775</v>
      </c>
      <c r="H32" s="12" t="s">
        <v>13</v>
      </c>
      <c r="I32" s="12" t="s">
        <v>546</v>
      </c>
      <c r="J32" s="12" t="s">
        <v>18</v>
      </c>
      <c r="K32" s="14" t="str">
        <f>TEXT('Retail Store Sales'!$D32,"yyyy")</f>
        <v>2024</v>
      </c>
      <c r="L32" s="11" t="str">
        <f>TEXT('Retail Store Sales'!$D32,"mmm")</f>
        <v>Oct</v>
      </c>
      <c r="M32" s="12" t="str">
        <f>TEXT('Retail Store Sales'!$D32,"dddd")</f>
        <v>Friday</v>
      </c>
      <c r="N32" s="23">
        <f t="shared" si="0"/>
        <v>3</v>
      </c>
      <c r="O32" s="16">
        <f>ROUND('Retail Store Sales'!$F32*'Retail Store Sales'!$G32*_xlfn.XLOOKUP('Retail Store Sales'!$C32,Table2[Product Name],Table2[Cost Percentage],0),0)</f>
        <v>620</v>
      </c>
      <c r="P32" s="12">
        <f>'Retail Store Sales'!$F32*'Retail Store Sales'!$G32</f>
        <v>775</v>
      </c>
      <c r="Q32" s="12">
        <f>P32-Table1[[#This Row],[Total cost]]</f>
        <v>155</v>
      </c>
    </row>
    <row r="33" spans="1:17" x14ac:dyDescent="0.45">
      <c r="A33" s="16" t="s">
        <v>71</v>
      </c>
      <c r="B33" s="16" t="s">
        <v>16</v>
      </c>
      <c r="C33" s="16" t="s">
        <v>43</v>
      </c>
      <c r="D33" s="17">
        <v>45549</v>
      </c>
      <c r="E33" s="17">
        <v>45554</v>
      </c>
      <c r="F33" s="16">
        <v>9</v>
      </c>
      <c r="G33" s="16">
        <v>171</v>
      </c>
      <c r="H33" s="16" t="s">
        <v>13</v>
      </c>
      <c r="I33" s="16" t="s">
        <v>550</v>
      </c>
      <c r="J33" s="16" t="s">
        <v>28</v>
      </c>
      <c r="K33" s="18" t="str">
        <f>TEXT('Retail Store Sales'!$D33,"yyyy")</f>
        <v>2024</v>
      </c>
      <c r="L33" s="15" t="str">
        <f>TEXT('Retail Store Sales'!$D33,"mmm")</f>
        <v>Sep</v>
      </c>
      <c r="M33" s="16" t="str">
        <f>TEXT('Retail Store Sales'!$D33,"dddd")</f>
        <v>Saturday</v>
      </c>
      <c r="N33" s="24">
        <f t="shared" si="0"/>
        <v>5</v>
      </c>
      <c r="O33" s="16">
        <f>ROUND('Retail Store Sales'!$F33*'Retail Store Sales'!$G33*_xlfn.XLOOKUP('Retail Store Sales'!$C33,Table2[Product Name],Table2[Cost Percentage],0),0)</f>
        <v>923</v>
      </c>
      <c r="P33" s="16">
        <f>'Retail Store Sales'!$F33*'Retail Store Sales'!$G33</f>
        <v>1539</v>
      </c>
      <c r="Q33" s="12">
        <f>P33-Table1[[#This Row],[Total cost]]</f>
        <v>616</v>
      </c>
    </row>
    <row r="34" spans="1:17" x14ac:dyDescent="0.45">
      <c r="A34" s="12" t="s">
        <v>72</v>
      </c>
      <c r="B34" s="12" t="s">
        <v>11</v>
      </c>
      <c r="C34" s="12" t="s">
        <v>35</v>
      </c>
      <c r="D34" s="13">
        <v>45418</v>
      </c>
      <c r="E34" s="13">
        <v>45431</v>
      </c>
      <c r="F34" s="12">
        <v>10</v>
      </c>
      <c r="G34" s="12">
        <v>618</v>
      </c>
      <c r="H34" s="12" t="s">
        <v>13</v>
      </c>
      <c r="I34" s="12" t="s">
        <v>550</v>
      </c>
      <c r="J34" s="12" t="s">
        <v>45</v>
      </c>
      <c r="K34" s="14" t="str">
        <f>TEXT('Retail Store Sales'!$D34,"yyyy")</f>
        <v>2024</v>
      </c>
      <c r="L34" s="11" t="str">
        <f>TEXT('Retail Store Sales'!$D34,"mmm")</f>
        <v>May</v>
      </c>
      <c r="M34" s="12" t="str">
        <f>TEXT('Retail Store Sales'!$D34,"dddd")</f>
        <v>Monday</v>
      </c>
      <c r="N34" s="23">
        <f t="shared" si="0"/>
        <v>13</v>
      </c>
      <c r="O34" s="16">
        <f>ROUND('Retail Store Sales'!$F34*'Retail Store Sales'!$G34*_xlfn.XLOOKUP('Retail Store Sales'!$C34,Table2[Product Name],Table2[Cost Percentage],0),0)</f>
        <v>4944</v>
      </c>
      <c r="P34" s="12">
        <f>'Retail Store Sales'!$F34*'Retail Store Sales'!$G34</f>
        <v>6180</v>
      </c>
      <c r="Q34" s="12">
        <f>P34-Table1[[#This Row],[Total cost]]</f>
        <v>1236</v>
      </c>
    </row>
    <row r="35" spans="1:17" x14ac:dyDescent="0.45">
      <c r="A35" s="16" t="s">
        <v>73</v>
      </c>
      <c r="B35" s="16" t="s">
        <v>23</v>
      </c>
      <c r="C35" s="16" t="s">
        <v>69</v>
      </c>
      <c r="D35" s="17">
        <v>45581</v>
      </c>
      <c r="E35" s="17">
        <v>45586</v>
      </c>
      <c r="F35" s="16">
        <v>9</v>
      </c>
      <c r="G35" s="16">
        <v>333</v>
      </c>
      <c r="H35" s="16" t="s">
        <v>27</v>
      </c>
      <c r="I35" s="16" t="s">
        <v>546</v>
      </c>
      <c r="J35" s="16" t="s">
        <v>45</v>
      </c>
      <c r="K35" s="18" t="str">
        <f>TEXT('Retail Store Sales'!$D35,"yyyy")</f>
        <v>2024</v>
      </c>
      <c r="L35" s="15" t="str">
        <f>TEXT('Retail Store Sales'!$D35,"mmm")</f>
        <v>Oct</v>
      </c>
      <c r="M35" s="16" t="str">
        <f>TEXT('Retail Store Sales'!$D35,"dddd")</f>
        <v>Wednesday</v>
      </c>
      <c r="N35" s="24">
        <f t="shared" si="0"/>
        <v>5</v>
      </c>
      <c r="O35" s="16">
        <f>ROUND('Retail Store Sales'!$F35*'Retail Store Sales'!$G35*_xlfn.XLOOKUP('Retail Store Sales'!$C35,Table2[Product Name],Table2[Cost Percentage],0),0)</f>
        <v>1648</v>
      </c>
      <c r="P35" s="16">
        <f>'Retail Store Sales'!$F35*'Retail Store Sales'!$G35</f>
        <v>2997</v>
      </c>
      <c r="Q35" s="12">
        <f>P35-Table1[[#This Row],[Total cost]]</f>
        <v>1349</v>
      </c>
    </row>
    <row r="36" spans="1:17" x14ac:dyDescent="0.45">
      <c r="A36" s="12" t="s">
        <v>74</v>
      </c>
      <c r="B36" s="12" t="s">
        <v>30</v>
      </c>
      <c r="C36" s="12" t="s">
        <v>75</v>
      </c>
      <c r="D36" s="13">
        <v>45296</v>
      </c>
      <c r="E36" s="13">
        <v>45301</v>
      </c>
      <c r="F36" s="12">
        <v>8</v>
      </c>
      <c r="G36" s="12">
        <v>646</v>
      </c>
      <c r="H36" s="12" t="s">
        <v>13</v>
      </c>
      <c r="I36" s="12" t="s">
        <v>32</v>
      </c>
      <c r="J36" s="12" t="s">
        <v>45</v>
      </c>
      <c r="K36" s="14" t="str">
        <f>TEXT('Retail Store Sales'!$D36,"yyyy")</f>
        <v>2024</v>
      </c>
      <c r="L36" s="11" t="str">
        <f>TEXT('Retail Store Sales'!$D36,"mmm")</f>
        <v>Jan</v>
      </c>
      <c r="M36" s="12" t="str">
        <f>TEXT('Retail Store Sales'!$D36,"dddd")</f>
        <v>Friday</v>
      </c>
      <c r="N36" s="23">
        <f t="shared" si="0"/>
        <v>5</v>
      </c>
      <c r="O36" s="16">
        <f>ROUND('Retail Store Sales'!$F36*'Retail Store Sales'!$G36*_xlfn.XLOOKUP('Retail Store Sales'!$C36,Table2[Product Name],Table2[Cost Percentage],0),0)</f>
        <v>3876</v>
      </c>
      <c r="P36" s="12">
        <f>'Retail Store Sales'!$F36*'Retail Store Sales'!$G36</f>
        <v>5168</v>
      </c>
      <c r="Q36" s="12">
        <f>P36-Table1[[#This Row],[Total cost]]</f>
        <v>1292</v>
      </c>
    </row>
    <row r="37" spans="1:17" x14ac:dyDescent="0.45">
      <c r="A37" s="16" t="s">
        <v>76</v>
      </c>
      <c r="B37" s="16" t="s">
        <v>16</v>
      </c>
      <c r="C37" s="16" t="s">
        <v>63</v>
      </c>
      <c r="D37" s="17">
        <v>45551</v>
      </c>
      <c r="E37" s="17">
        <v>45556</v>
      </c>
      <c r="F37" s="16">
        <v>5</v>
      </c>
      <c r="G37" s="19">
        <v>496</v>
      </c>
      <c r="H37" s="16" t="s">
        <v>13</v>
      </c>
      <c r="I37" s="16" t="s">
        <v>546</v>
      </c>
      <c r="J37" s="16" t="s">
        <v>14</v>
      </c>
      <c r="K37" s="18" t="str">
        <f>TEXT('Retail Store Sales'!$D37,"yyyy")</f>
        <v>2024</v>
      </c>
      <c r="L37" s="15" t="str">
        <f>TEXT('Retail Store Sales'!$D37,"mmm")</f>
        <v>Sep</v>
      </c>
      <c r="M37" s="16" t="str">
        <f>TEXT('Retail Store Sales'!$D37,"dddd")</f>
        <v>Monday</v>
      </c>
      <c r="N37" s="24">
        <f t="shared" si="0"/>
        <v>5</v>
      </c>
      <c r="O37" s="16">
        <f>ROUND('Retail Store Sales'!$F37*'Retail Store Sales'!$G37*_xlfn.XLOOKUP('Retail Store Sales'!$C37,Table2[Product Name],Table2[Cost Percentage],0),0)</f>
        <v>1240</v>
      </c>
      <c r="P37" s="16">
        <f>'Retail Store Sales'!$F37*'Retail Store Sales'!$G37</f>
        <v>2480</v>
      </c>
      <c r="Q37" s="12">
        <f>P37-Table1[[#This Row],[Total cost]]</f>
        <v>1240</v>
      </c>
    </row>
    <row r="38" spans="1:17" x14ac:dyDescent="0.45">
      <c r="A38" s="12" t="s">
        <v>77</v>
      </c>
      <c r="B38" s="12" t="s">
        <v>30</v>
      </c>
      <c r="C38" s="12" t="s">
        <v>78</v>
      </c>
      <c r="D38" s="13">
        <v>45372</v>
      </c>
      <c r="E38" s="13">
        <v>45386</v>
      </c>
      <c r="F38" s="12">
        <v>8</v>
      </c>
      <c r="G38" s="12">
        <v>863</v>
      </c>
      <c r="H38" s="12" t="s">
        <v>27</v>
      </c>
      <c r="I38" s="12" t="s">
        <v>32</v>
      </c>
      <c r="J38" s="12" t="s">
        <v>45</v>
      </c>
      <c r="K38" s="14" t="str">
        <f>TEXT('Retail Store Sales'!$D38,"yyyy")</f>
        <v>2024</v>
      </c>
      <c r="L38" s="11" t="str">
        <f>TEXT('Retail Store Sales'!$D38,"mmm")</f>
        <v>Mar</v>
      </c>
      <c r="M38" s="12" t="str">
        <f>TEXT('Retail Store Sales'!$D38,"dddd")</f>
        <v>Thursday</v>
      </c>
      <c r="N38" s="23">
        <f t="shared" si="0"/>
        <v>14</v>
      </c>
      <c r="O38" s="16">
        <f>ROUND('Retail Store Sales'!$F38*'Retail Store Sales'!$G38*_xlfn.XLOOKUP('Retail Store Sales'!$C38,Table2[Product Name],Table2[Cost Percentage],0),0)</f>
        <v>4488</v>
      </c>
      <c r="P38" s="12">
        <f>'Retail Store Sales'!$F38*'Retail Store Sales'!$G38</f>
        <v>6904</v>
      </c>
      <c r="Q38" s="12">
        <f>P38-Table1[[#This Row],[Total cost]]</f>
        <v>2416</v>
      </c>
    </row>
    <row r="39" spans="1:17" x14ac:dyDescent="0.45">
      <c r="A39" s="16" t="s">
        <v>79</v>
      </c>
      <c r="B39" s="16" t="s">
        <v>16</v>
      </c>
      <c r="C39" s="16" t="s">
        <v>17</v>
      </c>
      <c r="D39" s="17">
        <v>45633</v>
      </c>
      <c r="E39" s="17">
        <v>45645</v>
      </c>
      <c r="F39" s="16">
        <v>9</v>
      </c>
      <c r="G39" s="16">
        <v>316</v>
      </c>
      <c r="H39" s="16" t="s">
        <v>13</v>
      </c>
      <c r="I39" s="16" t="s">
        <v>32</v>
      </c>
      <c r="J39" s="16" t="s">
        <v>14</v>
      </c>
      <c r="K39" s="18" t="str">
        <f>TEXT('Retail Store Sales'!$D39,"yyyy")</f>
        <v>2024</v>
      </c>
      <c r="L39" s="15" t="str">
        <f>TEXT('Retail Store Sales'!$D39,"mmm")</f>
        <v>Dec</v>
      </c>
      <c r="M39" s="16" t="str">
        <f>TEXT('Retail Store Sales'!$D39,"dddd")</f>
        <v>Saturday</v>
      </c>
      <c r="N39" s="24">
        <f t="shared" si="0"/>
        <v>12</v>
      </c>
      <c r="O39" s="16">
        <f>ROUND('Retail Store Sales'!$F39*'Retail Store Sales'!$G39*_xlfn.XLOOKUP('Retail Store Sales'!$C39,Table2[Product Name],Table2[Cost Percentage],0),0)</f>
        <v>1422</v>
      </c>
      <c r="P39" s="16">
        <f>'Retail Store Sales'!$F39*'Retail Store Sales'!$G39</f>
        <v>2844</v>
      </c>
      <c r="Q39" s="12">
        <f>P39-Table1[[#This Row],[Total cost]]</f>
        <v>1422</v>
      </c>
    </row>
    <row r="40" spans="1:17" x14ac:dyDescent="0.45">
      <c r="A40" s="12" t="s">
        <v>80</v>
      </c>
      <c r="B40" s="12" t="s">
        <v>30</v>
      </c>
      <c r="C40" s="12" t="s">
        <v>75</v>
      </c>
      <c r="D40" s="13">
        <v>45346</v>
      </c>
      <c r="E40" s="13">
        <v>45351</v>
      </c>
      <c r="F40" s="12">
        <v>9</v>
      </c>
      <c r="G40" s="12">
        <v>169</v>
      </c>
      <c r="H40" s="12" t="s">
        <v>27</v>
      </c>
      <c r="I40" s="12" t="s">
        <v>546</v>
      </c>
      <c r="J40" s="12" t="s">
        <v>28</v>
      </c>
      <c r="K40" s="14" t="str">
        <f>TEXT('Retail Store Sales'!$D40,"yyyy")</f>
        <v>2024</v>
      </c>
      <c r="L40" s="11" t="str">
        <f>TEXT('Retail Store Sales'!$D40,"mmm")</f>
        <v>Feb</v>
      </c>
      <c r="M40" s="12" t="str">
        <f>TEXT('Retail Store Sales'!$D40,"dddd")</f>
        <v>Saturday</v>
      </c>
      <c r="N40" s="23">
        <f t="shared" si="0"/>
        <v>5</v>
      </c>
      <c r="O40" s="16">
        <f>ROUND('Retail Store Sales'!$F40*'Retail Store Sales'!$G40*_xlfn.XLOOKUP('Retail Store Sales'!$C40,Table2[Product Name],Table2[Cost Percentage],0),0)</f>
        <v>1141</v>
      </c>
      <c r="P40" s="12">
        <f>'Retail Store Sales'!$F40*'Retail Store Sales'!$G40</f>
        <v>1521</v>
      </c>
      <c r="Q40" s="12">
        <f>P40-Table1[[#This Row],[Total cost]]</f>
        <v>380</v>
      </c>
    </row>
    <row r="41" spans="1:17" x14ac:dyDescent="0.45">
      <c r="A41" s="16" t="s">
        <v>81</v>
      </c>
      <c r="B41" s="16" t="s">
        <v>20</v>
      </c>
      <c r="C41" s="16" t="s">
        <v>82</v>
      </c>
      <c r="D41" s="17">
        <v>45396</v>
      </c>
      <c r="E41" s="17">
        <v>45410</v>
      </c>
      <c r="F41" s="16">
        <v>5</v>
      </c>
      <c r="G41" s="16">
        <v>527</v>
      </c>
      <c r="H41" s="16" t="s">
        <v>13</v>
      </c>
      <c r="I41" s="16" t="s">
        <v>549</v>
      </c>
      <c r="J41" s="16" t="s">
        <v>18</v>
      </c>
      <c r="K41" s="18" t="str">
        <f>TEXT('Retail Store Sales'!$D41,"yyyy")</f>
        <v>2024</v>
      </c>
      <c r="L41" s="15" t="str">
        <f>TEXT('Retail Store Sales'!$D41,"mmm")</f>
        <v>Apr</v>
      </c>
      <c r="M41" s="16" t="str">
        <f>TEXT('Retail Store Sales'!$D41,"dddd")</f>
        <v>Sunday</v>
      </c>
      <c r="N41" s="24">
        <f t="shared" si="0"/>
        <v>14</v>
      </c>
      <c r="O41" s="16">
        <f>ROUND('Retail Store Sales'!$F41*'Retail Store Sales'!$G41*_xlfn.XLOOKUP('Retail Store Sales'!$C41,Table2[Product Name],Table2[Cost Percentage],0),0)</f>
        <v>2108</v>
      </c>
      <c r="P41" s="16">
        <f>'Retail Store Sales'!$F41*'Retail Store Sales'!$G41</f>
        <v>2635</v>
      </c>
      <c r="Q41" s="12">
        <f>P41-Table1[[#This Row],[Total cost]]</f>
        <v>527</v>
      </c>
    </row>
    <row r="42" spans="1:17" x14ac:dyDescent="0.45">
      <c r="A42" s="12" t="s">
        <v>83</v>
      </c>
      <c r="B42" s="12" t="s">
        <v>11</v>
      </c>
      <c r="C42" s="12" t="s">
        <v>26</v>
      </c>
      <c r="D42" s="13">
        <v>45433</v>
      </c>
      <c r="E42" s="13">
        <v>45437</v>
      </c>
      <c r="F42" s="12">
        <v>1</v>
      </c>
      <c r="G42" s="12">
        <v>13</v>
      </c>
      <c r="H42" s="12" t="s">
        <v>27</v>
      </c>
      <c r="I42" s="12" t="s">
        <v>546</v>
      </c>
      <c r="J42" s="12" t="s">
        <v>28</v>
      </c>
      <c r="K42" s="14" t="str">
        <f>TEXT('Retail Store Sales'!$D42,"yyyy")</f>
        <v>2024</v>
      </c>
      <c r="L42" s="11" t="str">
        <f>TEXT('Retail Store Sales'!$D42,"mmm")</f>
        <v>May</v>
      </c>
      <c r="M42" s="12" t="str">
        <f>TEXT('Retail Store Sales'!$D42,"dddd")</f>
        <v>Tuesday</v>
      </c>
      <c r="N42" s="23">
        <f t="shared" si="0"/>
        <v>4</v>
      </c>
      <c r="O42" s="16">
        <f>ROUND('Retail Store Sales'!$F42*'Retail Store Sales'!$G42*_xlfn.XLOOKUP('Retail Store Sales'!$C42,Table2[Product Name],Table2[Cost Percentage],0),0)</f>
        <v>8</v>
      </c>
      <c r="P42" s="12">
        <f>'Retail Store Sales'!$F42*'Retail Store Sales'!$G42</f>
        <v>13</v>
      </c>
      <c r="Q42" s="12">
        <f>P42-Table1[[#This Row],[Total cost]]</f>
        <v>5</v>
      </c>
    </row>
    <row r="43" spans="1:17" x14ac:dyDescent="0.45">
      <c r="A43" s="16" t="s">
        <v>84</v>
      </c>
      <c r="B43" s="16" t="s">
        <v>30</v>
      </c>
      <c r="C43" s="16" t="s">
        <v>41</v>
      </c>
      <c r="D43" s="17">
        <v>45518</v>
      </c>
      <c r="E43" s="17">
        <v>45525</v>
      </c>
      <c r="F43" s="16">
        <v>9</v>
      </c>
      <c r="G43" s="16">
        <v>732</v>
      </c>
      <c r="H43" s="16" t="s">
        <v>13</v>
      </c>
      <c r="I43" s="16" t="s">
        <v>549</v>
      </c>
      <c r="J43" s="16" t="s">
        <v>28</v>
      </c>
      <c r="K43" s="18" t="str">
        <f>TEXT('Retail Store Sales'!$D43,"yyyy")</f>
        <v>2024</v>
      </c>
      <c r="L43" s="15" t="str">
        <f>TEXT('Retail Store Sales'!$D43,"mmm")</f>
        <v>Aug</v>
      </c>
      <c r="M43" s="16" t="str">
        <f>TEXT('Retail Store Sales'!$D43,"dddd")</f>
        <v>Wednesday</v>
      </c>
      <c r="N43" s="24">
        <f t="shared" si="0"/>
        <v>7</v>
      </c>
      <c r="O43" s="16">
        <f>ROUND('Retail Store Sales'!$F43*'Retail Store Sales'!$G43*_xlfn.XLOOKUP('Retail Store Sales'!$C43,Table2[Product Name],Table2[Cost Percentage],0),0)</f>
        <v>4282</v>
      </c>
      <c r="P43" s="16">
        <f>'Retail Store Sales'!$F43*'Retail Store Sales'!$G43</f>
        <v>6588</v>
      </c>
      <c r="Q43" s="12">
        <f>P43-Table1[[#This Row],[Total cost]]</f>
        <v>2306</v>
      </c>
    </row>
    <row r="44" spans="1:17" x14ac:dyDescent="0.45">
      <c r="A44" s="12" t="s">
        <v>85</v>
      </c>
      <c r="B44" s="12" t="s">
        <v>11</v>
      </c>
      <c r="C44" s="12" t="s">
        <v>12</v>
      </c>
      <c r="D44" s="13">
        <v>45645</v>
      </c>
      <c r="E44" s="13">
        <v>45651</v>
      </c>
      <c r="F44" s="12">
        <v>3</v>
      </c>
      <c r="G44" s="12">
        <v>568</v>
      </c>
      <c r="H44" s="12" t="s">
        <v>27</v>
      </c>
      <c r="I44" s="12" t="s">
        <v>550</v>
      </c>
      <c r="J44" s="12" t="s">
        <v>45</v>
      </c>
      <c r="K44" s="14" t="str">
        <f>TEXT('Retail Store Sales'!$D44,"yyyy")</f>
        <v>2024</v>
      </c>
      <c r="L44" s="11" t="str">
        <f>TEXT('Retail Store Sales'!$D44,"mmm")</f>
        <v>Dec</v>
      </c>
      <c r="M44" s="12" t="str">
        <f>TEXT('Retail Store Sales'!$D44,"dddd")</f>
        <v>Thursday</v>
      </c>
      <c r="N44" s="23">
        <f t="shared" si="0"/>
        <v>6</v>
      </c>
      <c r="O44" s="16">
        <f>ROUND('Retail Store Sales'!$F44*'Retail Store Sales'!$G44*_xlfn.XLOOKUP('Retail Store Sales'!$C44,Table2[Product Name],Table2[Cost Percentage],0),0)</f>
        <v>1278</v>
      </c>
      <c r="P44" s="12">
        <f>'Retail Store Sales'!$F44*'Retail Store Sales'!$G44</f>
        <v>1704</v>
      </c>
      <c r="Q44" s="12">
        <f>P44-Table1[[#This Row],[Total cost]]</f>
        <v>426</v>
      </c>
    </row>
    <row r="45" spans="1:17" x14ac:dyDescent="0.45">
      <c r="A45" s="16" t="s">
        <v>86</v>
      </c>
      <c r="B45" s="16" t="s">
        <v>16</v>
      </c>
      <c r="C45" s="16" t="s">
        <v>63</v>
      </c>
      <c r="D45" s="17">
        <v>45512</v>
      </c>
      <c r="E45" s="17">
        <v>45516</v>
      </c>
      <c r="F45" s="16">
        <v>3</v>
      </c>
      <c r="G45" s="16">
        <v>52</v>
      </c>
      <c r="H45" s="16" t="s">
        <v>13</v>
      </c>
      <c r="I45" s="16" t="s">
        <v>546</v>
      </c>
      <c r="J45" s="16" t="s">
        <v>45</v>
      </c>
      <c r="K45" s="18" t="str">
        <f>TEXT('Retail Store Sales'!$D45,"yyyy")</f>
        <v>2024</v>
      </c>
      <c r="L45" s="15" t="str">
        <f>TEXT('Retail Store Sales'!$D45,"mmm")</f>
        <v>Aug</v>
      </c>
      <c r="M45" s="16" t="str">
        <f>TEXT('Retail Store Sales'!$D45,"dddd")</f>
        <v>Thursday</v>
      </c>
      <c r="N45" s="24">
        <f t="shared" si="0"/>
        <v>4</v>
      </c>
      <c r="O45" s="16">
        <f>ROUND('Retail Store Sales'!$F45*'Retail Store Sales'!$G45*_xlfn.XLOOKUP('Retail Store Sales'!$C45,Table2[Product Name],Table2[Cost Percentage],0),0)</f>
        <v>78</v>
      </c>
      <c r="P45" s="16">
        <f>'Retail Store Sales'!$F45*'Retail Store Sales'!$G45</f>
        <v>156</v>
      </c>
      <c r="Q45" s="12">
        <f>P45-Table1[[#This Row],[Total cost]]</f>
        <v>78</v>
      </c>
    </row>
    <row r="46" spans="1:17" x14ac:dyDescent="0.45">
      <c r="A46" s="12" t="s">
        <v>87</v>
      </c>
      <c r="B46" s="12" t="s">
        <v>30</v>
      </c>
      <c r="C46" s="12" t="s">
        <v>41</v>
      </c>
      <c r="D46" s="13">
        <v>45641</v>
      </c>
      <c r="E46" s="13">
        <v>45652</v>
      </c>
      <c r="F46" s="12">
        <v>4</v>
      </c>
      <c r="G46" s="12">
        <v>692</v>
      </c>
      <c r="H46" s="12" t="s">
        <v>27</v>
      </c>
      <c r="I46" s="12" t="s">
        <v>550</v>
      </c>
      <c r="J46" s="12" t="s">
        <v>18</v>
      </c>
      <c r="K46" s="14" t="str">
        <f>TEXT('Retail Store Sales'!$D46,"yyyy")</f>
        <v>2024</v>
      </c>
      <c r="L46" s="11" t="str">
        <f>TEXT('Retail Store Sales'!$D46,"mmm")</f>
        <v>Dec</v>
      </c>
      <c r="M46" s="12" t="str">
        <f>TEXT('Retail Store Sales'!$D46,"dddd")</f>
        <v>Sunday</v>
      </c>
      <c r="N46" s="23">
        <f t="shared" si="0"/>
        <v>11</v>
      </c>
      <c r="O46" s="16">
        <f>ROUND('Retail Store Sales'!$F46*'Retail Store Sales'!$G46*_xlfn.XLOOKUP('Retail Store Sales'!$C46,Table2[Product Name],Table2[Cost Percentage],0),0)</f>
        <v>1799</v>
      </c>
      <c r="P46" s="12">
        <f>'Retail Store Sales'!$F46*'Retail Store Sales'!$G46</f>
        <v>2768</v>
      </c>
      <c r="Q46" s="12">
        <f>P46-Table1[[#This Row],[Total cost]]</f>
        <v>969</v>
      </c>
    </row>
    <row r="47" spans="1:17" x14ac:dyDescent="0.45">
      <c r="A47" s="16" t="s">
        <v>88</v>
      </c>
      <c r="B47" s="16" t="s">
        <v>20</v>
      </c>
      <c r="C47" s="16" t="s">
        <v>39</v>
      </c>
      <c r="D47" s="17">
        <v>45487</v>
      </c>
      <c r="E47" s="17">
        <v>45495</v>
      </c>
      <c r="F47" s="16">
        <v>1</v>
      </c>
      <c r="G47" s="16">
        <v>889</v>
      </c>
      <c r="H47" s="16" t="s">
        <v>13</v>
      </c>
      <c r="I47" s="16" t="s">
        <v>549</v>
      </c>
      <c r="J47" s="16" t="s">
        <v>14</v>
      </c>
      <c r="K47" s="18" t="str">
        <f>TEXT('Retail Store Sales'!$D47,"yyyy")</f>
        <v>2024</v>
      </c>
      <c r="L47" s="15" t="str">
        <f>TEXT('Retail Store Sales'!$D47,"mmm")</f>
        <v>Jul</v>
      </c>
      <c r="M47" s="16" t="str">
        <f>TEXT('Retail Store Sales'!$D47,"dddd")</f>
        <v>Sunday</v>
      </c>
      <c r="N47" s="24">
        <f t="shared" si="0"/>
        <v>8</v>
      </c>
      <c r="O47" s="16">
        <f>ROUND('Retail Store Sales'!$F47*'Retail Store Sales'!$G47*_xlfn.XLOOKUP('Retail Store Sales'!$C47,Table2[Product Name],Table2[Cost Percentage],0),0)</f>
        <v>578</v>
      </c>
      <c r="P47" s="16">
        <f>'Retail Store Sales'!$F47*'Retail Store Sales'!$G47</f>
        <v>889</v>
      </c>
      <c r="Q47" s="12">
        <f>P47-Table1[[#This Row],[Total cost]]</f>
        <v>311</v>
      </c>
    </row>
    <row r="48" spans="1:17" x14ac:dyDescent="0.45">
      <c r="A48" s="12" t="s">
        <v>89</v>
      </c>
      <c r="B48" s="12" t="s">
        <v>16</v>
      </c>
      <c r="C48" s="12" t="s">
        <v>55</v>
      </c>
      <c r="D48" s="13">
        <v>45306</v>
      </c>
      <c r="E48" s="13">
        <v>45309</v>
      </c>
      <c r="F48" s="12">
        <v>2</v>
      </c>
      <c r="G48" s="12">
        <v>908</v>
      </c>
      <c r="H48" s="12" t="s">
        <v>27</v>
      </c>
      <c r="I48" s="12" t="s">
        <v>546</v>
      </c>
      <c r="J48" s="12" t="s">
        <v>45</v>
      </c>
      <c r="K48" s="14" t="str">
        <f>TEXT('Retail Store Sales'!$D48,"yyyy")</f>
        <v>2024</v>
      </c>
      <c r="L48" s="11" t="str">
        <f>TEXT('Retail Store Sales'!$D48,"mmm")</f>
        <v>Jan</v>
      </c>
      <c r="M48" s="12" t="str">
        <f>TEXT('Retail Store Sales'!$D48,"dddd")</f>
        <v>Monday</v>
      </c>
      <c r="N48" s="23">
        <f t="shared" si="0"/>
        <v>3</v>
      </c>
      <c r="O48" s="16">
        <f>ROUND('Retail Store Sales'!$F48*'Retail Store Sales'!$G48*_xlfn.XLOOKUP('Retail Store Sales'!$C48,Table2[Product Name],Table2[Cost Percentage],0),0)</f>
        <v>999</v>
      </c>
      <c r="P48" s="12">
        <f>'Retail Store Sales'!$F48*'Retail Store Sales'!$G48</f>
        <v>1816</v>
      </c>
      <c r="Q48" s="12">
        <f>P48-Table1[[#This Row],[Total cost]]</f>
        <v>817</v>
      </c>
    </row>
    <row r="49" spans="1:17" x14ac:dyDescent="0.45">
      <c r="A49" s="16" t="s">
        <v>90</v>
      </c>
      <c r="B49" s="16" t="s">
        <v>11</v>
      </c>
      <c r="C49" s="16" t="s">
        <v>26</v>
      </c>
      <c r="D49" s="17">
        <v>45292</v>
      </c>
      <c r="E49" s="17">
        <v>45306</v>
      </c>
      <c r="F49" s="16">
        <v>9</v>
      </c>
      <c r="G49" s="16">
        <v>957</v>
      </c>
      <c r="H49" s="16" t="s">
        <v>27</v>
      </c>
      <c r="I49" s="16" t="s">
        <v>548</v>
      </c>
      <c r="J49" s="16" t="s">
        <v>45</v>
      </c>
      <c r="K49" s="18" t="str">
        <f>TEXT('Retail Store Sales'!$D49,"yyyy")</f>
        <v>2024</v>
      </c>
      <c r="L49" s="15" t="str">
        <f>TEXT('Retail Store Sales'!$D49,"mmm")</f>
        <v>Jan</v>
      </c>
      <c r="M49" s="16" t="str">
        <f>TEXT('Retail Store Sales'!$D49,"dddd")</f>
        <v>Monday</v>
      </c>
      <c r="N49" s="24">
        <f t="shared" si="0"/>
        <v>14</v>
      </c>
      <c r="O49" s="16">
        <f>ROUND('Retail Store Sales'!$F49*'Retail Store Sales'!$G49*_xlfn.XLOOKUP('Retail Store Sales'!$C49,Table2[Product Name],Table2[Cost Percentage],0),0)</f>
        <v>5598</v>
      </c>
      <c r="P49" s="16">
        <f>'Retail Store Sales'!$F49*'Retail Store Sales'!$G49</f>
        <v>8613</v>
      </c>
      <c r="Q49" s="12">
        <f>P49-Table1[[#This Row],[Total cost]]</f>
        <v>3015</v>
      </c>
    </row>
    <row r="50" spans="1:17" x14ac:dyDescent="0.45">
      <c r="A50" s="12" t="s">
        <v>91</v>
      </c>
      <c r="B50" s="12" t="s">
        <v>20</v>
      </c>
      <c r="C50" s="12" t="s">
        <v>82</v>
      </c>
      <c r="D50" s="13">
        <v>45512</v>
      </c>
      <c r="E50" s="13">
        <v>45519</v>
      </c>
      <c r="F50" s="12">
        <v>2</v>
      </c>
      <c r="G50" s="12">
        <v>981</v>
      </c>
      <c r="H50" s="12" t="s">
        <v>27</v>
      </c>
      <c r="I50" s="12" t="s">
        <v>32</v>
      </c>
      <c r="J50" s="12" t="s">
        <v>18</v>
      </c>
      <c r="K50" s="14" t="str">
        <f>TEXT('Retail Store Sales'!$D50,"yyyy")</f>
        <v>2024</v>
      </c>
      <c r="L50" s="11" t="str">
        <f>TEXT('Retail Store Sales'!$D50,"mmm")</f>
        <v>Aug</v>
      </c>
      <c r="M50" s="12" t="str">
        <f>TEXT('Retail Store Sales'!$D50,"dddd")</f>
        <v>Thursday</v>
      </c>
      <c r="N50" s="23">
        <f t="shared" si="0"/>
        <v>7</v>
      </c>
      <c r="O50" s="16">
        <f>ROUND('Retail Store Sales'!$F50*'Retail Store Sales'!$G50*_xlfn.XLOOKUP('Retail Store Sales'!$C50,Table2[Product Name],Table2[Cost Percentage],0),0)</f>
        <v>1570</v>
      </c>
      <c r="P50" s="12">
        <f>'Retail Store Sales'!$F50*'Retail Store Sales'!$G50</f>
        <v>1962</v>
      </c>
      <c r="Q50" s="12">
        <f>P50-Table1[[#This Row],[Total cost]]</f>
        <v>392</v>
      </c>
    </row>
    <row r="51" spans="1:17" x14ac:dyDescent="0.45">
      <c r="A51" s="16" t="s">
        <v>92</v>
      </c>
      <c r="B51" s="16" t="s">
        <v>23</v>
      </c>
      <c r="C51" s="16" t="s">
        <v>24</v>
      </c>
      <c r="D51" s="17">
        <v>45575</v>
      </c>
      <c r="E51" s="17">
        <v>45578</v>
      </c>
      <c r="F51" s="16">
        <v>3</v>
      </c>
      <c r="G51" s="16">
        <v>206</v>
      </c>
      <c r="H51" s="16" t="s">
        <v>27</v>
      </c>
      <c r="I51" s="16" t="s">
        <v>549</v>
      </c>
      <c r="J51" s="16" t="s">
        <v>18</v>
      </c>
      <c r="K51" s="18" t="str">
        <f>TEXT('Retail Store Sales'!$D51,"yyyy")</f>
        <v>2024</v>
      </c>
      <c r="L51" s="15" t="str">
        <f>TEXT('Retail Store Sales'!$D51,"mmm")</f>
        <v>Oct</v>
      </c>
      <c r="M51" s="16" t="str">
        <f>TEXT('Retail Store Sales'!$D51,"dddd")</f>
        <v>Thursday</v>
      </c>
      <c r="N51" s="24">
        <f t="shared" si="0"/>
        <v>3</v>
      </c>
      <c r="O51" s="16">
        <f>ROUND('Retail Store Sales'!$F51*'Retail Store Sales'!$G51*_xlfn.XLOOKUP('Retail Store Sales'!$C51,Table2[Product Name],Table2[Cost Percentage],0),0)</f>
        <v>340</v>
      </c>
      <c r="P51" s="16">
        <f>'Retail Store Sales'!$F51*'Retail Store Sales'!$G51</f>
        <v>618</v>
      </c>
      <c r="Q51" s="12">
        <f>P51-Table1[[#This Row],[Total cost]]</f>
        <v>278</v>
      </c>
    </row>
    <row r="52" spans="1:17" x14ac:dyDescent="0.45">
      <c r="A52" s="12" t="s">
        <v>93</v>
      </c>
      <c r="B52" s="12" t="s">
        <v>23</v>
      </c>
      <c r="C52" s="12" t="s">
        <v>37</v>
      </c>
      <c r="D52" s="13">
        <v>45637</v>
      </c>
      <c r="E52" s="13">
        <v>45647</v>
      </c>
      <c r="F52" s="12">
        <v>4</v>
      </c>
      <c r="G52" s="12">
        <v>533</v>
      </c>
      <c r="H52" s="12" t="s">
        <v>27</v>
      </c>
      <c r="I52" s="12" t="s">
        <v>549</v>
      </c>
      <c r="J52" s="12" t="s">
        <v>45</v>
      </c>
      <c r="K52" s="14" t="str">
        <f>TEXT('Retail Store Sales'!$D52,"yyyy")</f>
        <v>2024</v>
      </c>
      <c r="L52" s="11" t="str">
        <f>TEXT('Retail Store Sales'!$D52,"mmm")</f>
        <v>Dec</v>
      </c>
      <c r="M52" s="12" t="str">
        <f>TEXT('Retail Store Sales'!$D52,"dddd")</f>
        <v>Wednesday</v>
      </c>
      <c r="N52" s="23">
        <f t="shared" si="0"/>
        <v>10</v>
      </c>
      <c r="O52" s="16">
        <f>ROUND('Retail Store Sales'!$F52*'Retail Store Sales'!$G52*_xlfn.XLOOKUP('Retail Store Sales'!$C52,Table2[Product Name],Table2[Cost Percentage],0),0)</f>
        <v>1066</v>
      </c>
      <c r="P52" s="12">
        <f>'Retail Store Sales'!$F52*'Retail Store Sales'!$G52</f>
        <v>2132</v>
      </c>
      <c r="Q52" s="12">
        <f>P52-Table1[[#This Row],[Total cost]]</f>
        <v>1066</v>
      </c>
    </row>
    <row r="53" spans="1:17" x14ac:dyDescent="0.45">
      <c r="A53" s="16" t="s">
        <v>94</v>
      </c>
      <c r="B53" s="16" t="s">
        <v>11</v>
      </c>
      <c r="C53" s="16" t="s">
        <v>95</v>
      </c>
      <c r="D53" s="17">
        <v>45555</v>
      </c>
      <c r="E53" s="17">
        <v>45562</v>
      </c>
      <c r="F53" s="16">
        <v>10</v>
      </c>
      <c r="G53" s="16">
        <v>353</v>
      </c>
      <c r="H53" s="16" t="s">
        <v>27</v>
      </c>
      <c r="I53" s="16" t="s">
        <v>550</v>
      </c>
      <c r="J53" s="16" t="s">
        <v>45</v>
      </c>
      <c r="K53" s="18" t="str">
        <f>TEXT('Retail Store Sales'!$D53,"yyyy")</f>
        <v>2024</v>
      </c>
      <c r="L53" s="15" t="str">
        <f>TEXT('Retail Store Sales'!$D53,"mmm")</f>
        <v>Sep</v>
      </c>
      <c r="M53" s="16" t="str">
        <f>TEXT('Retail Store Sales'!$D53,"dddd")</f>
        <v>Friday</v>
      </c>
      <c r="N53" s="24">
        <f t="shared" si="0"/>
        <v>7</v>
      </c>
      <c r="O53" s="16">
        <f>ROUND('Retail Store Sales'!$F53*'Retail Store Sales'!$G53*_xlfn.XLOOKUP('Retail Store Sales'!$C53,Table2[Product Name],Table2[Cost Percentage],0),0)</f>
        <v>2471</v>
      </c>
      <c r="P53" s="16">
        <f>'Retail Store Sales'!$F53*'Retail Store Sales'!$G53</f>
        <v>3530</v>
      </c>
      <c r="Q53" s="12">
        <f>P53-Table1[[#This Row],[Total cost]]</f>
        <v>1059</v>
      </c>
    </row>
    <row r="54" spans="1:17" x14ac:dyDescent="0.45">
      <c r="A54" s="12" t="s">
        <v>96</v>
      </c>
      <c r="B54" s="12" t="s">
        <v>16</v>
      </c>
      <c r="C54" s="12" t="s">
        <v>17</v>
      </c>
      <c r="D54" s="13">
        <v>45525</v>
      </c>
      <c r="E54" s="13">
        <v>45536</v>
      </c>
      <c r="F54" s="12">
        <v>7</v>
      </c>
      <c r="G54" s="12">
        <v>917</v>
      </c>
      <c r="H54" s="12" t="s">
        <v>13</v>
      </c>
      <c r="I54" s="12" t="s">
        <v>32</v>
      </c>
      <c r="J54" s="12" t="s">
        <v>14</v>
      </c>
      <c r="K54" s="14" t="str">
        <f>TEXT('Retail Store Sales'!$D54,"yyyy")</f>
        <v>2024</v>
      </c>
      <c r="L54" s="11" t="str">
        <f>TEXT('Retail Store Sales'!$D54,"mmm")</f>
        <v>Aug</v>
      </c>
      <c r="M54" s="12" t="str">
        <f>TEXT('Retail Store Sales'!$D54,"dddd")</f>
        <v>Wednesday</v>
      </c>
      <c r="N54" s="23">
        <f t="shared" si="0"/>
        <v>11</v>
      </c>
      <c r="O54" s="16">
        <f>ROUND('Retail Store Sales'!$F54*'Retail Store Sales'!$G54*_xlfn.XLOOKUP('Retail Store Sales'!$C54,Table2[Product Name],Table2[Cost Percentage],0),0)</f>
        <v>3210</v>
      </c>
      <c r="P54" s="12">
        <f>'Retail Store Sales'!$F54*'Retail Store Sales'!$G54</f>
        <v>6419</v>
      </c>
      <c r="Q54" s="12">
        <f>P54-Table1[[#This Row],[Total cost]]</f>
        <v>3209</v>
      </c>
    </row>
    <row r="55" spans="1:17" x14ac:dyDescent="0.45">
      <c r="A55" s="16" t="s">
        <v>97</v>
      </c>
      <c r="B55" s="16" t="s">
        <v>23</v>
      </c>
      <c r="C55" s="16" t="s">
        <v>37</v>
      </c>
      <c r="D55" s="17">
        <v>45496</v>
      </c>
      <c r="E55" s="17">
        <v>45502</v>
      </c>
      <c r="F55" s="16">
        <v>4</v>
      </c>
      <c r="G55" s="16">
        <v>161</v>
      </c>
      <c r="H55" s="16" t="s">
        <v>13</v>
      </c>
      <c r="I55" s="16" t="s">
        <v>32</v>
      </c>
      <c r="J55" s="16" t="s">
        <v>45</v>
      </c>
      <c r="K55" s="18" t="str">
        <f>TEXT('Retail Store Sales'!$D55,"yyyy")</f>
        <v>2024</v>
      </c>
      <c r="L55" s="15" t="str">
        <f>TEXT('Retail Store Sales'!$D55,"mmm")</f>
        <v>Jul</v>
      </c>
      <c r="M55" s="16" t="str">
        <f>TEXT('Retail Store Sales'!$D55,"dddd")</f>
        <v>Tuesday</v>
      </c>
      <c r="N55" s="24">
        <f t="shared" si="0"/>
        <v>6</v>
      </c>
      <c r="O55" s="16">
        <f>ROUND('Retail Store Sales'!$F55*'Retail Store Sales'!$G55*_xlfn.XLOOKUP('Retail Store Sales'!$C55,Table2[Product Name],Table2[Cost Percentage],0),0)</f>
        <v>322</v>
      </c>
      <c r="P55" s="16">
        <f>'Retail Store Sales'!$F55*'Retail Store Sales'!$G55</f>
        <v>644</v>
      </c>
      <c r="Q55" s="12">
        <f>P55-Table1[[#This Row],[Total cost]]</f>
        <v>322</v>
      </c>
    </row>
    <row r="56" spans="1:17" x14ac:dyDescent="0.45">
      <c r="A56" s="12" t="s">
        <v>98</v>
      </c>
      <c r="B56" s="12" t="s">
        <v>23</v>
      </c>
      <c r="C56" s="12" t="s">
        <v>99</v>
      </c>
      <c r="D56" s="13">
        <v>45382</v>
      </c>
      <c r="E56" s="13">
        <v>45387</v>
      </c>
      <c r="F56" s="12">
        <v>9</v>
      </c>
      <c r="G56" s="12">
        <v>485</v>
      </c>
      <c r="H56" s="12" t="s">
        <v>13</v>
      </c>
      <c r="I56" s="12" t="s">
        <v>550</v>
      </c>
      <c r="J56" s="12" t="s">
        <v>18</v>
      </c>
      <c r="K56" s="14" t="str">
        <f>TEXT('Retail Store Sales'!$D56,"yyyy")</f>
        <v>2024</v>
      </c>
      <c r="L56" s="11" t="str">
        <f>TEXT('Retail Store Sales'!$D56,"mmm")</f>
        <v>Mar</v>
      </c>
      <c r="M56" s="12" t="str">
        <f>TEXT('Retail Store Sales'!$D56,"dddd")</f>
        <v>Sunday</v>
      </c>
      <c r="N56" s="23">
        <f t="shared" si="0"/>
        <v>5</v>
      </c>
      <c r="O56" s="16">
        <f>ROUND('Retail Store Sales'!$F56*'Retail Store Sales'!$G56*_xlfn.XLOOKUP('Retail Store Sales'!$C56,Table2[Product Name],Table2[Cost Percentage],0),0)</f>
        <v>2619</v>
      </c>
      <c r="P56" s="12">
        <f>'Retail Store Sales'!$F56*'Retail Store Sales'!$G56</f>
        <v>4365</v>
      </c>
      <c r="Q56" s="12">
        <f>P56-Table1[[#This Row],[Total cost]]</f>
        <v>1746</v>
      </c>
    </row>
    <row r="57" spans="1:17" x14ac:dyDescent="0.45">
      <c r="A57" s="16" t="s">
        <v>100</v>
      </c>
      <c r="B57" s="16" t="s">
        <v>11</v>
      </c>
      <c r="C57" s="16" t="s">
        <v>26</v>
      </c>
      <c r="D57" s="17">
        <v>45360</v>
      </c>
      <c r="E57" s="17">
        <v>45364</v>
      </c>
      <c r="F57" s="16">
        <v>8</v>
      </c>
      <c r="G57" s="16">
        <v>693</v>
      </c>
      <c r="H57" s="16" t="s">
        <v>27</v>
      </c>
      <c r="I57" s="16" t="s">
        <v>32</v>
      </c>
      <c r="J57" s="16" t="s">
        <v>14</v>
      </c>
      <c r="K57" s="18" t="str">
        <f>TEXT('Retail Store Sales'!$D57,"yyyy")</f>
        <v>2024</v>
      </c>
      <c r="L57" s="15" t="str">
        <f>TEXT('Retail Store Sales'!$D57,"mmm")</f>
        <v>Mar</v>
      </c>
      <c r="M57" s="16" t="str">
        <f>TEXT('Retail Store Sales'!$D57,"dddd")</f>
        <v>Saturday</v>
      </c>
      <c r="N57" s="24">
        <f t="shared" si="0"/>
        <v>4</v>
      </c>
      <c r="O57" s="16">
        <f>ROUND('Retail Store Sales'!$F57*'Retail Store Sales'!$G57*_xlfn.XLOOKUP('Retail Store Sales'!$C57,Table2[Product Name],Table2[Cost Percentage],0),0)</f>
        <v>3604</v>
      </c>
      <c r="P57" s="16">
        <f>'Retail Store Sales'!$F57*'Retail Store Sales'!$G57</f>
        <v>5544</v>
      </c>
      <c r="Q57" s="12">
        <f>P57-Table1[[#This Row],[Total cost]]</f>
        <v>1940</v>
      </c>
    </row>
    <row r="58" spans="1:17" x14ac:dyDescent="0.45">
      <c r="A58" s="12" t="s">
        <v>101</v>
      </c>
      <c r="B58" s="12" t="s">
        <v>20</v>
      </c>
      <c r="C58" s="12" t="s">
        <v>21</v>
      </c>
      <c r="D58" s="13">
        <v>45522</v>
      </c>
      <c r="E58" s="13">
        <v>45532</v>
      </c>
      <c r="F58" s="12">
        <v>5</v>
      </c>
      <c r="G58" s="12">
        <v>779</v>
      </c>
      <c r="H58" s="12" t="s">
        <v>27</v>
      </c>
      <c r="I58" s="12" t="s">
        <v>550</v>
      </c>
      <c r="J58" s="12" t="s">
        <v>28</v>
      </c>
      <c r="K58" s="14" t="str">
        <f>TEXT('Retail Store Sales'!$D58,"yyyy")</f>
        <v>2024</v>
      </c>
      <c r="L58" s="11" t="str">
        <f>TEXT('Retail Store Sales'!$D58,"mmm")</f>
        <v>Aug</v>
      </c>
      <c r="M58" s="12" t="str">
        <f>TEXT('Retail Store Sales'!$D58,"dddd")</f>
        <v>Sunday</v>
      </c>
      <c r="N58" s="23">
        <f t="shared" si="0"/>
        <v>10</v>
      </c>
      <c r="O58" s="16">
        <f>ROUND('Retail Store Sales'!$F58*'Retail Store Sales'!$G58*_xlfn.XLOOKUP('Retail Store Sales'!$C58,Table2[Product Name],Table2[Cost Percentage],0),0)</f>
        <v>2921</v>
      </c>
      <c r="P58" s="12">
        <f>'Retail Store Sales'!$F58*'Retail Store Sales'!$G58</f>
        <v>3895</v>
      </c>
      <c r="Q58" s="12">
        <f>P58-Table1[[#This Row],[Total cost]]</f>
        <v>974</v>
      </c>
    </row>
    <row r="59" spans="1:17" x14ac:dyDescent="0.45">
      <c r="A59" s="16" t="s">
        <v>102</v>
      </c>
      <c r="B59" s="16" t="s">
        <v>23</v>
      </c>
      <c r="C59" s="16" t="s">
        <v>99</v>
      </c>
      <c r="D59" s="17">
        <v>45432</v>
      </c>
      <c r="E59" s="17">
        <v>45443</v>
      </c>
      <c r="F59" s="16">
        <v>8</v>
      </c>
      <c r="G59" s="16">
        <v>89</v>
      </c>
      <c r="H59" s="16" t="s">
        <v>13</v>
      </c>
      <c r="I59" s="16" t="s">
        <v>32</v>
      </c>
      <c r="J59" s="16" t="s">
        <v>18</v>
      </c>
      <c r="K59" s="18" t="str">
        <f>TEXT('Retail Store Sales'!$D59,"yyyy")</f>
        <v>2024</v>
      </c>
      <c r="L59" s="15" t="str">
        <f>TEXT('Retail Store Sales'!$D59,"mmm")</f>
        <v>May</v>
      </c>
      <c r="M59" s="16" t="str">
        <f>TEXT('Retail Store Sales'!$D59,"dddd")</f>
        <v>Monday</v>
      </c>
      <c r="N59" s="24">
        <f t="shared" si="0"/>
        <v>11</v>
      </c>
      <c r="O59" s="16">
        <f>ROUND('Retail Store Sales'!$F59*'Retail Store Sales'!$G59*_xlfn.XLOOKUP('Retail Store Sales'!$C59,Table2[Product Name],Table2[Cost Percentage],0),0)</f>
        <v>427</v>
      </c>
      <c r="P59" s="16">
        <f>'Retail Store Sales'!$F59*'Retail Store Sales'!$G59</f>
        <v>712</v>
      </c>
      <c r="Q59" s="12">
        <f>P59-Table1[[#This Row],[Total cost]]</f>
        <v>285</v>
      </c>
    </row>
    <row r="60" spans="1:17" x14ac:dyDescent="0.45">
      <c r="A60" s="12" t="s">
        <v>103</v>
      </c>
      <c r="B60" s="12" t="s">
        <v>30</v>
      </c>
      <c r="C60" s="12" t="s">
        <v>78</v>
      </c>
      <c r="D60" s="13">
        <v>45455</v>
      </c>
      <c r="E60" s="13">
        <v>45459</v>
      </c>
      <c r="F60" s="12">
        <v>9</v>
      </c>
      <c r="G60" s="12">
        <v>92</v>
      </c>
      <c r="H60" s="12" t="s">
        <v>13</v>
      </c>
      <c r="I60" s="12" t="s">
        <v>550</v>
      </c>
      <c r="J60" s="12" t="s">
        <v>18</v>
      </c>
      <c r="K60" s="14" t="str">
        <f>TEXT('Retail Store Sales'!$D60,"yyyy")</f>
        <v>2024</v>
      </c>
      <c r="L60" s="11" t="str">
        <f>TEXT('Retail Store Sales'!$D60,"mmm")</f>
        <v>Jun</v>
      </c>
      <c r="M60" s="12" t="str">
        <f>TEXT('Retail Store Sales'!$D60,"dddd")</f>
        <v>Wednesday</v>
      </c>
      <c r="N60" s="23">
        <f t="shared" si="0"/>
        <v>4</v>
      </c>
      <c r="O60" s="16">
        <f>ROUND('Retail Store Sales'!$F60*'Retail Store Sales'!$G60*_xlfn.XLOOKUP('Retail Store Sales'!$C60,Table2[Product Name],Table2[Cost Percentage],0),0)</f>
        <v>538</v>
      </c>
      <c r="P60" s="12">
        <f>'Retail Store Sales'!$F60*'Retail Store Sales'!$G60</f>
        <v>828</v>
      </c>
      <c r="Q60" s="12">
        <f>P60-Table1[[#This Row],[Total cost]]</f>
        <v>290</v>
      </c>
    </row>
    <row r="61" spans="1:17" x14ac:dyDescent="0.45">
      <c r="A61" s="16" t="s">
        <v>104</v>
      </c>
      <c r="B61" s="16" t="s">
        <v>20</v>
      </c>
      <c r="C61" s="16" t="s">
        <v>82</v>
      </c>
      <c r="D61" s="17">
        <v>45515</v>
      </c>
      <c r="E61" s="17">
        <v>45529</v>
      </c>
      <c r="F61" s="16">
        <v>8</v>
      </c>
      <c r="G61" s="16">
        <v>39</v>
      </c>
      <c r="H61" s="16" t="s">
        <v>27</v>
      </c>
      <c r="I61" s="16" t="s">
        <v>549</v>
      </c>
      <c r="J61" s="16" t="s">
        <v>18</v>
      </c>
      <c r="K61" s="18" t="str">
        <f>TEXT('Retail Store Sales'!$D61,"yyyy")</f>
        <v>2024</v>
      </c>
      <c r="L61" s="15" t="str">
        <f>TEXT('Retail Store Sales'!$D61,"mmm")</f>
        <v>Aug</v>
      </c>
      <c r="M61" s="16" t="str">
        <f>TEXT('Retail Store Sales'!$D61,"dddd")</f>
        <v>Sunday</v>
      </c>
      <c r="N61" s="24">
        <f t="shared" si="0"/>
        <v>14</v>
      </c>
      <c r="O61" s="16">
        <f>ROUND('Retail Store Sales'!$F61*'Retail Store Sales'!$G61*_xlfn.XLOOKUP('Retail Store Sales'!$C61,Table2[Product Name],Table2[Cost Percentage],0),0)</f>
        <v>250</v>
      </c>
      <c r="P61" s="16">
        <f>'Retail Store Sales'!$F61*'Retail Store Sales'!$G61</f>
        <v>312</v>
      </c>
      <c r="Q61" s="12">
        <f>P61-Table1[[#This Row],[Total cost]]</f>
        <v>62</v>
      </c>
    </row>
    <row r="62" spans="1:17" x14ac:dyDescent="0.45">
      <c r="A62" s="12" t="s">
        <v>105</v>
      </c>
      <c r="B62" s="12" t="s">
        <v>16</v>
      </c>
      <c r="C62" s="12" t="s">
        <v>59</v>
      </c>
      <c r="D62" s="13">
        <v>45631</v>
      </c>
      <c r="E62" s="13">
        <v>45638</v>
      </c>
      <c r="F62" s="12">
        <v>1</v>
      </c>
      <c r="G62" s="12">
        <v>95</v>
      </c>
      <c r="H62" s="12" t="s">
        <v>13</v>
      </c>
      <c r="I62" s="12" t="s">
        <v>32</v>
      </c>
      <c r="J62" s="12" t="s">
        <v>14</v>
      </c>
      <c r="K62" s="14" t="str">
        <f>TEXT('Retail Store Sales'!$D62,"yyyy")</f>
        <v>2024</v>
      </c>
      <c r="L62" s="11" t="str">
        <f>TEXT('Retail Store Sales'!$D62,"mmm")</f>
        <v>Dec</v>
      </c>
      <c r="M62" s="12" t="str">
        <f>TEXT('Retail Store Sales'!$D62,"dddd")</f>
        <v>Thursday</v>
      </c>
      <c r="N62" s="23">
        <f t="shared" si="0"/>
        <v>7</v>
      </c>
      <c r="O62" s="16">
        <f>ROUND('Retail Store Sales'!$F62*'Retail Store Sales'!$G62*_xlfn.XLOOKUP('Retail Store Sales'!$C62,Table2[Product Name],Table2[Cost Percentage],0),0)</f>
        <v>62</v>
      </c>
      <c r="P62" s="12">
        <f>'Retail Store Sales'!$F62*'Retail Store Sales'!$G62</f>
        <v>95</v>
      </c>
      <c r="Q62" s="12">
        <f>P62-Table1[[#This Row],[Total cost]]</f>
        <v>33</v>
      </c>
    </row>
    <row r="63" spans="1:17" x14ac:dyDescent="0.45">
      <c r="A63" s="16" t="s">
        <v>106</v>
      </c>
      <c r="B63" s="16" t="s">
        <v>11</v>
      </c>
      <c r="C63" s="16" t="s">
        <v>26</v>
      </c>
      <c r="D63" s="17">
        <v>45301</v>
      </c>
      <c r="E63" s="17">
        <v>45305</v>
      </c>
      <c r="F63" s="16">
        <v>9</v>
      </c>
      <c r="G63" s="16">
        <v>63</v>
      </c>
      <c r="H63" s="16" t="s">
        <v>27</v>
      </c>
      <c r="I63" s="16" t="s">
        <v>546</v>
      </c>
      <c r="J63" s="16" t="s">
        <v>14</v>
      </c>
      <c r="K63" s="18" t="str">
        <f>TEXT('Retail Store Sales'!$D63,"yyyy")</f>
        <v>2024</v>
      </c>
      <c r="L63" s="15" t="str">
        <f>TEXT('Retail Store Sales'!$D63,"mmm")</f>
        <v>Jan</v>
      </c>
      <c r="M63" s="16" t="str">
        <f>TEXT('Retail Store Sales'!$D63,"dddd")</f>
        <v>Wednesday</v>
      </c>
      <c r="N63" s="24">
        <f t="shared" si="0"/>
        <v>4</v>
      </c>
      <c r="O63" s="16">
        <f>ROUND('Retail Store Sales'!$F63*'Retail Store Sales'!$G63*_xlfn.XLOOKUP('Retail Store Sales'!$C63,Table2[Product Name],Table2[Cost Percentage],0),0)</f>
        <v>369</v>
      </c>
      <c r="P63" s="16">
        <f>'Retail Store Sales'!$F63*'Retail Store Sales'!$G63</f>
        <v>567</v>
      </c>
      <c r="Q63" s="12">
        <f>P63-Table1[[#This Row],[Total cost]]</f>
        <v>198</v>
      </c>
    </row>
    <row r="64" spans="1:17" x14ac:dyDescent="0.45">
      <c r="A64" s="12" t="s">
        <v>107</v>
      </c>
      <c r="B64" s="12" t="s">
        <v>11</v>
      </c>
      <c r="C64" s="12" t="s">
        <v>12</v>
      </c>
      <c r="D64" s="13">
        <v>45307</v>
      </c>
      <c r="E64" s="13">
        <v>45320</v>
      </c>
      <c r="F64" s="12">
        <v>4</v>
      </c>
      <c r="G64" s="12">
        <v>214</v>
      </c>
      <c r="H64" s="12" t="s">
        <v>27</v>
      </c>
      <c r="I64" s="12" t="s">
        <v>548</v>
      </c>
      <c r="J64" s="12" t="s">
        <v>14</v>
      </c>
      <c r="K64" s="14" t="str">
        <f>TEXT('Retail Store Sales'!$D64,"yyyy")</f>
        <v>2024</v>
      </c>
      <c r="L64" s="11" t="str">
        <f>TEXT('Retail Store Sales'!$D64,"mmm")</f>
        <v>Jan</v>
      </c>
      <c r="M64" s="12" t="str">
        <f>TEXT('Retail Store Sales'!$D64,"dddd")</f>
        <v>Tuesday</v>
      </c>
      <c r="N64" s="23">
        <f t="shared" si="0"/>
        <v>13</v>
      </c>
      <c r="O64" s="16">
        <f>ROUND('Retail Store Sales'!$F64*'Retail Store Sales'!$G64*_xlfn.XLOOKUP('Retail Store Sales'!$C64,Table2[Product Name],Table2[Cost Percentage],0),0)</f>
        <v>642</v>
      </c>
      <c r="P64" s="12">
        <f>'Retail Store Sales'!$F64*'Retail Store Sales'!$G64</f>
        <v>856</v>
      </c>
      <c r="Q64" s="12">
        <f>P64-Table1[[#This Row],[Total cost]]</f>
        <v>214</v>
      </c>
    </row>
    <row r="65" spans="1:17" x14ac:dyDescent="0.45">
      <c r="A65" s="16" t="s">
        <v>108</v>
      </c>
      <c r="B65" s="16" t="s">
        <v>20</v>
      </c>
      <c r="C65" s="16" t="s">
        <v>53</v>
      </c>
      <c r="D65" s="17">
        <v>45356</v>
      </c>
      <c r="E65" s="17">
        <v>45365</v>
      </c>
      <c r="F65" s="16">
        <v>8</v>
      </c>
      <c r="G65" s="16">
        <v>695</v>
      </c>
      <c r="H65" s="16" t="s">
        <v>13</v>
      </c>
      <c r="I65" s="16" t="s">
        <v>550</v>
      </c>
      <c r="J65" s="16" t="s">
        <v>18</v>
      </c>
      <c r="K65" s="18" t="str">
        <f>TEXT('Retail Store Sales'!$D65,"yyyy")</f>
        <v>2024</v>
      </c>
      <c r="L65" s="15" t="str">
        <f>TEXT('Retail Store Sales'!$D65,"mmm")</f>
        <v>Mar</v>
      </c>
      <c r="M65" s="16" t="str">
        <f>TEXT('Retail Store Sales'!$D65,"dddd")</f>
        <v>Tuesday</v>
      </c>
      <c r="N65" s="24">
        <f t="shared" si="0"/>
        <v>9</v>
      </c>
      <c r="O65" s="16">
        <f>ROUND('Retail Store Sales'!$F65*'Retail Store Sales'!$G65*_xlfn.XLOOKUP('Retail Store Sales'!$C65,Table2[Product Name],Table2[Cost Percentage],0),0)</f>
        <v>3892</v>
      </c>
      <c r="P65" s="16">
        <f>'Retail Store Sales'!$F65*'Retail Store Sales'!$G65</f>
        <v>5560</v>
      </c>
      <c r="Q65" s="12">
        <f>P65-Table1[[#This Row],[Total cost]]</f>
        <v>1668</v>
      </c>
    </row>
    <row r="66" spans="1:17" x14ac:dyDescent="0.45">
      <c r="A66" s="12" t="s">
        <v>109</v>
      </c>
      <c r="B66" s="12" t="s">
        <v>23</v>
      </c>
      <c r="C66" s="12" t="s">
        <v>24</v>
      </c>
      <c r="D66" s="13">
        <v>45480</v>
      </c>
      <c r="E66" s="13">
        <v>45488</v>
      </c>
      <c r="F66" s="12">
        <v>3</v>
      </c>
      <c r="G66" s="12">
        <v>630</v>
      </c>
      <c r="H66" s="12" t="s">
        <v>13</v>
      </c>
      <c r="I66" s="12" t="s">
        <v>32</v>
      </c>
      <c r="J66" s="12" t="s">
        <v>14</v>
      </c>
      <c r="K66" s="14" t="str">
        <f>TEXT('Retail Store Sales'!$D66,"yyyy")</f>
        <v>2024</v>
      </c>
      <c r="L66" s="11" t="str">
        <f>TEXT('Retail Store Sales'!$D66,"mmm")</f>
        <v>Jul</v>
      </c>
      <c r="M66" s="12" t="str">
        <f>TEXT('Retail Store Sales'!$D66,"dddd")</f>
        <v>Sunday</v>
      </c>
      <c r="N66" s="23">
        <f t="shared" ref="N66:N129" si="1">DATEDIF(D66,E66,"D")</f>
        <v>8</v>
      </c>
      <c r="O66" s="16">
        <f>ROUND('Retail Store Sales'!$F66*'Retail Store Sales'!$G66*_xlfn.XLOOKUP('Retail Store Sales'!$C66,Table2[Product Name],Table2[Cost Percentage],0),0)</f>
        <v>1040</v>
      </c>
      <c r="P66" s="12">
        <f>'Retail Store Sales'!$F66*'Retail Store Sales'!$G66</f>
        <v>1890</v>
      </c>
      <c r="Q66" s="12">
        <f>P66-Table1[[#This Row],[Total cost]]</f>
        <v>850</v>
      </c>
    </row>
    <row r="67" spans="1:17" x14ac:dyDescent="0.45">
      <c r="A67" s="16" t="s">
        <v>110</v>
      </c>
      <c r="B67" s="16" t="s">
        <v>30</v>
      </c>
      <c r="C67" s="16" t="s">
        <v>75</v>
      </c>
      <c r="D67" s="17">
        <v>45588</v>
      </c>
      <c r="E67" s="17">
        <v>45600</v>
      </c>
      <c r="F67" s="16">
        <v>1</v>
      </c>
      <c r="G67" s="16">
        <v>961</v>
      </c>
      <c r="H67" s="16" t="s">
        <v>27</v>
      </c>
      <c r="I67" s="16" t="s">
        <v>546</v>
      </c>
      <c r="J67" s="16" t="s">
        <v>14</v>
      </c>
      <c r="K67" s="18" t="str">
        <f>TEXT('Retail Store Sales'!$D67,"yyyy")</f>
        <v>2024</v>
      </c>
      <c r="L67" s="15" t="str">
        <f>TEXT('Retail Store Sales'!$D67,"mmm")</f>
        <v>Oct</v>
      </c>
      <c r="M67" s="16" t="str">
        <f>TEXT('Retail Store Sales'!$D67,"dddd")</f>
        <v>Wednesday</v>
      </c>
      <c r="N67" s="24">
        <f t="shared" si="1"/>
        <v>12</v>
      </c>
      <c r="O67" s="16">
        <f>ROUND('Retail Store Sales'!$F67*'Retail Store Sales'!$G67*_xlfn.XLOOKUP('Retail Store Sales'!$C67,Table2[Product Name],Table2[Cost Percentage],0),0)</f>
        <v>721</v>
      </c>
      <c r="P67" s="16">
        <f>'Retail Store Sales'!$F67*'Retail Store Sales'!$G67</f>
        <v>961</v>
      </c>
      <c r="Q67" s="12">
        <f>P67-Table1[[#This Row],[Total cost]]</f>
        <v>240</v>
      </c>
    </row>
    <row r="68" spans="1:17" x14ac:dyDescent="0.45">
      <c r="A68" s="12" t="s">
        <v>111</v>
      </c>
      <c r="B68" s="12" t="s">
        <v>23</v>
      </c>
      <c r="C68" s="12" t="s">
        <v>37</v>
      </c>
      <c r="D68" s="13">
        <v>45393</v>
      </c>
      <c r="E68" s="13">
        <v>45406</v>
      </c>
      <c r="F68" s="12">
        <v>2</v>
      </c>
      <c r="G68" s="12">
        <v>616</v>
      </c>
      <c r="H68" s="12" t="s">
        <v>13</v>
      </c>
      <c r="I68" s="12" t="s">
        <v>32</v>
      </c>
      <c r="J68" s="12" t="s">
        <v>14</v>
      </c>
      <c r="K68" s="14" t="str">
        <f>TEXT('Retail Store Sales'!$D68,"yyyy")</f>
        <v>2024</v>
      </c>
      <c r="L68" s="11" t="str">
        <f>TEXT('Retail Store Sales'!$D68,"mmm")</f>
        <v>Apr</v>
      </c>
      <c r="M68" s="12" t="str">
        <f>TEXT('Retail Store Sales'!$D68,"dddd")</f>
        <v>Thursday</v>
      </c>
      <c r="N68" s="23">
        <f t="shared" si="1"/>
        <v>13</v>
      </c>
      <c r="O68" s="16">
        <f>ROUND('Retail Store Sales'!$F68*'Retail Store Sales'!$G68*_xlfn.XLOOKUP('Retail Store Sales'!$C68,Table2[Product Name],Table2[Cost Percentage],0),0)</f>
        <v>616</v>
      </c>
      <c r="P68" s="12">
        <f>'Retail Store Sales'!$F68*'Retail Store Sales'!$G68</f>
        <v>1232</v>
      </c>
      <c r="Q68" s="12">
        <f>P68-Table1[[#This Row],[Total cost]]</f>
        <v>616</v>
      </c>
    </row>
    <row r="69" spans="1:17" x14ac:dyDescent="0.45">
      <c r="A69" s="16" t="s">
        <v>112</v>
      </c>
      <c r="B69" s="16" t="s">
        <v>30</v>
      </c>
      <c r="C69" s="16" t="s">
        <v>31</v>
      </c>
      <c r="D69" s="17">
        <v>45353</v>
      </c>
      <c r="E69" s="17">
        <v>45364</v>
      </c>
      <c r="F69" s="16">
        <v>10</v>
      </c>
      <c r="G69" s="16">
        <v>811</v>
      </c>
      <c r="H69" s="16" t="s">
        <v>27</v>
      </c>
      <c r="I69" s="16" t="s">
        <v>550</v>
      </c>
      <c r="J69" s="16" t="s">
        <v>14</v>
      </c>
      <c r="K69" s="18" t="str">
        <f>TEXT('Retail Store Sales'!$D69,"yyyy")</f>
        <v>2024</v>
      </c>
      <c r="L69" s="15" t="str">
        <f>TEXT('Retail Store Sales'!$D69,"mmm")</f>
        <v>Mar</v>
      </c>
      <c r="M69" s="16" t="str">
        <f>TEXT('Retail Store Sales'!$D69,"dddd")</f>
        <v>Saturday</v>
      </c>
      <c r="N69" s="24">
        <f t="shared" si="1"/>
        <v>11</v>
      </c>
      <c r="O69" s="16">
        <f>ROUND('Retail Store Sales'!$F69*'Retail Store Sales'!$G69*_xlfn.XLOOKUP('Retail Store Sales'!$C69,Table2[Product Name],Table2[Cost Percentage],0),0)</f>
        <v>6083</v>
      </c>
      <c r="P69" s="16">
        <f>'Retail Store Sales'!$F69*'Retail Store Sales'!$G69</f>
        <v>8110</v>
      </c>
      <c r="Q69" s="12">
        <f>P69-Table1[[#This Row],[Total cost]]</f>
        <v>2027</v>
      </c>
    </row>
    <row r="70" spans="1:17" x14ac:dyDescent="0.45">
      <c r="A70" s="12" t="s">
        <v>113</v>
      </c>
      <c r="B70" s="12" t="s">
        <v>23</v>
      </c>
      <c r="C70" s="12" t="s">
        <v>114</v>
      </c>
      <c r="D70" s="13">
        <v>45513</v>
      </c>
      <c r="E70" s="13">
        <v>45519</v>
      </c>
      <c r="F70" s="12">
        <v>6</v>
      </c>
      <c r="G70" s="12">
        <v>660</v>
      </c>
      <c r="H70" s="12" t="s">
        <v>27</v>
      </c>
      <c r="I70" s="12" t="s">
        <v>548</v>
      </c>
      <c r="J70" s="12" t="s">
        <v>18</v>
      </c>
      <c r="K70" s="14" t="str">
        <f>TEXT('Retail Store Sales'!$D70,"yyyy")</f>
        <v>2024</v>
      </c>
      <c r="L70" s="11" t="str">
        <f>TEXT('Retail Store Sales'!$D70,"mmm")</f>
        <v>Aug</v>
      </c>
      <c r="M70" s="12" t="str">
        <f>TEXT('Retail Store Sales'!$D70,"dddd")</f>
        <v>Friday</v>
      </c>
      <c r="N70" s="23">
        <f t="shared" si="1"/>
        <v>6</v>
      </c>
      <c r="O70" s="16">
        <f>ROUND('Retail Store Sales'!$F70*'Retail Store Sales'!$G70*_xlfn.XLOOKUP('Retail Store Sales'!$C70,Table2[Product Name],Table2[Cost Percentage],0),0)</f>
        <v>2376</v>
      </c>
      <c r="P70" s="12">
        <f>'Retail Store Sales'!$F70*'Retail Store Sales'!$G70</f>
        <v>3960</v>
      </c>
      <c r="Q70" s="12">
        <f>P70-Table1[[#This Row],[Total cost]]</f>
        <v>1584</v>
      </c>
    </row>
    <row r="71" spans="1:17" x14ac:dyDescent="0.45">
      <c r="A71" s="16" t="s">
        <v>115</v>
      </c>
      <c r="B71" s="16" t="s">
        <v>20</v>
      </c>
      <c r="C71" s="16" t="s">
        <v>21</v>
      </c>
      <c r="D71" s="17">
        <v>45382</v>
      </c>
      <c r="E71" s="17">
        <v>45395</v>
      </c>
      <c r="F71" s="16">
        <v>9</v>
      </c>
      <c r="G71" s="16">
        <v>998</v>
      </c>
      <c r="H71" s="16" t="s">
        <v>27</v>
      </c>
      <c r="I71" s="16" t="s">
        <v>32</v>
      </c>
      <c r="J71" s="16" t="s">
        <v>28</v>
      </c>
      <c r="K71" s="18" t="str">
        <f>TEXT('Retail Store Sales'!$D71,"yyyy")</f>
        <v>2024</v>
      </c>
      <c r="L71" s="15" t="str">
        <f>TEXT('Retail Store Sales'!$D71,"mmm")</f>
        <v>Mar</v>
      </c>
      <c r="M71" s="16" t="str">
        <f>TEXT('Retail Store Sales'!$D71,"dddd")</f>
        <v>Sunday</v>
      </c>
      <c r="N71" s="24">
        <f t="shared" si="1"/>
        <v>13</v>
      </c>
      <c r="O71" s="16">
        <f>ROUND('Retail Store Sales'!$F71*'Retail Store Sales'!$G71*_xlfn.XLOOKUP('Retail Store Sales'!$C71,Table2[Product Name],Table2[Cost Percentage],0),0)</f>
        <v>6737</v>
      </c>
      <c r="P71" s="16">
        <f>'Retail Store Sales'!$F71*'Retail Store Sales'!$G71</f>
        <v>8982</v>
      </c>
      <c r="Q71" s="12">
        <f>P71-Table1[[#This Row],[Total cost]]</f>
        <v>2245</v>
      </c>
    </row>
    <row r="72" spans="1:17" x14ac:dyDescent="0.45">
      <c r="A72" s="12" t="s">
        <v>116</v>
      </c>
      <c r="B72" s="12" t="s">
        <v>16</v>
      </c>
      <c r="C72" s="12" t="s">
        <v>55</v>
      </c>
      <c r="D72" s="13">
        <v>45576</v>
      </c>
      <c r="E72" s="13">
        <v>45582</v>
      </c>
      <c r="F72" s="12">
        <v>1</v>
      </c>
      <c r="G72" s="12">
        <v>539</v>
      </c>
      <c r="H72" s="12" t="s">
        <v>13</v>
      </c>
      <c r="I72" s="12" t="s">
        <v>550</v>
      </c>
      <c r="J72" s="12" t="s">
        <v>45</v>
      </c>
      <c r="K72" s="14" t="str">
        <f>TEXT('Retail Store Sales'!$D72,"yyyy")</f>
        <v>2024</v>
      </c>
      <c r="L72" s="11" t="str">
        <f>TEXT('Retail Store Sales'!$D72,"mmm")</f>
        <v>Oct</v>
      </c>
      <c r="M72" s="12" t="str">
        <f>TEXT('Retail Store Sales'!$D72,"dddd")</f>
        <v>Friday</v>
      </c>
      <c r="N72" s="23">
        <f t="shared" si="1"/>
        <v>6</v>
      </c>
      <c r="O72" s="16">
        <f>ROUND('Retail Store Sales'!$F72*'Retail Store Sales'!$G72*_xlfn.XLOOKUP('Retail Store Sales'!$C72,Table2[Product Name],Table2[Cost Percentage],0),0)</f>
        <v>296</v>
      </c>
      <c r="P72" s="12">
        <f>'Retail Store Sales'!$F72*'Retail Store Sales'!$G72</f>
        <v>539</v>
      </c>
      <c r="Q72" s="12">
        <f>P72-Table1[[#This Row],[Total cost]]</f>
        <v>243</v>
      </c>
    </row>
    <row r="73" spans="1:17" x14ac:dyDescent="0.45">
      <c r="A73" s="16" t="s">
        <v>117</v>
      </c>
      <c r="B73" s="16" t="s">
        <v>16</v>
      </c>
      <c r="C73" s="16" t="s">
        <v>55</v>
      </c>
      <c r="D73" s="17">
        <v>45534</v>
      </c>
      <c r="E73" s="17">
        <v>45547</v>
      </c>
      <c r="F73" s="16">
        <v>9</v>
      </c>
      <c r="G73" s="16">
        <v>553</v>
      </c>
      <c r="H73" s="16" t="s">
        <v>27</v>
      </c>
      <c r="I73" s="16" t="s">
        <v>546</v>
      </c>
      <c r="J73" s="16" t="s">
        <v>45</v>
      </c>
      <c r="K73" s="18" t="str">
        <f>TEXT('Retail Store Sales'!$D73,"yyyy")</f>
        <v>2024</v>
      </c>
      <c r="L73" s="15" t="str">
        <f>TEXT('Retail Store Sales'!$D73,"mmm")</f>
        <v>Aug</v>
      </c>
      <c r="M73" s="16" t="str">
        <f>TEXT('Retail Store Sales'!$D73,"dddd")</f>
        <v>Friday</v>
      </c>
      <c r="N73" s="24">
        <f t="shared" si="1"/>
        <v>13</v>
      </c>
      <c r="O73" s="16">
        <f>ROUND('Retail Store Sales'!$F73*'Retail Store Sales'!$G73*_xlfn.XLOOKUP('Retail Store Sales'!$C73,Table2[Product Name],Table2[Cost Percentage],0),0)</f>
        <v>2737</v>
      </c>
      <c r="P73" s="16">
        <f>'Retail Store Sales'!$F73*'Retail Store Sales'!$G73</f>
        <v>4977</v>
      </c>
      <c r="Q73" s="12">
        <f>P73-Table1[[#This Row],[Total cost]]</f>
        <v>2240</v>
      </c>
    </row>
    <row r="74" spans="1:17" x14ac:dyDescent="0.45">
      <c r="A74" s="12" t="s">
        <v>118</v>
      </c>
      <c r="B74" s="12" t="s">
        <v>16</v>
      </c>
      <c r="C74" s="12" t="s">
        <v>55</v>
      </c>
      <c r="D74" s="13">
        <v>45472</v>
      </c>
      <c r="E74" s="13">
        <v>45486</v>
      </c>
      <c r="F74" s="12">
        <v>8</v>
      </c>
      <c r="G74" s="12">
        <v>287</v>
      </c>
      <c r="H74" s="12" t="s">
        <v>13</v>
      </c>
      <c r="I74" s="12" t="s">
        <v>546</v>
      </c>
      <c r="J74" s="12" t="s">
        <v>28</v>
      </c>
      <c r="K74" s="14" t="str">
        <f>TEXT('Retail Store Sales'!$D74,"yyyy")</f>
        <v>2024</v>
      </c>
      <c r="L74" s="11" t="str">
        <f>TEXT('Retail Store Sales'!$D74,"mmm")</f>
        <v>Jun</v>
      </c>
      <c r="M74" s="12" t="str">
        <f>TEXT('Retail Store Sales'!$D74,"dddd")</f>
        <v>Saturday</v>
      </c>
      <c r="N74" s="23">
        <f t="shared" si="1"/>
        <v>14</v>
      </c>
      <c r="O74" s="16">
        <f>ROUND('Retail Store Sales'!$F74*'Retail Store Sales'!$G74*_xlfn.XLOOKUP('Retail Store Sales'!$C74,Table2[Product Name],Table2[Cost Percentage],0),0)</f>
        <v>1263</v>
      </c>
      <c r="P74" s="12">
        <f>'Retail Store Sales'!$F74*'Retail Store Sales'!$G74</f>
        <v>2296</v>
      </c>
      <c r="Q74" s="12">
        <f>P74-Table1[[#This Row],[Total cost]]</f>
        <v>1033</v>
      </c>
    </row>
    <row r="75" spans="1:17" x14ac:dyDescent="0.45">
      <c r="A75" s="16" t="s">
        <v>119</v>
      </c>
      <c r="B75" s="16" t="s">
        <v>11</v>
      </c>
      <c r="C75" s="16" t="s">
        <v>57</v>
      </c>
      <c r="D75" s="17">
        <v>45453</v>
      </c>
      <c r="E75" s="17">
        <v>45462</v>
      </c>
      <c r="F75" s="16">
        <v>2</v>
      </c>
      <c r="G75" s="16">
        <v>770</v>
      </c>
      <c r="H75" s="16" t="s">
        <v>13</v>
      </c>
      <c r="I75" s="16" t="s">
        <v>32</v>
      </c>
      <c r="J75" s="16" t="s">
        <v>45</v>
      </c>
      <c r="K75" s="18" t="str">
        <f>TEXT('Retail Store Sales'!$D75,"yyyy")</f>
        <v>2024</v>
      </c>
      <c r="L75" s="15" t="str">
        <f>TEXT('Retail Store Sales'!$D75,"mmm")</f>
        <v>Jun</v>
      </c>
      <c r="M75" s="16" t="str">
        <f>TEXT('Retail Store Sales'!$D75,"dddd")</f>
        <v>Monday</v>
      </c>
      <c r="N75" s="24">
        <f t="shared" si="1"/>
        <v>9</v>
      </c>
      <c r="O75" s="16">
        <f>ROUND('Retail Store Sales'!$F75*'Retail Store Sales'!$G75*_xlfn.XLOOKUP('Retail Store Sales'!$C75,Table2[Product Name],Table2[Cost Percentage],0),0)</f>
        <v>1309</v>
      </c>
      <c r="P75" s="16">
        <f>'Retail Store Sales'!$F75*'Retail Store Sales'!$G75</f>
        <v>1540</v>
      </c>
      <c r="Q75" s="12">
        <f>P75-Table1[[#This Row],[Total cost]]</f>
        <v>231</v>
      </c>
    </row>
    <row r="76" spans="1:17" x14ac:dyDescent="0.45">
      <c r="A76" s="12" t="s">
        <v>120</v>
      </c>
      <c r="B76" s="12" t="s">
        <v>11</v>
      </c>
      <c r="C76" s="12" t="s">
        <v>57</v>
      </c>
      <c r="D76" s="13">
        <v>45443</v>
      </c>
      <c r="E76" s="13">
        <v>45457</v>
      </c>
      <c r="F76" s="12">
        <v>4</v>
      </c>
      <c r="G76" s="12">
        <v>379</v>
      </c>
      <c r="H76" s="12" t="s">
        <v>13</v>
      </c>
      <c r="I76" s="12" t="s">
        <v>550</v>
      </c>
      <c r="J76" s="12" t="s">
        <v>28</v>
      </c>
      <c r="K76" s="14" t="str">
        <f>TEXT('Retail Store Sales'!$D76,"yyyy")</f>
        <v>2024</v>
      </c>
      <c r="L76" s="11" t="str">
        <f>TEXT('Retail Store Sales'!$D76,"mmm")</f>
        <v>May</v>
      </c>
      <c r="M76" s="12" t="str">
        <f>TEXT('Retail Store Sales'!$D76,"dddd")</f>
        <v>Friday</v>
      </c>
      <c r="N76" s="23">
        <f t="shared" si="1"/>
        <v>14</v>
      </c>
      <c r="O76" s="16">
        <f>ROUND('Retail Store Sales'!$F76*'Retail Store Sales'!$G76*_xlfn.XLOOKUP('Retail Store Sales'!$C76,Table2[Product Name],Table2[Cost Percentage],0),0)</f>
        <v>1289</v>
      </c>
      <c r="P76" s="12">
        <f>'Retail Store Sales'!$F76*'Retail Store Sales'!$G76</f>
        <v>1516</v>
      </c>
      <c r="Q76" s="12">
        <f>P76-Table1[[#This Row],[Total cost]]</f>
        <v>227</v>
      </c>
    </row>
    <row r="77" spans="1:17" x14ac:dyDescent="0.45">
      <c r="A77" s="16" t="s">
        <v>121</v>
      </c>
      <c r="B77" s="16" t="s">
        <v>16</v>
      </c>
      <c r="C77" s="16" t="s">
        <v>63</v>
      </c>
      <c r="D77" s="17">
        <v>45432</v>
      </c>
      <c r="E77" s="17">
        <v>45438</v>
      </c>
      <c r="F77" s="16">
        <v>1</v>
      </c>
      <c r="G77" s="16">
        <v>65</v>
      </c>
      <c r="H77" s="16" t="s">
        <v>27</v>
      </c>
      <c r="I77" s="16" t="s">
        <v>32</v>
      </c>
      <c r="J77" s="16" t="s">
        <v>28</v>
      </c>
      <c r="K77" s="18" t="str">
        <f>TEXT('Retail Store Sales'!$D77,"yyyy")</f>
        <v>2024</v>
      </c>
      <c r="L77" s="15" t="str">
        <f>TEXT('Retail Store Sales'!$D77,"mmm")</f>
        <v>May</v>
      </c>
      <c r="M77" s="16" t="str">
        <f>TEXT('Retail Store Sales'!$D77,"dddd")</f>
        <v>Monday</v>
      </c>
      <c r="N77" s="24">
        <f t="shared" si="1"/>
        <v>6</v>
      </c>
      <c r="O77" s="16">
        <f>ROUND('Retail Store Sales'!$F77*'Retail Store Sales'!$G77*_xlfn.XLOOKUP('Retail Store Sales'!$C77,Table2[Product Name],Table2[Cost Percentage],0),0)</f>
        <v>33</v>
      </c>
      <c r="P77" s="16">
        <f>'Retail Store Sales'!$F77*'Retail Store Sales'!$G77</f>
        <v>65</v>
      </c>
      <c r="Q77" s="12">
        <f>P77-Table1[[#This Row],[Total cost]]</f>
        <v>32</v>
      </c>
    </row>
    <row r="78" spans="1:17" x14ac:dyDescent="0.45">
      <c r="A78" s="12" t="s">
        <v>122</v>
      </c>
      <c r="B78" s="12" t="s">
        <v>23</v>
      </c>
      <c r="C78" s="12" t="s">
        <v>24</v>
      </c>
      <c r="D78" s="13">
        <v>45386</v>
      </c>
      <c r="E78" s="13">
        <v>45397</v>
      </c>
      <c r="F78" s="12">
        <v>1</v>
      </c>
      <c r="G78" s="12">
        <v>268</v>
      </c>
      <c r="H78" s="12" t="s">
        <v>13</v>
      </c>
      <c r="I78" s="12" t="s">
        <v>548</v>
      </c>
      <c r="J78" s="12" t="s">
        <v>14</v>
      </c>
      <c r="K78" s="14" t="str">
        <f>TEXT('Retail Store Sales'!$D78,"yyyy")</f>
        <v>2024</v>
      </c>
      <c r="L78" s="11" t="str">
        <f>TEXT('Retail Store Sales'!$D78,"mmm")</f>
        <v>Apr</v>
      </c>
      <c r="M78" s="12" t="str">
        <f>TEXT('Retail Store Sales'!$D78,"dddd")</f>
        <v>Thursday</v>
      </c>
      <c r="N78" s="23">
        <f t="shared" si="1"/>
        <v>11</v>
      </c>
      <c r="O78" s="16">
        <f>ROUND('Retail Store Sales'!$F78*'Retail Store Sales'!$G78*_xlfn.XLOOKUP('Retail Store Sales'!$C78,Table2[Product Name],Table2[Cost Percentage],0),0)</f>
        <v>147</v>
      </c>
      <c r="P78" s="12">
        <f>'Retail Store Sales'!$F78*'Retail Store Sales'!$G78</f>
        <v>268</v>
      </c>
      <c r="Q78" s="12">
        <f>P78-Table1[[#This Row],[Total cost]]</f>
        <v>121</v>
      </c>
    </row>
    <row r="79" spans="1:17" x14ac:dyDescent="0.45">
      <c r="A79" s="16" t="s">
        <v>123</v>
      </c>
      <c r="B79" s="16" t="s">
        <v>11</v>
      </c>
      <c r="C79" s="16" t="s">
        <v>26</v>
      </c>
      <c r="D79" s="17">
        <v>45543</v>
      </c>
      <c r="E79" s="17">
        <v>45556</v>
      </c>
      <c r="F79" s="16">
        <v>2</v>
      </c>
      <c r="G79" s="16">
        <v>600</v>
      </c>
      <c r="H79" s="16" t="s">
        <v>13</v>
      </c>
      <c r="I79" s="16" t="s">
        <v>32</v>
      </c>
      <c r="J79" s="16" t="s">
        <v>28</v>
      </c>
      <c r="K79" s="18" t="str">
        <f>TEXT('Retail Store Sales'!$D79,"yyyy")</f>
        <v>2024</v>
      </c>
      <c r="L79" s="15" t="str">
        <f>TEXT('Retail Store Sales'!$D79,"mmm")</f>
        <v>Sep</v>
      </c>
      <c r="M79" s="16" t="str">
        <f>TEXT('Retail Store Sales'!$D79,"dddd")</f>
        <v>Sunday</v>
      </c>
      <c r="N79" s="24">
        <f t="shared" si="1"/>
        <v>13</v>
      </c>
      <c r="O79" s="16">
        <f>ROUND('Retail Store Sales'!$F79*'Retail Store Sales'!$G79*_xlfn.XLOOKUP('Retail Store Sales'!$C79,Table2[Product Name],Table2[Cost Percentage],0),0)</f>
        <v>780</v>
      </c>
      <c r="P79" s="16">
        <f>'Retail Store Sales'!$F79*'Retail Store Sales'!$G79</f>
        <v>1200</v>
      </c>
      <c r="Q79" s="12">
        <f>P79-Table1[[#This Row],[Total cost]]</f>
        <v>420</v>
      </c>
    </row>
    <row r="80" spans="1:17" x14ac:dyDescent="0.45">
      <c r="A80" s="12" t="s">
        <v>124</v>
      </c>
      <c r="B80" s="12" t="s">
        <v>23</v>
      </c>
      <c r="C80" s="12" t="s">
        <v>24</v>
      </c>
      <c r="D80" s="13">
        <v>45593</v>
      </c>
      <c r="E80" s="13">
        <v>45600</v>
      </c>
      <c r="F80" s="12">
        <v>7</v>
      </c>
      <c r="G80" s="12">
        <v>322</v>
      </c>
      <c r="H80" s="12" t="s">
        <v>13</v>
      </c>
      <c r="I80" s="12" t="s">
        <v>32</v>
      </c>
      <c r="J80" s="12" t="s">
        <v>28</v>
      </c>
      <c r="K80" s="14" t="str">
        <f>TEXT('Retail Store Sales'!$D80,"yyyy")</f>
        <v>2024</v>
      </c>
      <c r="L80" s="11" t="str">
        <f>TEXT('Retail Store Sales'!$D80,"mmm")</f>
        <v>Oct</v>
      </c>
      <c r="M80" s="12" t="str">
        <f>TEXT('Retail Store Sales'!$D80,"dddd")</f>
        <v>Monday</v>
      </c>
      <c r="N80" s="23">
        <f t="shared" si="1"/>
        <v>7</v>
      </c>
      <c r="O80" s="16">
        <f>ROUND('Retail Store Sales'!$F80*'Retail Store Sales'!$G80*_xlfn.XLOOKUP('Retail Store Sales'!$C80,Table2[Product Name],Table2[Cost Percentage],0),0)</f>
        <v>1240</v>
      </c>
      <c r="P80" s="12">
        <f>'Retail Store Sales'!$F80*'Retail Store Sales'!$G80</f>
        <v>2254</v>
      </c>
      <c r="Q80" s="12">
        <f>P80-Table1[[#This Row],[Total cost]]</f>
        <v>1014</v>
      </c>
    </row>
    <row r="81" spans="1:17" x14ac:dyDescent="0.45">
      <c r="A81" s="16" t="s">
        <v>125</v>
      </c>
      <c r="B81" s="16" t="s">
        <v>16</v>
      </c>
      <c r="C81" s="16" t="s">
        <v>17</v>
      </c>
      <c r="D81" s="17">
        <v>45398</v>
      </c>
      <c r="E81" s="17">
        <v>45404</v>
      </c>
      <c r="F81" s="16">
        <v>4</v>
      </c>
      <c r="G81" s="16">
        <v>280</v>
      </c>
      <c r="H81" s="16" t="s">
        <v>13</v>
      </c>
      <c r="I81" s="16" t="s">
        <v>32</v>
      </c>
      <c r="J81" s="16" t="s">
        <v>18</v>
      </c>
      <c r="K81" s="18" t="str">
        <f>TEXT('Retail Store Sales'!$D81,"yyyy")</f>
        <v>2024</v>
      </c>
      <c r="L81" s="15" t="str">
        <f>TEXT('Retail Store Sales'!$D81,"mmm")</f>
        <v>Apr</v>
      </c>
      <c r="M81" s="16" t="str">
        <f>TEXT('Retail Store Sales'!$D81,"dddd")</f>
        <v>Tuesday</v>
      </c>
      <c r="N81" s="24">
        <f t="shared" si="1"/>
        <v>6</v>
      </c>
      <c r="O81" s="16">
        <f>ROUND('Retail Store Sales'!$F81*'Retail Store Sales'!$G81*_xlfn.XLOOKUP('Retail Store Sales'!$C81,Table2[Product Name],Table2[Cost Percentage],0),0)</f>
        <v>560</v>
      </c>
      <c r="P81" s="16">
        <f>'Retail Store Sales'!$F81*'Retail Store Sales'!$G81</f>
        <v>1120</v>
      </c>
      <c r="Q81" s="12">
        <f>P81-Table1[[#This Row],[Total cost]]</f>
        <v>560</v>
      </c>
    </row>
    <row r="82" spans="1:17" x14ac:dyDescent="0.45">
      <c r="A82" s="12" t="s">
        <v>126</v>
      </c>
      <c r="B82" s="12" t="s">
        <v>16</v>
      </c>
      <c r="C82" s="12" t="s">
        <v>43</v>
      </c>
      <c r="D82" s="13">
        <v>45441</v>
      </c>
      <c r="E82" s="13">
        <v>45455</v>
      </c>
      <c r="F82" s="12">
        <v>1</v>
      </c>
      <c r="G82" s="12">
        <v>247</v>
      </c>
      <c r="H82" s="12" t="s">
        <v>27</v>
      </c>
      <c r="I82" s="12" t="s">
        <v>546</v>
      </c>
      <c r="J82" s="12" t="s">
        <v>28</v>
      </c>
      <c r="K82" s="14" t="str">
        <f>TEXT('Retail Store Sales'!$D82,"yyyy")</f>
        <v>2024</v>
      </c>
      <c r="L82" s="11" t="str">
        <f>TEXT('Retail Store Sales'!$D82,"mmm")</f>
        <v>May</v>
      </c>
      <c r="M82" s="12" t="str">
        <f>TEXT('Retail Store Sales'!$D82,"dddd")</f>
        <v>Wednesday</v>
      </c>
      <c r="N82" s="23">
        <f t="shared" si="1"/>
        <v>14</v>
      </c>
      <c r="O82" s="16">
        <f>ROUND('Retail Store Sales'!$F82*'Retail Store Sales'!$G82*_xlfn.XLOOKUP('Retail Store Sales'!$C82,Table2[Product Name],Table2[Cost Percentage],0),0)</f>
        <v>148</v>
      </c>
      <c r="P82" s="12">
        <f>'Retail Store Sales'!$F82*'Retail Store Sales'!$G82</f>
        <v>247</v>
      </c>
      <c r="Q82" s="12">
        <f>P82-Table1[[#This Row],[Total cost]]</f>
        <v>99</v>
      </c>
    </row>
    <row r="83" spans="1:17" x14ac:dyDescent="0.45">
      <c r="A83" s="16" t="s">
        <v>127</v>
      </c>
      <c r="B83" s="16" t="s">
        <v>23</v>
      </c>
      <c r="C83" s="16" t="s">
        <v>114</v>
      </c>
      <c r="D83" s="17">
        <v>45643</v>
      </c>
      <c r="E83" s="17">
        <v>45656</v>
      </c>
      <c r="F83" s="16">
        <v>4</v>
      </c>
      <c r="G83" s="16">
        <v>956</v>
      </c>
      <c r="H83" s="16" t="s">
        <v>27</v>
      </c>
      <c r="I83" s="16" t="s">
        <v>546</v>
      </c>
      <c r="J83" s="16" t="s">
        <v>18</v>
      </c>
      <c r="K83" s="18" t="str">
        <f>TEXT('Retail Store Sales'!$D83,"yyyy")</f>
        <v>2024</v>
      </c>
      <c r="L83" s="15" t="str">
        <f>TEXT('Retail Store Sales'!$D83,"mmm")</f>
        <v>Dec</v>
      </c>
      <c r="M83" s="16" t="str">
        <f>TEXT('Retail Store Sales'!$D83,"dddd")</f>
        <v>Tuesday</v>
      </c>
      <c r="N83" s="24">
        <f t="shared" si="1"/>
        <v>13</v>
      </c>
      <c r="O83" s="16">
        <f>ROUND('Retail Store Sales'!$F83*'Retail Store Sales'!$G83*_xlfn.XLOOKUP('Retail Store Sales'!$C83,Table2[Product Name],Table2[Cost Percentage],0),0)</f>
        <v>2294</v>
      </c>
      <c r="P83" s="16">
        <f>'Retail Store Sales'!$F83*'Retail Store Sales'!$G83</f>
        <v>3824</v>
      </c>
      <c r="Q83" s="12">
        <f>P83-Table1[[#This Row],[Total cost]]</f>
        <v>1530</v>
      </c>
    </row>
    <row r="84" spans="1:17" x14ac:dyDescent="0.45">
      <c r="A84" s="12" t="s">
        <v>128</v>
      </c>
      <c r="B84" s="12" t="s">
        <v>20</v>
      </c>
      <c r="C84" s="12" t="s">
        <v>39</v>
      </c>
      <c r="D84" s="13">
        <v>45322</v>
      </c>
      <c r="E84" s="13">
        <v>45336</v>
      </c>
      <c r="F84" s="12">
        <v>3</v>
      </c>
      <c r="G84" s="12">
        <v>821</v>
      </c>
      <c r="H84" s="12" t="s">
        <v>27</v>
      </c>
      <c r="I84" s="12" t="s">
        <v>546</v>
      </c>
      <c r="J84" s="12" t="s">
        <v>14</v>
      </c>
      <c r="K84" s="14" t="str">
        <f>TEXT('Retail Store Sales'!$D84,"yyyy")</f>
        <v>2024</v>
      </c>
      <c r="L84" s="11" t="str">
        <f>TEXT('Retail Store Sales'!$D84,"mmm")</f>
        <v>Jan</v>
      </c>
      <c r="M84" s="12" t="str">
        <f>TEXT('Retail Store Sales'!$D84,"dddd")</f>
        <v>Wednesday</v>
      </c>
      <c r="N84" s="23">
        <f t="shared" si="1"/>
        <v>14</v>
      </c>
      <c r="O84" s="16">
        <f>ROUND('Retail Store Sales'!$F84*'Retail Store Sales'!$G84*_xlfn.XLOOKUP('Retail Store Sales'!$C84,Table2[Product Name],Table2[Cost Percentage],0),0)</f>
        <v>1601</v>
      </c>
      <c r="P84" s="12">
        <f>'Retail Store Sales'!$F84*'Retail Store Sales'!$G84</f>
        <v>2463</v>
      </c>
      <c r="Q84" s="12">
        <f>P84-Table1[[#This Row],[Total cost]]</f>
        <v>862</v>
      </c>
    </row>
    <row r="85" spans="1:17" x14ac:dyDescent="0.45">
      <c r="A85" s="16" t="s">
        <v>129</v>
      </c>
      <c r="B85" s="16" t="s">
        <v>16</v>
      </c>
      <c r="C85" s="16" t="s">
        <v>55</v>
      </c>
      <c r="D85" s="17">
        <v>45516</v>
      </c>
      <c r="E85" s="17">
        <v>45521</v>
      </c>
      <c r="F85" s="16">
        <v>2</v>
      </c>
      <c r="G85" s="16">
        <v>489</v>
      </c>
      <c r="H85" s="16" t="s">
        <v>27</v>
      </c>
      <c r="I85" s="16" t="s">
        <v>32</v>
      </c>
      <c r="J85" s="16" t="s">
        <v>28</v>
      </c>
      <c r="K85" s="18" t="str">
        <f>TEXT('Retail Store Sales'!$D85,"yyyy")</f>
        <v>2024</v>
      </c>
      <c r="L85" s="15" t="str">
        <f>TEXT('Retail Store Sales'!$D85,"mmm")</f>
        <v>Aug</v>
      </c>
      <c r="M85" s="16" t="str">
        <f>TEXT('Retail Store Sales'!$D85,"dddd")</f>
        <v>Monday</v>
      </c>
      <c r="N85" s="24">
        <f t="shared" si="1"/>
        <v>5</v>
      </c>
      <c r="O85" s="16">
        <f>ROUND('Retail Store Sales'!$F85*'Retail Store Sales'!$G85*_xlfn.XLOOKUP('Retail Store Sales'!$C85,Table2[Product Name],Table2[Cost Percentage],0),0)</f>
        <v>538</v>
      </c>
      <c r="P85" s="16">
        <f>'Retail Store Sales'!$F85*'Retail Store Sales'!$G85</f>
        <v>978</v>
      </c>
      <c r="Q85" s="12">
        <f>P85-Table1[[#This Row],[Total cost]]</f>
        <v>440</v>
      </c>
    </row>
    <row r="86" spans="1:17" x14ac:dyDescent="0.45">
      <c r="A86" s="12" t="s">
        <v>130</v>
      </c>
      <c r="B86" s="12" t="s">
        <v>23</v>
      </c>
      <c r="C86" s="12" t="s">
        <v>24</v>
      </c>
      <c r="D86" s="13">
        <v>45548</v>
      </c>
      <c r="E86" s="13">
        <v>45560</v>
      </c>
      <c r="F86" s="12">
        <v>9</v>
      </c>
      <c r="G86" s="12">
        <v>515</v>
      </c>
      <c r="H86" s="12" t="s">
        <v>27</v>
      </c>
      <c r="I86" s="12" t="s">
        <v>549</v>
      </c>
      <c r="J86" s="12" t="s">
        <v>14</v>
      </c>
      <c r="K86" s="14" t="str">
        <f>TEXT('Retail Store Sales'!$D86,"yyyy")</f>
        <v>2024</v>
      </c>
      <c r="L86" s="11" t="str">
        <f>TEXT('Retail Store Sales'!$D86,"mmm")</f>
        <v>Sep</v>
      </c>
      <c r="M86" s="12" t="str">
        <f>TEXT('Retail Store Sales'!$D86,"dddd")</f>
        <v>Friday</v>
      </c>
      <c r="N86" s="23">
        <f t="shared" si="1"/>
        <v>12</v>
      </c>
      <c r="O86" s="16">
        <f>ROUND('Retail Store Sales'!$F86*'Retail Store Sales'!$G86*_xlfn.XLOOKUP('Retail Store Sales'!$C86,Table2[Product Name],Table2[Cost Percentage],0),0)</f>
        <v>2549</v>
      </c>
      <c r="P86" s="12">
        <f>'Retail Store Sales'!$F86*'Retail Store Sales'!$G86</f>
        <v>4635</v>
      </c>
      <c r="Q86" s="12">
        <f>P86-Table1[[#This Row],[Total cost]]</f>
        <v>2086</v>
      </c>
    </row>
    <row r="87" spans="1:17" x14ac:dyDescent="0.45">
      <c r="A87" s="16" t="s">
        <v>131</v>
      </c>
      <c r="B87" s="16" t="s">
        <v>11</v>
      </c>
      <c r="C87" s="16" t="s">
        <v>26</v>
      </c>
      <c r="D87" s="17">
        <v>45457</v>
      </c>
      <c r="E87" s="17">
        <v>45462</v>
      </c>
      <c r="F87" s="16">
        <v>10</v>
      </c>
      <c r="G87" s="16">
        <v>266</v>
      </c>
      <c r="H87" s="16" t="s">
        <v>13</v>
      </c>
      <c r="I87" s="16" t="s">
        <v>550</v>
      </c>
      <c r="J87" s="16" t="s">
        <v>14</v>
      </c>
      <c r="K87" s="18" t="str">
        <f>TEXT('Retail Store Sales'!$D87,"yyyy")</f>
        <v>2024</v>
      </c>
      <c r="L87" s="15" t="str">
        <f>TEXT('Retail Store Sales'!$D87,"mmm")</f>
        <v>Jun</v>
      </c>
      <c r="M87" s="16" t="str">
        <f>TEXT('Retail Store Sales'!$D87,"dddd")</f>
        <v>Friday</v>
      </c>
      <c r="N87" s="24">
        <f t="shared" si="1"/>
        <v>5</v>
      </c>
      <c r="O87" s="16">
        <f>ROUND('Retail Store Sales'!$F87*'Retail Store Sales'!$G87*_xlfn.XLOOKUP('Retail Store Sales'!$C87,Table2[Product Name],Table2[Cost Percentage],0),0)</f>
        <v>1729</v>
      </c>
      <c r="P87" s="16">
        <f>'Retail Store Sales'!$F87*'Retail Store Sales'!$G87</f>
        <v>2660</v>
      </c>
      <c r="Q87" s="12">
        <f>P87-Table1[[#This Row],[Total cost]]</f>
        <v>931</v>
      </c>
    </row>
    <row r="88" spans="1:17" x14ac:dyDescent="0.45">
      <c r="A88" s="12" t="s">
        <v>132</v>
      </c>
      <c r="B88" s="12" t="s">
        <v>16</v>
      </c>
      <c r="C88" s="12" t="s">
        <v>43</v>
      </c>
      <c r="D88" s="13">
        <v>45434</v>
      </c>
      <c r="E88" s="13">
        <v>45444</v>
      </c>
      <c r="F88" s="12">
        <v>3</v>
      </c>
      <c r="G88" s="12">
        <v>609</v>
      </c>
      <c r="H88" s="12" t="s">
        <v>13</v>
      </c>
      <c r="I88" s="12" t="s">
        <v>549</v>
      </c>
      <c r="J88" s="12" t="s">
        <v>14</v>
      </c>
      <c r="K88" s="14" t="str">
        <f>TEXT('Retail Store Sales'!$D88,"yyyy")</f>
        <v>2024</v>
      </c>
      <c r="L88" s="11" t="str">
        <f>TEXT('Retail Store Sales'!$D88,"mmm")</f>
        <v>May</v>
      </c>
      <c r="M88" s="12" t="str">
        <f>TEXT('Retail Store Sales'!$D88,"dddd")</f>
        <v>Wednesday</v>
      </c>
      <c r="N88" s="23">
        <f t="shared" si="1"/>
        <v>10</v>
      </c>
      <c r="O88" s="16">
        <f>ROUND('Retail Store Sales'!$F88*'Retail Store Sales'!$G88*_xlfn.XLOOKUP('Retail Store Sales'!$C88,Table2[Product Name],Table2[Cost Percentage],0),0)</f>
        <v>1096</v>
      </c>
      <c r="P88" s="12">
        <f>'Retail Store Sales'!$F88*'Retail Store Sales'!$G88</f>
        <v>1827</v>
      </c>
      <c r="Q88" s="12">
        <f>P88-Table1[[#This Row],[Total cost]]</f>
        <v>731</v>
      </c>
    </row>
    <row r="89" spans="1:17" x14ac:dyDescent="0.45">
      <c r="A89" s="16" t="s">
        <v>133</v>
      </c>
      <c r="B89" s="16" t="s">
        <v>23</v>
      </c>
      <c r="C89" s="16" t="s">
        <v>24</v>
      </c>
      <c r="D89" s="17">
        <v>45501</v>
      </c>
      <c r="E89" s="17">
        <v>45505</v>
      </c>
      <c r="F89" s="16">
        <v>6</v>
      </c>
      <c r="G89" s="16">
        <v>338</v>
      </c>
      <c r="H89" s="16" t="s">
        <v>13</v>
      </c>
      <c r="I89" s="16" t="s">
        <v>32</v>
      </c>
      <c r="J89" s="16" t="s">
        <v>14</v>
      </c>
      <c r="K89" s="18" t="str">
        <f>TEXT('Retail Store Sales'!$D89,"yyyy")</f>
        <v>2024</v>
      </c>
      <c r="L89" s="15" t="str">
        <f>TEXT('Retail Store Sales'!$D89,"mmm")</f>
        <v>Jul</v>
      </c>
      <c r="M89" s="16" t="str">
        <f>TEXT('Retail Store Sales'!$D89,"dddd")</f>
        <v>Sunday</v>
      </c>
      <c r="N89" s="24">
        <f t="shared" si="1"/>
        <v>4</v>
      </c>
      <c r="O89" s="16">
        <f>ROUND('Retail Store Sales'!$F89*'Retail Store Sales'!$G89*_xlfn.XLOOKUP('Retail Store Sales'!$C89,Table2[Product Name],Table2[Cost Percentage],0),0)</f>
        <v>1115</v>
      </c>
      <c r="P89" s="16">
        <f>'Retail Store Sales'!$F89*'Retail Store Sales'!$G89</f>
        <v>2028</v>
      </c>
      <c r="Q89" s="12">
        <f>P89-Table1[[#This Row],[Total cost]]</f>
        <v>913</v>
      </c>
    </row>
    <row r="90" spans="1:17" x14ac:dyDescent="0.45">
      <c r="A90" s="12" t="s">
        <v>134</v>
      </c>
      <c r="B90" s="12" t="s">
        <v>30</v>
      </c>
      <c r="C90" s="12" t="s">
        <v>49</v>
      </c>
      <c r="D90" s="13">
        <v>45647</v>
      </c>
      <c r="E90" s="13">
        <v>45650</v>
      </c>
      <c r="F90" s="12">
        <v>8</v>
      </c>
      <c r="G90" s="12">
        <v>305</v>
      </c>
      <c r="H90" s="12" t="s">
        <v>27</v>
      </c>
      <c r="I90" s="12" t="s">
        <v>32</v>
      </c>
      <c r="J90" s="12" t="s">
        <v>18</v>
      </c>
      <c r="K90" s="14" t="str">
        <f>TEXT('Retail Store Sales'!$D90,"yyyy")</f>
        <v>2024</v>
      </c>
      <c r="L90" s="11" t="str">
        <f>TEXT('Retail Store Sales'!$D90,"mmm")</f>
        <v>Dec</v>
      </c>
      <c r="M90" s="12" t="str">
        <f>TEXT('Retail Store Sales'!$D90,"dddd")</f>
        <v>Saturday</v>
      </c>
      <c r="N90" s="23">
        <f t="shared" si="1"/>
        <v>3</v>
      </c>
      <c r="O90" s="16">
        <f>ROUND('Retail Store Sales'!$F90*'Retail Store Sales'!$G90*_xlfn.XLOOKUP('Retail Store Sales'!$C90,Table2[Product Name],Table2[Cost Percentage],0),0)</f>
        <v>1708</v>
      </c>
      <c r="P90" s="12">
        <f>'Retail Store Sales'!$F90*'Retail Store Sales'!$G90</f>
        <v>2440</v>
      </c>
      <c r="Q90" s="12">
        <f>P90-Table1[[#This Row],[Total cost]]</f>
        <v>732</v>
      </c>
    </row>
    <row r="91" spans="1:17" x14ac:dyDescent="0.45">
      <c r="A91" s="16" t="s">
        <v>135</v>
      </c>
      <c r="B91" s="16" t="s">
        <v>16</v>
      </c>
      <c r="C91" s="16" t="s">
        <v>17</v>
      </c>
      <c r="D91" s="17">
        <v>45628</v>
      </c>
      <c r="E91" s="17">
        <v>45641</v>
      </c>
      <c r="F91" s="16">
        <v>9</v>
      </c>
      <c r="G91" s="16">
        <v>483</v>
      </c>
      <c r="H91" s="16" t="s">
        <v>13</v>
      </c>
      <c r="I91" s="16" t="s">
        <v>549</v>
      </c>
      <c r="J91" s="16" t="s">
        <v>18</v>
      </c>
      <c r="K91" s="18" t="str">
        <f>TEXT('Retail Store Sales'!$D91,"yyyy")</f>
        <v>2024</v>
      </c>
      <c r="L91" s="15" t="str">
        <f>TEXT('Retail Store Sales'!$D91,"mmm")</f>
        <v>Dec</v>
      </c>
      <c r="M91" s="16" t="str">
        <f>TEXT('Retail Store Sales'!$D91,"dddd")</f>
        <v>Monday</v>
      </c>
      <c r="N91" s="24">
        <f t="shared" si="1"/>
        <v>13</v>
      </c>
      <c r="O91" s="16">
        <f>ROUND('Retail Store Sales'!$F91*'Retail Store Sales'!$G91*_xlfn.XLOOKUP('Retail Store Sales'!$C91,Table2[Product Name],Table2[Cost Percentage],0),0)</f>
        <v>2174</v>
      </c>
      <c r="P91" s="16">
        <f>'Retail Store Sales'!$F91*'Retail Store Sales'!$G91</f>
        <v>4347</v>
      </c>
      <c r="Q91" s="12">
        <f>P91-Table1[[#This Row],[Total cost]]</f>
        <v>2173</v>
      </c>
    </row>
    <row r="92" spans="1:17" x14ac:dyDescent="0.45">
      <c r="A92" s="12" t="s">
        <v>136</v>
      </c>
      <c r="B92" s="12" t="s">
        <v>16</v>
      </c>
      <c r="C92" s="12" t="s">
        <v>55</v>
      </c>
      <c r="D92" s="13">
        <v>45610</v>
      </c>
      <c r="E92" s="13">
        <v>45614</v>
      </c>
      <c r="F92" s="12">
        <v>8</v>
      </c>
      <c r="G92" s="12">
        <v>650</v>
      </c>
      <c r="H92" s="12" t="s">
        <v>13</v>
      </c>
      <c r="I92" s="12" t="s">
        <v>549</v>
      </c>
      <c r="J92" s="12" t="s">
        <v>28</v>
      </c>
      <c r="K92" s="14" t="str">
        <f>TEXT('Retail Store Sales'!$D92,"yyyy")</f>
        <v>2024</v>
      </c>
      <c r="L92" s="11" t="str">
        <f>TEXT('Retail Store Sales'!$D92,"mmm")</f>
        <v>Nov</v>
      </c>
      <c r="M92" s="12" t="str">
        <f>TEXT('Retail Store Sales'!$D92,"dddd")</f>
        <v>Thursday</v>
      </c>
      <c r="N92" s="23">
        <f t="shared" si="1"/>
        <v>4</v>
      </c>
      <c r="O92" s="16">
        <f>ROUND('Retail Store Sales'!$F92*'Retail Store Sales'!$G92*_xlfn.XLOOKUP('Retail Store Sales'!$C92,Table2[Product Name],Table2[Cost Percentage],0),0)</f>
        <v>2860</v>
      </c>
      <c r="P92" s="12">
        <f>'Retail Store Sales'!$F92*'Retail Store Sales'!$G92</f>
        <v>5200</v>
      </c>
      <c r="Q92" s="12">
        <f>P92-Table1[[#This Row],[Total cost]]</f>
        <v>2340</v>
      </c>
    </row>
    <row r="93" spans="1:17" x14ac:dyDescent="0.45">
      <c r="A93" s="16" t="s">
        <v>137</v>
      </c>
      <c r="B93" s="16" t="s">
        <v>30</v>
      </c>
      <c r="C93" s="16" t="s">
        <v>31</v>
      </c>
      <c r="D93" s="17">
        <v>45359</v>
      </c>
      <c r="E93" s="17">
        <v>45373</v>
      </c>
      <c r="F93" s="16">
        <v>5</v>
      </c>
      <c r="G93" s="16">
        <v>458</v>
      </c>
      <c r="H93" s="16" t="s">
        <v>13</v>
      </c>
      <c r="I93" s="16" t="s">
        <v>32</v>
      </c>
      <c r="J93" s="16" t="s">
        <v>14</v>
      </c>
      <c r="K93" s="18" t="str">
        <f>TEXT('Retail Store Sales'!$D93,"yyyy")</f>
        <v>2024</v>
      </c>
      <c r="L93" s="15" t="str">
        <f>TEXT('Retail Store Sales'!$D93,"mmm")</f>
        <v>Mar</v>
      </c>
      <c r="M93" s="16" t="str">
        <f>TEXT('Retail Store Sales'!$D93,"dddd")</f>
        <v>Friday</v>
      </c>
      <c r="N93" s="24">
        <f t="shared" si="1"/>
        <v>14</v>
      </c>
      <c r="O93" s="16">
        <f>ROUND('Retail Store Sales'!$F93*'Retail Store Sales'!$G93*_xlfn.XLOOKUP('Retail Store Sales'!$C93,Table2[Product Name],Table2[Cost Percentage],0),0)</f>
        <v>1718</v>
      </c>
      <c r="P93" s="16">
        <f>'Retail Store Sales'!$F93*'Retail Store Sales'!$G93</f>
        <v>2290</v>
      </c>
      <c r="Q93" s="12">
        <f>P93-Table1[[#This Row],[Total cost]]</f>
        <v>572</v>
      </c>
    </row>
    <row r="94" spans="1:17" x14ac:dyDescent="0.45">
      <c r="A94" s="12" t="s">
        <v>138</v>
      </c>
      <c r="B94" s="12" t="s">
        <v>11</v>
      </c>
      <c r="C94" s="12" t="s">
        <v>35</v>
      </c>
      <c r="D94" s="13">
        <v>45414</v>
      </c>
      <c r="E94" s="13">
        <v>45425</v>
      </c>
      <c r="F94" s="12">
        <v>3</v>
      </c>
      <c r="G94" s="12">
        <v>328</v>
      </c>
      <c r="H94" s="12" t="s">
        <v>27</v>
      </c>
      <c r="I94" s="12" t="s">
        <v>32</v>
      </c>
      <c r="J94" s="12" t="s">
        <v>14</v>
      </c>
      <c r="K94" s="14" t="str">
        <f>TEXT('Retail Store Sales'!$D94,"yyyy")</f>
        <v>2024</v>
      </c>
      <c r="L94" s="11" t="str">
        <f>TEXT('Retail Store Sales'!$D94,"mmm")</f>
        <v>May</v>
      </c>
      <c r="M94" s="12" t="str">
        <f>TEXT('Retail Store Sales'!$D94,"dddd")</f>
        <v>Thursday</v>
      </c>
      <c r="N94" s="23">
        <f t="shared" si="1"/>
        <v>11</v>
      </c>
      <c r="O94" s="16">
        <f>ROUND('Retail Store Sales'!$F94*'Retail Store Sales'!$G94*_xlfn.XLOOKUP('Retail Store Sales'!$C94,Table2[Product Name],Table2[Cost Percentage],0),0)</f>
        <v>787</v>
      </c>
      <c r="P94" s="12">
        <f>'Retail Store Sales'!$F94*'Retail Store Sales'!$G94</f>
        <v>984</v>
      </c>
      <c r="Q94" s="12">
        <f>P94-Table1[[#This Row],[Total cost]]</f>
        <v>197</v>
      </c>
    </row>
    <row r="95" spans="1:17" x14ac:dyDescent="0.45">
      <c r="A95" s="16" t="s">
        <v>139</v>
      </c>
      <c r="B95" s="16" t="s">
        <v>20</v>
      </c>
      <c r="C95" s="16" t="s">
        <v>21</v>
      </c>
      <c r="D95" s="17">
        <v>45574</v>
      </c>
      <c r="E95" s="17">
        <v>45581</v>
      </c>
      <c r="F95" s="16">
        <v>3</v>
      </c>
      <c r="G95" s="16">
        <v>402</v>
      </c>
      <c r="H95" s="16" t="s">
        <v>27</v>
      </c>
      <c r="I95" s="16" t="s">
        <v>550</v>
      </c>
      <c r="J95" s="16" t="s">
        <v>45</v>
      </c>
      <c r="K95" s="18" t="str">
        <f>TEXT('Retail Store Sales'!$D95,"yyyy")</f>
        <v>2024</v>
      </c>
      <c r="L95" s="15" t="str">
        <f>TEXT('Retail Store Sales'!$D95,"mmm")</f>
        <v>Oct</v>
      </c>
      <c r="M95" s="16" t="str">
        <f>TEXT('Retail Store Sales'!$D95,"dddd")</f>
        <v>Wednesday</v>
      </c>
      <c r="N95" s="24">
        <f t="shared" si="1"/>
        <v>7</v>
      </c>
      <c r="O95" s="16">
        <f>ROUND('Retail Store Sales'!$F95*'Retail Store Sales'!$G95*_xlfn.XLOOKUP('Retail Store Sales'!$C95,Table2[Product Name],Table2[Cost Percentage],0),0)</f>
        <v>905</v>
      </c>
      <c r="P95" s="16">
        <f>'Retail Store Sales'!$F95*'Retail Store Sales'!$G95</f>
        <v>1206</v>
      </c>
      <c r="Q95" s="12">
        <f>P95-Table1[[#This Row],[Total cost]]</f>
        <v>301</v>
      </c>
    </row>
    <row r="96" spans="1:17" x14ac:dyDescent="0.45">
      <c r="A96" s="12" t="s">
        <v>140</v>
      </c>
      <c r="B96" s="12" t="s">
        <v>11</v>
      </c>
      <c r="C96" s="12" t="s">
        <v>95</v>
      </c>
      <c r="D96" s="13">
        <v>45444</v>
      </c>
      <c r="E96" s="13">
        <v>45456</v>
      </c>
      <c r="F96" s="12">
        <v>10</v>
      </c>
      <c r="G96" s="12">
        <v>603</v>
      </c>
      <c r="H96" s="12" t="s">
        <v>13</v>
      </c>
      <c r="I96" s="12" t="s">
        <v>32</v>
      </c>
      <c r="J96" s="12" t="s">
        <v>45</v>
      </c>
      <c r="K96" s="14" t="str">
        <f>TEXT('Retail Store Sales'!$D96,"yyyy")</f>
        <v>2024</v>
      </c>
      <c r="L96" s="11" t="str">
        <f>TEXT('Retail Store Sales'!$D96,"mmm")</f>
        <v>Jun</v>
      </c>
      <c r="M96" s="12" t="str">
        <f>TEXT('Retail Store Sales'!$D96,"dddd")</f>
        <v>Saturday</v>
      </c>
      <c r="N96" s="23">
        <f t="shared" si="1"/>
        <v>12</v>
      </c>
      <c r="O96" s="16">
        <f>ROUND('Retail Store Sales'!$F96*'Retail Store Sales'!$G96*_xlfn.XLOOKUP('Retail Store Sales'!$C96,Table2[Product Name],Table2[Cost Percentage],0),0)</f>
        <v>4221</v>
      </c>
      <c r="P96" s="12">
        <f>'Retail Store Sales'!$F96*'Retail Store Sales'!$G96</f>
        <v>6030</v>
      </c>
      <c r="Q96" s="12">
        <f>P96-Table1[[#This Row],[Total cost]]</f>
        <v>1809</v>
      </c>
    </row>
    <row r="97" spans="1:17" x14ac:dyDescent="0.45">
      <c r="A97" s="16" t="s">
        <v>141</v>
      </c>
      <c r="B97" s="16" t="s">
        <v>11</v>
      </c>
      <c r="C97" s="16" t="s">
        <v>35</v>
      </c>
      <c r="D97" s="17">
        <v>45525</v>
      </c>
      <c r="E97" s="17">
        <v>45537</v>
      </c>
      <c r="F97" s="16">
        <v>1</v>
      </c>
      <c r="G97" s="16">
        <v>749</v>
      </c>
      <c r="H97" s="16" t="s">
        <v>27</v>
      </c>
      <c r="I97" s="16" t="s">
        <v>550</v>
      </c>
      <c r="J97" s="16" t="s">
        <v>14</v>
      </c>
      <c r="K97" s="18" t="str">
        <f>TEXT('Retail Store Sales'!$D97,"yyyy")</f>
        <v>2024</v>
      </c>
      <c r="L97" s="15" t="str">
        <f>TEXT('Retail Store Sales'!$D97,"mmm")</f>
        <v>Aug</v>
      </c>
      <c r="M97" s="16" t="str">
        <f>TEXT('Retail Store Sales'!$D97,"dddd")</f>
        <v>Wednesday</v>
      </c>
      <c r="N97" s="24">
        <f t="shared" si="1"/>
        <v>12</v>
      </c>
      <c r="O97" s="16">
        <f>ROUND('Retail Store Sales'!$F97*'Retail Store Sales'!$G97*_xlfn.XLOOKUP('Retail Store Sales'!$C97,Table2[Product Name],Table2[Cost Percentage],0),0)</f>
        <v>599</v>
      </c>
      <c r="P97" s="16">
        <f>'Retail Store Sales'!$F97*'Retail Store Sales'!$G97</f>
        <v>749</v>
      </c>
      <c r="Q97" s="12">
        <f>P97-Table1[[#This Row],[Total cost]]</f>
        <v>150</v>
      </c>
    </row>
    <row r="98" spans="1:17" x14ac:dyDescent="0.45">
      <c r="A98" s="12" t="s">
        <v>142</v>
      </c>
      <c r="B98" s="12" t="s">
        <v>20</v>
      </c>
      <c r="C98" s="12" t="s">
        <v>39</v>
      </c>
      <c r="D98" s="13">
        <v>45532</v>
      </c>
      <c r="E98" s="13">
        <v>45539</v>
      </c>
      <c r="F98" s="12">
        <v>5</v>
      </c>
      <c r="G98" s="12">
        <v>356</v>
      </c>
      <c r="H98" s="12" t="s">
        <v>27</v>
      </c>
      <c r="I98" s="12" t="s">
        <v>32</v>
      </c>
      <c r="J98" s="12" t="s">
        <v>14</v>
      </c>
      <c r="K98" s="14" t="str">
        <f>TEXT('Retail Store Sales'!$D98,"yyyy")</f>
        <v>2024</v>
      </c>
      <c r="L98" s="11" t="str">
        <f>TEXT('Retail Store Sales'!$D98,"mmm")</f>
        <v>Aug</v>
      </c>
      <c r="M98" s="12" t="str">
        <f>TEXT('Retail Store Sales'!$D98,"dddd")</f>
        <v>Wednesday</v>
      </c>
      <c r="N98" s="23">
        <f t="shared" si="1"/>
        <v>7</v>
      </c>
      <c r="O98" s="16">
        <f>ROUND('Retail Store Sales'!$F98*'Retail Store Sales'!$G98*_xlfn.XLOOKUP('Retail Store Sales'!$C98,Table2[Product Name],Table2[Cost Percentage],0),0)</f>
        <v>1157</v>
      </c>
      <c r="P98" s="12">
        <f>'Retail Store Sales'!$F98*'Retail Store Sales'!$G98</f>
        <v>1780</v>
      </c>
      <c r="Q98" s="12">
        <f>P98-Table1[[#This Row],[Total cost]]</f>
        <v>623</v>
      </c>
    </row>
    <row r="99" spans="1:17" x14ac:dyDescent="0.45">
      <c r="A99" s="16" t="s">
        <v>143</v>
      </c>
      <c r="B99" s="16" t="s">
        <v>11</v>
      </c>
      <c r="C99" s="16" t="s">
        <v>95</v>
      </c>
      <c r="D99" s="17">
        <v>45637</v>
      </c>
      <c r="E99" s="17">
        <v>45649</v>
      </c>
      <c r="F99" s="16">
        <v>9</v>
      </c>
      <c r="G99" s="16">
        <v>399</v>
      </c>
      <c r="H99" s="16" t="s">
        <v>27</v>
      </c>
      <c r="I99" s="16" t="s">
        <v>546</v>
      </c>
      <c r="J99" s="16" t="s">
        <v>14</v>
      </c>
      <c r="K99" s="18" t="str">
        <f>TEXT('Retail Store Sales'!$D99,"yyyy")</f>
        <v>2024</v>
      </c>
      <c r="L99" s="15" t="str">
        <f>TEXT('Retail Store Sales'!$D99,"mmm")</f>
        <v>Dec</v>
      </c>
      <c r="M99" s="16" t="str">
        <f>TEXT('Retail Store Sales'!$D99,"dddd")</f>
        <v>Wednesday</v>
      </c>
      <c r="N99" s="24">
        <f t="shared" si="1"/>
        <v>12</v>
      </c>
      <c r="O99" s="16">
        <f>ROUND('Retail Store Sales'!$F99*'Retail Store Sales'!$G99*_xlfn.XLOOKUP('Retail Store Sales'!$C99,Table2[Product Name],Table2[Cost Percentage],0),0)</f>
        <v>2514</v>
      </c>
      <c r="P99" s="16">
        <f>'Retail Store Sales'!$F99*'Retail Store Sales'!$G99</f>
        <v>3591</v>
      </c>
      <c r="Q99" s="12">
        <f>P99-Table1[[#This Row],[Total cost]]</f>
        <v>1077</v>
      </c>
    </row>
    <row r="100" spans="1:17" x14ac:dyDescent="0.45">
      <c r="A100" s="12" t="s">
        <v>144</v>
      </c>
      <c r="B100" s="12" t="s">
        <v>11</v>
      </c>
      <c r="C100" s="12" t="s">
        <v>35</v>
      </c>
      <c r="D100" s="13">
        <v>45327</v>
      </c>
      <c r="E100" s="13">
        <v>45331</v>
      </c>
      <c r="F100" s="12">
        <v>4</v>
      </c>
      <c r="G100" s="12">
        <v>656</v>
      </c>
      <c r="H100" s="12" t="s">
        <v>13</v>
      </c>
      <c r="I100" s="12" t="s">
        <v>32</v>
      </c>
      <c r="J100" s="12" t="s">
        <v>28</v>
      </c>
      <c r="K100" s="14" t="str">
        <f>TEXT('Retail Store Sales'!$D100,"yyyy")</f>
        <v>2024</v>
      </c>
      <c r="L100" s="11" t="str">
        <f>TEXT('Retail Store Sales'!$D100,"mmm")</f>
        <v>Feb</v>
      </c>
      <c r="M100" s="12" t="str">
        <f>TEXT('Retail Store Sales'!$D100,"dddd")</f>
        <v>Monday</v>
      </c>
      <c r="N100" s="23">
        <f t="shared" si="1"/>
        <v>4</v>
      </c>
      <c r="O100" s="16">
        <f>ROUND('Retail Store Sales'!$F100*'Retail Store Sales'!$G100*_xlfn.XLOOKUP('Retail Store Sales'!$C100,Table2[Product Name],Table2[Cost Percentage],0),0)</f>
        <v>2099</v>
      </c>
      <c r="P100" s="12">
        <f>'Retail Store Sales'!$F100*'Retail Store Sales'!$G100</f>
        <v>2624</v>
      </c>
      <c r="Q100" s="12">
        <f>P100-Table1[[#This Row],[Total cost]]</f>
        <v>525</v>
      </c>
    </row>
    <row r="101" spans="1:17" x14ac:dyDescent="0.45">
      <c r="A101" s="16" t="s">
        <v>145</v>
      </c>
      <c r="B101" s="16" t="s">
        <v>11</v>
      </c>
      <c r="C101" s="16" t="s">
        <v>26</v>
      </c>
      <c r="D101" s="17">
        <v>45342</v>
      </c>
      <c r="E101" s="17">
        <v>45346</v>
      </c>
      <c r="F101" s="16">
        <v>2</v>
      </c>
      <c r="G101" s="16">
        <v>464</v>
      </c>
      <c r="H101" s="16" t="s">
        <v>13</v>
      </c>
      <c r="I101" s="16" t="s">
        <v>550</v>
      </c>
      <c r="J101" s="16" t="s">
        <v>18</v>
      </c>
      <c r="K101" s="18" t="str">
        <f>TEXT('Retail Store Sales'!$D101,"yyyy")</f>
        <v>2024</v>
      </c>
      <c r="L101" s="15" t="str">
        <f>TEXT('Retail Store Sales'!$D101,"mmm")</f>
        <v>Feb</v>
      </c>
      <c r="M101" s="16" t="str">
        <f>TEXT('Retail Store Sales'!$D101,"dddd")</f>
        <v>Tuesday</v>
      </c>
      <c r="N101" s="24">
        <f t="shared" si="1"/>
        <v>4</v>
      </c>
      <c r="O101" s="16">
        <f>ROUND('Retail Store Sales'!$F101*'Retail Store Sales'!$G101*_xlfn.XLOOKUP('Retail Store Sales'!$C101,Table2[Product Name],Table2[Cost Percentage],0),0)</f>
        <v>603</v>
      </c>
      <c r="P101" s="16">
        <f>'Retail Store Sales'!$F101*'Retail Store Sales'!$G101</f>
        <v>928</v>
      </c>
      <c r="Q101" s="12">
        <f>P101-Table1[[#This Row],[Total cost]]</f>
        <v>325</v>
      </c>
    </row>
    <row r="102" spans="1:17" x14ac:dyDescent="0.45">
      <c r="A102" s="12" t="s">
        <v>146</v>
      </c>
      <c r="B102" s="12" t="s">
        <v>11</v>
      </c>
      <c r="C102" s="12" t="s">
        <v>95</v>
      </c>
      <c r="D102" s="13">
        <v>45320</v>
      </c>
      <c r="E102" s="13">
        <v>45327</v>
      </c>
      <c r="F102" s="12">
        <v>5</v>
      </c>
      <c r="G102" s="12">
        <v>377</v>
      </c>
      <c r="H102" s="12" t="s">
        <v>13</v>
      </c>
      <c r="I102" s="12" t="s">
        <v>546</v>
      </c>
      <c r="J102" s="12" t="s">
        <v>18</v>
      </c>
      <c r="K102" s="14" t="str">
        <f>TEXT('Retail Store Sales'!$D102,"yyyy")</f>
        <v>2024</v>
      </c>
      <c r="L102" s="11" t="str">
        <f>TEXT('Retail Store Sales'!$D102,"mmm")</f>
        <v>Jan</v>
      </c>
      <c r="M102" s="12" t="str">
        <f>TEXT('Retail Store Sales'!$D102,"dddd")</f>
        <v>Monday</v>
      </c>
      <c r="N102" s="23">
        <f t="shared" si="1"/>
        <v>7</v>
      </c>
      <c r="O102" s="16">
        <f>ROUND('Retail Store Sales'!$F102*'Retail Store Sales'!$G102*_xlfn.XLOOKUP('Retail Store Sales'!$C102,Table2[Product Name],Table2[Cost Percentage],0),0)</f>
        <v>1320</v>
      </c>
      <c r="P102" s="12">
        <f>'Retail Store Sales'!$F102*'Retail Store Sales'!$G102</f>
        <v>1885</v>
      </c>
      <c r="Q102" s="12">
        <f>P102-Table1[[#This Row],[Total cost]]</f>
        <v>565</v>
      </c>
    </row>
    <row r="103" spans="1:17" x14ac:dyDescent="0.45">
      <c r="A103" s="16" t="s">
        <v>147</v>
      </c>
      <c r="B103" s="16" t="s">
        <v>20</v>
      </c>
      <c r="C103" s="16" t="s">
        <v>51</v>
      </c>
      <c r="D103" s="17">
        <v>45502</v>
      </c>
      <c r="E103" s="17">
        <v>45513</v>
      </c>
      <c r="F103" s="16">
        <v>10</v>
      </c>
      <c r="G103" s="16">
        <v>708</v>
      </c>
      <c r="H103" s="16" t="s">
        <v>13</v>
      </c>
      <c r="I103" s="16" t="s">
        <v>548</v>
      </c>
      <c r="J103" s="16" t="s">
        <v>28</v>
      </c>
      <c r="K103" s="18" t="str">
        <f>TEXT('Retail Store Sales'!$D103,"yyyy")</f>
        <v>2024</v>
      </c>
      <c r="L103" s="15" t="str">
        <f>TEXT('Retail Store Sales'!$D103,"mmm")</f>
        <v>Jul</v>
      </c>
      <c r="M103" s="16" t="str">
        <f>TEXT('Retail Store Sales'!$D103,"dddd")</f>
        <v>Monday</v>
      </c>
      <c r="N103" s="24">
        <f t="shared" si="1"/>
        <v>11</v>
      </c>
      <c r="O103" s="16">
        <f>ROUND('Retail Store Sales'!$F103*'Retail Store Sales'!$G103*_xlfn.XLOOKUP('Retail Store Sales'!$C103,Table2[Product Name],Table2[Cost Percentage],0),0)</f>
        <v>4956</v>
      </c>
      <c r="P103" s="16">
        <f>'Retail Store Sales'!$F103*'Retail Store Sales'!$G103</f>
        <v>7080</v>
      </c>
      <c r="Q103" s="12">
        <f>P103-Table1[[#This Row],[Total cost]]</f>
        <v>2124</v>
      </c>
    </row>
    <row r="104" spans="1:17" x14ac:dyDescent="0.45">
      <c r="A104" s="12" t="s">
        <v>148</v>
      </c>
      <c r="B104" s="12" t="s">
        <v>20</v>
      </c>
      <c r="C104" s="12" t="s">
        <v>39</v>
      </c>
      <c r="D104" s="13">
        <v>45613</v>
      </c>
      <c r="E104" s="13">
        <v>45619</v>
      </c>
      <c r="F104" s="12">
        <v>1</v>
      </c>
      <c r="G104" s="12">
        <v>326</v>
      </c>
      <c r="H104" s="12" t="s">
        <v>13</v>
      </c>
      <c r="I104" s="12" t="s">
        <v>548</v>
      </c>
      <c r="J104" s="12" t="s">
        <v>45</v>
      </c>
      <c r="K104" s="14" t="str">
        <f>TEXT('Retail Store Sales'!$D104,"yyyy")</f>
        <v>2024</v>
      </c>
      <c r="L104" s="11" t="str">
        <f>TEXT('Retail Store Sales'!$D104,"mmm")</f>
        <v>Nov</v>
      </c>
      <c r="M104" s="12" t="str">
        <f>TEXT('Retail Store Sales'!$D104,"dddd")</f>
        <v>Sunday</v>
      </c>
      <c r="N104" s="23">
        <f t="shared" si="1"/>
        <v>6</v>
      </c>
      <c r="O104" s="16">
        <f>ROUND('Retail Store Sales'!$F104*'Retail Store Sales'!$G104*_xlfn.XLOOKUP('Retail Store Sales'!$C104,Table2[Product Name],Table2[Cost Percentage],0),0)</f>
        <v>212</v>
      </c>
      <c r="P104" s="12">
        <f>'Retail Store Sales'!$F104*'Retail Store Sales'!$G104</f>
        <v>326</v>
      </c>
      <c r="Q104" s="12">
        <f>P104-Table1[[#This Row],[Total cost]]</f>
        <v>114</v>
      </c>
    </row>
    <row r="105" spans="1:17" x14ac:dyDescent="0.45">
      <c r="A105" s="16" t="s">
        <v>149</v>
      </c>
      <c r="B105" s="16" t="s">
        <v>16</v>
      </c>
      <c r="C105" s="16" t="s">
        <v>55</v>
      </c>
      <c r="D105" s="17">
        <v>45359</v>
      </c>
      <c r="E105" s="17">
        <v>45369</v>
      </c>
      <c r="F105" s="16">
        <v>2</v>
      </c>
      <c r="G105" s="16">
        <v>941</v>
      </c>
      <c r="H105" s="16" t="s">
        <v>27</v>
      </c>
      <c r="I105" s="16" t="s">
        <v>546</v>
      </c>
      <c r="J105" s="16" t="s">
        <v>28</v>
      </c>
      <c r="K105" s="18" t="str">
        <f>TEXT('Retail Store Sales'!$D105,"yyyy")</f>
        <v>2024</v>
      </c>
      <c r="L105" s="15" t="str">
        <f>TEXT('Retail Store Sales'!$D105,"mmm")</f>
        <v>Mar</v>
      </c>
      <c r="M105" s="16" t="str">
        <f>TEXT('Retail Store Sales'!$D105,"dddd")</f>
        <v>Friday</v>
      </c>
      <c r="N105" s="24">
        <f t="shared" si="1"/>
        <v>10</v>
      </c>
      <c r="O105" s="16">
        <f>ROUND('Retail Store Sales'!$F105*'Retail Store Sales'!$G105*_xlfn.XLOOKUP('Retail Store Sales'!$C105,Table2[Product Name],Table2[Cost Percentage],0),0)</f>
        <v>1035</v>
      </c>
      <c r="P105" s="16">
        <f>'Retail Store Sales'!$F105*'Retail Store Sales'!$G105</f>
        <v>1882</v>
      </c>
      <c r="Q105" s="12">
        <f>P105-Table1[[#This Row],[Total cost]]</f>
        <v>847</v>
      </c>
    </row>
    <row r="106" spans="1:17" x14ac:dyDescent="0.45">
      <c r="A106" s="12" t="s">
        <v>150</v>
      </c>
      <c r="B106" s="12" t="s">
        <v>23</v>
      </c>
      <c r="C106" s="12" t="s">
        <v>99</v>
      </c>
      <c r="D106" s="13">
        <v>45394</v>
      </c>
      <c r="E106" s="13">
        <v>45403</v>
      </c>
      <c r="F106" s="12">
        <v>3</v>
      </c>
      <c r="G106" s="12">
        <v>815</v>
      </c>
      <c r="H106" s="12" t="s">
        <v>27</v>
      </c>
      <c r="I106" s="12" t="s">
        <v>32</v>
      </c>
      <c r="J106" s="12" t="s">
        <v>28</v>
      </c>
      <c r="K106" s="14" t="str">
        <f>TEXT('Retail Store Sales'!$D106,"yyyy")</f>
        <v>2024</v>
      </c>
      <c r="L106" s="11" t="str">
        <f>TEXT('Retail Store Sales'!$D106,"mmm")</f>
        <v>Apr</v>
      </c>
      <c r="M106" s="12" t="str">
        <f>TEXT('Retail Store Sales'!$D106,"dddd")</f>
        <v>Friday</v>
      </c>
      <c r="N106" s="23">
        <f t="shared" si="1"/>
        <v>9</v>
      </c>
      <c r="O106" s="16">
        <f>ROUND('Retail Store Sales'!$F106*'Retail Store Sales'!$G106*_xlfn.XLOOKUP('Retail Store Sales'!$C106,Table2[Product Name],Table2[Cost Percentage],0),0)</f>
        <v>1467</v>
      </c>
      <c r="P106" s="12">
        <f>'Retail Store Sales'!$F106*'Retail Store Sales'!$G106</f>
        <v>2445</v>
      </c>
      <c r="Q106" s="12">
        <f>P106-Table1[[#This Row],[Total cost]]</f>
        <v>978</v>
      </c>
    </row>
    <row r="107" spans="1:17" x14ac:dyDescent="0.45">
      <c r="A107" s="16" t="s">
        <v>151</v>
      </c>
      <c r="B107" s="16" t="s">
        <v>30</v>
      </c>
      <c r="C107" s="16" t="s">
        <v>75</v>
      </c>
      <c r="D107" s="17">
        <v>45531</v>
      </c>
      <c r="E107" s="17">
        <v>45538</v>
      </c>
      <c r="F107" s="16">
        <v>2</v>
      </c>
      <c r="G107" s="16">
        <v>154</v>
      </c>
      <c r="H107" s="16" t="s">
        <v>27</v>
      </c>
      <c r="I107" s="16" t="s">
        <v>548</v>
      </c>
      <c r="J107" s="16" t="s">
        <v>28</v>
      </c>
      <c r="K107" s="18" t="str">
        <f>TEXT('Retail Store Sales'!$D107,"yyyy")</f>
        <v>2024</v>
      </c>
      <c r="L107" s="15" t="str">
        <f>TEXT('Retail Store Sales'!$D107,"mmm")</f>
        <v>Aug</v>
      </c>
      <c r="M107" s="16" t="str">
        <f>TEXT('Retail Store Sales'!$D107,"dddd")</f>
        <v>Tuesday</v>
      </c>
      <c r="N107" s="24">
        <f t="shared" si="1"/>
        <v>7</v>
      </c>
      <c r="O107" s="16">
        <f>ROUND('Retail Store Sales'!$F107*'Retail Store Sales'!$G107*_xlfn.XLOOKUP('Retail Store Sales'!$C107,Table2[Product Name],Table2[Cost Percentage],0),0)</f>
        <v>231</v>
      </c>
      <c r="P107" s="16">
        <f>'Retail Store Sales'!$F107*'Retail Store Sales'!$G107</f>
        <v>308</v>
      </c>
      <c r="Q107" s="12">
        <f>P107-Table1[[#This Row],[Total cost]]</f>
        <v>77</v>
      </c>
    </row>
    <row r="108" spans="1:17" x14ac:dyDescent="0.45">
      <c r="A108" s="12" t="s">
        <v>152</v>
      </c>
      <c r="B108" s="12" t="s">
        <v>16</v>
      </c>
      <c r="C108" s="12" t="s">
        <v>17</v>
      </c>
      <c r="D108" s="13">
        <v>45524</v>
      </c>
      <c r="E108" s="13">
        <v>45534</v>
      </c>
      <c r="F108" s="12">
        <v>6</v>
      </c>
      <c r="G108" s="12">
        <v>698</v>
      </c>
      <c r="H108" s="12" t="s">
        <v>27</v>
      </c>
      <c r="I108" s="12" t="s">
        <v>32</v>
      </c>
      <c r="J108" s="12" t="s">
        <v>28</v>
      </c>
      <c r="K108" s="14" t="str">
        <f>TEXT('Retail Store Sales'!$D108,"yyyy")</f>
        <v>2024</v>
      </c>
      <c r="L108" s="11" t="str">
        <f>TEXT('Retail Store Sales'!$D108,"mmm")</f>
        <v>Aug</v>
      </c>
      <c r="M108" s="12" t="str">
        <f>TEXT('Retail Store Sales'!$D108,"dddd")</f>
        <v>Tuesday</v>
      </c>
      <c r="N108" s="23">
        <f t="shared" si="1"/>
        <v>10</v>
      </c>
      <c r="O108" s="16">
        <f>ROUND('Retail Store Sales'!$F108*'Retail Store Sales'!$G108*_xlfn.XLOOKUP('Retail Store Sales'!$C108,Table2[Product Name],Table2[Cost Percentage],0),0)</f>
        <v>2094</v>
      </c>
      <c r="P108" s="12">
        <f>'Retail Store Sales'!$F108*'Retail Store Sales'!$G108</f>
        <v>4188</v>
      </c>
      <c r="Q108" s="12">
        <f>P108-Table1[[#This Row],[Total cost]]</f>
        <v>2094</v>
      </c>
    </row>
    <row r="109" spans="1:17" x14ac:dyDescent="0.45">
      <c r="A109" s="16" t="s">
        <v>153</v>
      </c>
      <c r="B109" s="16" t="s">
        <v>23</v>
      </c>
      <c r="C109" s="16" t="s">
        <v>24</v>
      </c>
      <c r="D109" s="17">
        <v>45347</v>
      </c>
      <c r="E109" s="17">
        <v>45353</v>
      </c>
      <c r="F109" s="16">
        <v>4</v>
      </c>
      <c r="G109" s="16">
        <v>492</v>
      </c>
      <c r="H109" s="16" t="s">
        <v>27</v>
      </c>
      <c r="I109" s="16" t="s">
        <v>550</v>
      </c>
      <c r="J109" s="16" t="s">
        <v>14</v>
      </c>
      <c r="K109" s="18" t="str">
        <f>TEXT('Retail Store Sales'!$D109,"yyyy")</f>
        <v>2024</v>
      </c>
      <c r="L109" s="15" t="str">
        <f>TEXT('Retail Store Sales'!$D109,"mmm")</f>
        <v>Feb</v>
      </c>
      <c r="M109" s="16" t="str">
        <f>TEXT('Retail Store Sales'!$D109,"dddd")</f>
        <v>Sunday</v>
      </c>
      <c r="N109" s="24">
        <f t="shared" si="1"/>
        <v>6</v>
      </c>
      <c r="O109" s="16">
        <f>ROUND('Retail Store Sales'!$F109*'Retail Store Sales'!$G109*_xlfn.XLOOKUP('Retail Store Sales'!$C109,Table2[Product Name],Table2[Cost Percentage],0),0)</f>
        <v>1082</v>
      </c>
      <c r="P109" s="16">
        <f>'Retail Store Sales'!$F109*'Retail Store Sales'!$G109</f>
        <v>1968</v>
      </c>
      <c r="Q109" s="12">
        <f>P109-Table1[[#This Row],[Total cost]]</f>
        <v>886</v>
      </c>
    </row>
    <row r="110" spans="1:17" x14ac:dyDescent="0.45">
      <c r="A110" s="12" t="s">
        <v>154</v>
      </c>
      <c r="B110" s="12" t="s">
        <v>30</v>
      </c>
      <c r="C110" s="12" t="s">
        <v>31</v>
      </c>
      <c r="D110" s="13">
        <v>45405</v>
      </c>
      <c r="E110" s="13">
        <v>45410</v>
      </c>
      <c r="F110" s="12">
        <v>2</v>
      </c>
      <c r="G110" s="12">
        <v>660</v>
      </c>
      <c r="H110" s="12" t="s">
        <v>27</v>
      </c>
      <c r="I110" s="12" t="s">
        <v>548</v>
      </c>
      <c r="J110" s="12" t="s">
        <v>45</v>
      </c>
      <c r="K110" s="14" t="str">
        <f>TEXT('Retail Store Sales'!$D110,"yyyy")</f>
        <v>2024</v>
      </c>
      <c r="L110" s="11" t="str">
        <f>TEXT('Retail Store Sales'!$D110,"mmm")</f>
        <v>Apr</v>
      </c>
      <c r="M110" s="12" t="str">
        <f>TEXT('Retail Store Sales'!$D110,"dddd")</f>
        <v>Tuesday</v>
      </c>
      <c r="N110" s="23">
        <f t="shared" si="1"/>
        <v>5</v>
      </c>
      <c r="O110" s="16">
        <f>ROUND('Retail Store Sales'!$F110*'Retail Store Sales'!$G110*_xlfn.XLOOKUP('Retail Store Sales'!$C110,Table2[Product Name],Table2[Cost Percentage],0),0)</f>
        <v>990</v>
      </c>
      <c r="P110" s="12">
        <f>'Retail Store Sales'!$F110*'Retail Store Sales'!$G110</f>
        <v>1320</v>
      </c>
      <c r="Q110" s="12">
        <f>P110-Table1[[#This Row],[Total cost]]</f>
        <v>330</v>
      </c>
    </row>
    <row r="111" spans="1:17" x14ac:dyDescent="0.45">
      <c r="A111" s="16" t="s">
        <v>155</v>
      </c>
      <c r="B111" s="16" t="s">
        <v>23</v>
      </c>
      <c r="C111" s="16" t="s">
        <v>99</v>
      </c>
      <c r="D111" s="17">
        <v>45477</v>
      </c>
      <c r="E111" s="17">
        <v>45484</v>
      </c>
      <c r="F111" s="16">
        <v>2</v>
      </c>
      <c r="G111" s="16">
        <v>712</v>
      </c>
      <c r="H111" s="16" t="s">
        <v>27</v>
      </c>
      <c r="I111" s="16" t="s">
        <v>546</v>
      </c>
      <c r="J111" s="16" t="s">
        <v>14</v>
      </c>
      <c r="K111" s="18" t="str">
        <f>TEXT('Retail Store Sales'!$D111,"yyyy")</f>
        <v>2024</v>
      </c>
      <c r="L111" s="15" t="str">
        <f>TEXT('Retail Store Sales'!$D111,"mmm")</f>
        <v>Jul</v>
      </c>
      <c r="M111" s="16" t="str">
        <f>TEXT('Retail Store Sales'!$D111,"dddd")</f>
        <v>Thursday</v>
      </c>
      <c r="N111" s="24">
        <f t="shared" si="1"/>
        <v>7</v>
      </c>
      <c r="O111" s="16">
        <f>ROUND('Retail Store Sales'!$F111*'Retail Store Sales'!$G111*_xlfn.XLOOKUP('Retail Store Sales'!$C111,Table2[Product Name],Table2[Cost Percentage],0),0)</f>
        <v>854</v>
      </c>
      <c r="P111" s="16">
        <f>'Retail Store Sales'!$F111*'Retail Store Sales'!$G111</f>
        <v>1424</v>
      </c>
      <c r="Q111" s="12">
        <f>P111-Table1[[#This Row],[Total cost]]</f>
        <v>570</v>
      </c>
    </row>
    <row r="112" spans="1:17" x14ac:dyDescent="0.45">
      <c r="A112" s="12" t="s">
        <v>156</v>
      </c>
      <c r="B112" s="12" t="s">
        <v>30</v>
      </c>
      <c r="C112" s="12" t="s">
        <v>75</v>
      </c>
      <c r="D112" s="13">
        <v>45495</v>
      </c>
      <c r="E112" s="13">
        <v>45499</v>
      </c>
      <c r="F112" s="12">
        <v>5</v>
      </c>
      <c r="G112" s="12">
        <v>204</v>
      </c>
      <c r="H112" s="12" t="s">
        <v>13</v>
      </c>
      <c r="I112" s="12" t="s">
        <v>550</v>
      </c>
      <c r="J112" s="12" t="s">
        <v>45</v>
      </c>
      <c r="K112" s="14" t="str">
        <f>TEXT('Retail Store Sales'!$D112,"yyyy")</f>
        <v>2024</v>
      </c>
      <c r="L112" s="11" t="str">
        <f>TEXT('Retail Store Sales'!$D112,"mmm")</f>
        <v>Jul</v>
      </c>
      <c r="M112" s="12" t="str">
        <f>TEXT('Retail Store Sales'!$D112,"dddd")</f>
        <v>Monday</v>
      </c>
      <c r="N112" s="23">
        <f t="shared" si="1"/>
        <v>4</v>
      </c>
      <c r="O112" s="16">
        <f>ROUND('Retail Store Sales'!$F112*'Retail Store Sales'!$G112*_xlfn.XLOOKUP('Retail Store Sales'!$C112,Table2[Product Name],Table2[Cost Percentage],0),0)</f>
        <v>765</v>
      </c>
      <c r="P112" s="12">
        <f>'Retail Store Sales'!$F112*'Retail Store Sales'!$G112</f>
        <v>1020</v>
      </c>
      <c r="Q112" s="12">
        <f>P112-Table1[[#This Row],[Total cost]]</f>
        <v>255</v>
      </c>
    </row>
    <row r="113" spans="1:17" x14ac:dyDescent="0.45">
      <c r="A113" s="16" t="s">
        <v>157</v>
      </c>
      <c r="B113" s="16" t="s">
        <v>20</v>
      </c>
      <c r="C113" s="16" t="s">
        <v>51</v>
      </c>
      <c r="D113" s="17">
        <v>45302</v>
      </c>
      <c r="E113" s="17">
        <v>45308</v>
      </c>
      <c r="F113" s="16">
        <v>1</v>
      </c>
      <c r="G113" s="16">
        <v>815</v>
      </c>
      <c r="H113" s="16" t="s">
        <v>13</v>
      </c>
      <c r="I113" s="16" t="s">
        <v>546</v>
      </c>
      <c r="J113" s="16" t="s">
        <v>14</v>
      </c>
      <c r="K113" s="18" t="str">
        <f>TEXT('Retail Store Sales'!$D113,"yyyy")</f>
        <v>2024</v>
      </c>
      <c r="L113" s="15" t="str">
        <f>TEXT('Retail Store Sales'!$D113,"mmm")</f>
        <v>Jan</v>
      </c>
      <c r="M113" s="16" t="str">
        <f>TEXT('Retail Store Sales'!$D113,"dddd")</f>
        <v>Thursday</v>
      </c>
      <c r="N113" s="24">
        <f t="shared" si="1"/>
        <v>6</v>
      </c>
      <c r="O113" s="16">
        <f>ROUND('Retail Store Sales'!$F113*'Retail Store Sales'!$G113*_xlfn.XLOOKUP('Retail Store Sales'!$C113,Table2[Product Name],Table2[Cost Percentage],0),0)</f>
        <v>571</v>
      </c>
      <c r="P113" s="16">
        <f>'Retail Store Sales'!$F113*'Retail Store Sales'!$G113</f>
        <v>815</v>
      </c>
      <c r="Q113" s="12">
        <f>P113-Table1[[#This Row],[Total cost]]</f>
        <v>244</v>
      </c>
    </row>
    <row r="114" spans="1:17" x14ac:dyDescent="0.45">
      <c r="A114" s="12" t="s">
        <v>158</v>
      </c>
      <c r="B114" s="12" t="s">
        <v>16</v>
      </c>
      <c r="C114" s="12" t="s">
        <v>63</v>
      </c>
      <c r="D114" s="13">
        <v>45327</v>
      </c>
      <c r="E114" s="13">
        <v>45335</v>
      </c>
      <c r="F114" s="12">
        <v>9</v>
      </c>
      <c r="G114" s="12">
        <v>222</v>
      </c>
      <c r="H114" s="12" t="s">
        <v>13</v>
      </c>
      <c r="I114" s="12" t="s">
        <v>32</v>
      </c>
      <c r="J114" s="12" t="s">
        <v>18</v>
      </c>
      <c r="K114" s="14" t="str">
        <f>TEXT('Retail Store Sales'!$D114,"yyyy")</f>
        <v>2024</v>
      </c>
      <c r="L114" s="11" t="str">
        <f>TEXT('Retail Store Sales'!$D114,"mmm")</f>
        <v>Feb</v>
      </c>
      <c r="M114" s="12" t="str">
        <f>TEXT('Retail Store Sales'!$D114,"dddd")</f>
        <v>Monday</v>
      </c>
      <c r="N114" s="23">
        <f t="shared" si="1"/>
        <v>8</v>
      </c>
      <c r="O114" s="16">
        <f>ROUND('Retail Store Sales'!$F114*'Retail Store Sales'!$G114*_xlfn.XLOOKUP('Retail Store Sales'!$C114,Table2[Product Name],Table2[Cost Percentage],0),0)</f>
        <v>999</v>
      </c>
      <c r="P114" s="12">
        <f>'Retail Store Sales'!$F114*'Retail Store Sales'!$G114</f>
        <v>1998</v>
      </c>
      <c r="Q114" s="12">
        <f>P114-Table1[[#This Row],[Total cost]]</f>
        <v>999</v>
      </c>
    </row>
    <row r="115" spans="1:17" x14ac:dyDescent="0.45">
      <c r="A115" s="16" t="s">
        <v>159</v>
      </c>
      <c r="B115" s="16" t="s">
        <v>30</v>
      </c>
      <c r="C115" s="16" t="s">
        <v>41</v>
      </c>
      <c r="D115" s="17">
        <v>45597</v>
      </c>
      <c r="E115" s="17">
        <v>45605</v>
      </c>
      <c r="F115" s="16">
        <v>1</v>
      </c>
      <c r="G115" s="16">
        <v>293</v>
      </c>
      <c r="H115" s="16" t="s">
        <v>13</v>
      </c>
      <c r="I115" s="16" t="s">
        <v>548</v>
      </c>
      <c r="J115" s="16" t="s">
        <v>28</v>
      </c>
      <c r="K115" s="18" t="str">
        <f>TEXT('Retail Store Sales'!$D115,"yyyy")</f>
        <v>2024</v>
      </c>
      <c r="L115" s="15" t="str">
        <f>TEXT('Retail Store Sales'!$D115,"mmm")</f>
        <v>Nov</v>
      </c>
      <c r="M115" s="16" t="str">
        <f>TEXT('Retail Store Sales'!$D115,"dddd")</f>
        <v>Friday</v>
      </c>
      <c r="N115" s="24">
        <f t="shared" si="1"/>
        <v>8</v>
      </c>
      <c r="O115" s="16">
        <f>ROUND('Retail Store Sales'!$F115*'Retail Store Sales'!$G115*_xlfn.XLOOKUP('Retail Store Sales'!$C115,Table2[Product Name],Table2[Cost Percentage],0),0)</f>
        <v>190</v>
      </c>
      <c r="P115" s="16">
        <f>'Retail Store Sales'!$F115*'Retail Store Sales'!$G115</f>
        <v>293</v>
      </c>
      <c r="Q115" s="12">
        <f>P115-Table1[[#This Row],[Total cost]]</f>
        <v>103</v>
      </c>
    </row>
    <row r="116" spans="1:17" x14ac:dyDescent="0.45">
      <c r="A116" s="12" t="s">
        <v>160</v>
      </c>
      <c r="B116" s="12" t="s">
        <v>16</v>
      </c>
      <c r="C116" s="12" t="s">
        <v>55</v>
      </c>
      <c r="D116" s="13">
        <v>45381</v>
      </c>
      <c r="E116" s="13">
        <v>45387</v>
      </c>
      <c r="F116" s="12">
        <v>2</v>
      </c>
      <c r="G116" s="12">
        <v>686</v>
      </c>
      <c r="H116" s="12" t="s">
        <v>13</v>
      </c>
      <c r="I116" s="12" t="s">
        <v>548</v>
      </c>
      <c r="J116" s="12" t="s">
        <v>14</v>
      </c>
      <c r="K116" s="14" t="str">
        <f>TEXT('Retail Store Sales'!$D116,"yyyy")</f>
        <v>2024</v>
      </c>
      <c r="L116" s="11" t="str">
        <f>TEXT('Retail Store Sales'!$D116,"mmm")</f>
        <v>Mar</v>
      </c>
      <c r="M116" s="12" t="str">
        <f>TEXT('Retail Store Sales'!$D116,"dddd")</f>
        <v>Saturday</v>
      </c>
      <c r="N116" s="23">
        <f t="shared" si="1"/>
        <v>6</v>
      </c>
      <c r="O116" s="16">
        <f>ROUND('Retail Store Sales'!$F116*'Retail Store Sales'!$G116*_xlfn.XLOOKUP('Retail Store Sales'!$C116,Table2[Product Name],Table2[Cost Percentage],0),0)</f>
        <v>755</v>
      </c>
      <c r="P116" s="12">
        <f>'Retail Store Sales'!$F116*'Retail Store Sales'!$G116</f>
        <v>1372</v>
      </c>
      <c r="Q116" s="12">
        <f>P116-Table1[[#This Row],[Total cost]]</f>
        <v>617</v>
      </c>
    </row>
    <row r="117" spans="1:17" x14ac:dyDescent="0.45">
      <c r="A117" s="16" t="s">
        <v>161</v>
      </c>
      <c r="B117" s="16" t="s">
        <v>23</v>
      </c>
      <c r="C117" s="16" t="s">
        <v>24</v>
      </c>
      <c r="D117" s="17">
        <v>45554</v>
      </c>
      <c r="E117" s="17">
        <v>45564</v>
      </c>
      <c r="F117" s="16">
        <v>10</v>
      </c>
      <c r="G117" s="16">
        <v>121</v>
      </c>
      <c r="H117" s="16" t="s">
        <v>13</v>
      </c>
      <c r="I117" s="16" t="s">
        <v>549</v>
      </c>
      <c r="J117" s="16" t="s">
        <v>28</v>
      </c>
      <c r="K117" s="18" t="str">
        <f>TEXT('Retail Store Sales'!$D117,"yyyy")</f>
        <v>2024</v>
      </c>
      <c r="L117" s="15" t="str">
        <f>TEXT('Retail Store Sales'!$D117,"mmm")</f>
        <v>Sep</v>
      </c>
      <c r="M117" s="16" t="str">
        <f>TEXT('Retail Store Sales'!$D117,"dddd")</f>
        <v>Thursday</v>
      </c>
      <c r="N117" s="24">
        <f t="shared" si="1"/>
        <v>10</v>
      </c>
      <c r="O117" s="16">
        <f>ROUND('Retail Store Sales'!$F117*'Retail Store Sales'!$G117*_xlfn.XLOOKUP('Retail Store Sales'!$C117,Table2[Product Name],Table2[Cost Percentage],0),0)</f>
        <v>666</v>
      </c>
      <c r="P117" s="16">
        <f>'Retail Store Sales'!$F117*'Retail Store Sales'!$G117</f>
        <v>1210</v>
      </c>
      <c r="Q117" s="12">
        <f>P117-Table1[[#This Row],[Total cost]]</f>
        <v>544</v>
      </c>
    </row>
    <row r="118" spans="1:17" x14ac:dyDescent="0.45">
      <c r="A118" s="12" t="s">
        <v>162</v>
      </c>
      <c r="B118" s="12" t="s">
        <v>16</v>
      </c>
      <c r="C118" s="12" t="s">
        <v>17</v>
      </c>
      <c r="D118" s="13">
        <v>45629</v>
      </c>
      <c r="E118" s="13">
        <v>45633</v>
      </c>
      <c r="F118" s="12">
        <v>9</v>
      </c>
      <c r="G118" s="12">
        <v>318</v>
      </c>
      <c r="H118" s="12" t="s">
        <v>13</v>
      </c>
      <c r="I118" s="12" t="s">
        <v>549</v>
      </c>
      <c r="J118" s="12" t="s">
        <v>18</v>
      </c>
      <c r="K118" s="14" t="str">
        <f>TEXT('Retail Store Sales'!$D118,"yyyy")</f>
        <v>2024</v>
      </c>
      <c r="L118" s="11" t="str">
        <f>TEXT('Retail Store Sales'!$D118,"mmm")</f>
        <v>Dec</v>
      </c>
      <c r="M118" s="12" t="str">
        <f>TEXT('Retail Store Sales'!$D118,"dddd")</f>
        <v>Tuesday</v>
      </c>
      <c r="N118" s="23">
        <f t="shared" si="1"/>
        <v>4</v>
      </c>
      <c r="O118" s="16">
        <f>ROUND('Retail Store Sales'!$F118*'Retail Store Sales'!$G118*_xlfn.XLOOKUP('Retail Store Sales'!$C118,Table2[Product Name],Table2[Cost Percentage],0),0)</f>
        <v>1431</v>
      </c>
      <c r="P118" s="12">
        <f>'Retail Store Sales'!$F118*'Retail Store Sales'!$G118</f>
        <v>2862</v>
      </c>
      <c r="Q118" s="12">
        <f>P118-Table1[[#This Row],[Total cost]]</f>
        <v>1431</v>
      </c>
    </row>
    <row r="119" spans="1:17" x14ac:dyDescent="0.45">
      <c r="A119" s="16" t="s">
        <v>163</v>
      </c>
      <c r="B119" s="16" t="s">
        <v>23</v>
      </c>
      <c r="C119" s="16" t="s">
        <v>37</v>
      </c>
      <c r="D119" s="17">
        <v>45510</v>
      </c>
      <c r="E119" s="17">
        <v>45521</v>
      </c>
      <c r="F119" s="16">
        <v>2</v>
      </c>
      <c r="G119" s="16">
        <v>512</v>
      </c>
      <c r="H119" s="16" t="s">
        <v>13</v>
      </c>
      <c r="I119" s="16" t="s">
        <v>32</v>
      </c>
      <c r="J119" s="16" t="s">
        <v>14</v>
      </c>
      <c r="K119" s="18" t="str">
        <f>TEXT('Retail Store Sales'!$D119,"yyyy")</f>
        <v>2024</v>
      </c>
      <c r="L119" s="15" t="str">
        <f>TEXT('Retail Store Sales'!$D119,"mmm")</f>
        <v>Aug</v>
      </c>
      <c r="M119" s="16" t="str">
        <f>TEXT('Retail Store Sales'!$D119,"dddd")</f>
        <v>Tuesday</v>
      </c>
      <c r="N119" s="24">
        <f t="shared" si="1"/>
        <v>11</v>
      </c>
      <c r="O119" s="16">
        <f>ROUND('Retail Store Sales'!$F119*'Retail Store Sales'!$G119*_xlfn.XLOOKUP('Retail Store Sales'!$C119,Table2[Product Name],Table2[Cost Percentage],0),0)</f>
        <v>512</v>
      </c>
      <c r="P119" s="16">
        <f>'Retail Store Sales'!$F119*'Retail Store Sales'!$G119</f>
        <v>1024</v>
      </c>
      <c r="Q119" s="12">
        <f>P119-Table1[[#This Row],[Total cost]]</f>
        <v>512</v>
      </c>
    </row>
    <row r="120" spans="1:17" x14ac:dyDescent="0.45">
      <c r="A120" s="12" t="s">
        <v>164</v>
      </c>
      <c r="B120" s="12" t="s">
        <v>11</v>
      </c>
      <c r="C120" s="12" t="s">
        <v>95</v>
      </c>
      <c r="D120" s="13">
        <v>45603</v>
      </c>
      <c r="E120" s="13">
        <v>45608</v>
      </c>
      <c r="F120" s="12">
        <v>3</v>
      </c>
      <c r="G120" s="12">
        <v>77</v>
      </c>
      <c r="H120" s="12" t="s">
        <v>27</v>
      </c>
      <c r="I120" s="12" t="s">
        <v>550</v>
      </c>
      <c r="J120" s="12" t="s">
        <v>28</v>
      </c>
      <c r="K120" s="14" t="str">
        <f>TEXT('Retail Store Sales'!$D120,"yyyy")</f>
        <v>2024</v>
      </c>
      <c r="L120" s="11" t="str">
        <f>TEXT('Retail Store Sales'!$D120,"mmm")</f>
        <v>Nov</v>
      </c>
      <c r="M120" s="12" t="str">
        <f>TEXT('Retail Store Sales'!$D120,"dddd")</f>
        <v>Thursday</v>
      </c>
      <c r="N120" s="23">
        <f t="shared" si="1"/>
        <v>5</v>
      </c>
      <c r="O120" s="16">
        <f>ROUND('Retail Store Sales'!$F120*'Retail Store Sales'!$G120*_xlfn.XLOOKUP('Retail Store Sales'!$C120,Table2[Product Name],Table2[Cost Percentage],0),0)</f>
        <v>162</v>
      </c>
      <c r="P120" s="12">
        <f>'Retail Store Sales'!$F120*'Retail Store Sales'!$G120</f>
        <v>231</v>
      </c>
      <c r="Q120" s="12">
        <f>P120-Table1[[#This Row],[Total cost]]</f>
        <v>69</v>
      </c>
    </row>
    <row r="121" spans="1:17" x14ac:dyDescent="0.45">
      <c r="A121" s="16" t="s">
        <v>165</v>
      </c>
      <c r="B121" s="16" t="s">
        <v>23</v>
      </c>
      <c r="C121" s="16" t="s">
        <v>69</v>
      </c>
      <c r="D121" s="17">
        <v>45601</v>
      </c>
      <c r="E121" s="17">
        <v>45605</v>
      </c>
      <c r="F121" s="16">
        <v>7</v>
      </c>
      <c r="G121" s="16">
        <v>111</v>
      </c>
      <c r="H121" s="16" t="s">
        <v>27</v>
      </c>
      <c r="I121" s="16" t="s">
        <v>548</v>
      </c>
      <c r="J121" s="16" t="s">
        <v>45</v>
      </c>
      <c r="K121" s="18" t="str">
        <f>TEXT('Retail Store Sales'!$D121,"yyyy")</f>
        <v>2024</v>
      </c>
      <c r="L121" s="15" t="str">
        <f>TEXT('Retail Store Sales'!$D121,"mmm")</f>
        <v>Nov</v>
      </c>
      <c r="M121" s="16" t="str">
        <f>TEXT('Retail Store Sales'!$D121,"dddd")</f>
        <v>Tuesday</v>
      </c>
      <c r="N121" s="24">
        <f t="shared" si="1"/>
        <v>4</v>
      </c>
      <c r="O121" s="16">
        <f>ROUND('Retail Store Sales'!$F121*'Retail Store Sales'!$G121*_xlfn.XLOOKUP('Retail Store Sales'!$C121,Table2[Product Name],Table2[Cost Percentage],0),0)</f>
        <v>427</v>
      </c>
      <c r="P121" s="16">
        <f>'Retail Store Sales'!$F121*'Retail Store Sales'!$G121</f>
        <v>777</v>
      </c>
      <c r="Q121" s="12">
        <f>P121-Table1[[#This Row],[Total cost]]</f>
        <v>350</v>
      </c>
    </row>
    <row r="122" spans="1:17" x14ac:dyDescent="0.45">
      <c r="A122" s="12" t="s">
        <v>166</v>
      </c>
      <c r="B122" s="12" t="s">
        <v>23</v>
      </c>
      <c r="C122" s="12" t="s">
        <v>37</v>
      </c>
      <c r="D122" s="13">
        <v>45504</v>
      </c>
      <c r="E122" s="13">
        <v>45509</v>
      </c>
      <c r="F122" s="12">
        <v>2</v>
      </c>
      <c r="G122" s="12">
        <v>330</v>
      </c>
      <c r="H122" s="12" t="s">
        <v>27</v>
      </c>
      <c r="I122" s="12" t="s">
        <v>549</v>
      </c>
      <c r="J122" s="12" t="s">
        <v>45</v>
      </c>
      <c r="K122" s="14" t="str">
        <f>TEXT('Retail Store Sales'!$D122,"yyyy")</f>
        <v>2024</v>
      </c>
      <c r="L122" s="11" t="str">
        <f>TEXT('Retail Store Sales'!$D122,"mmm")</f>
        <v>Jul</v>
      </c>
      <c r="M122" s="12" t="str">
        <f>TEXT('Retail Store Sales'!$D122,"dddd")</f>
        <v>Wednesday</v>
      </c>
      <c r="N122" s="23">
        <f t="shared" si="1"/>
        <v>5</v>
      </c>
      <c r="O122" s="16">
        <f>ROUND('Retail Store Sales'!$F122*'Retail Store Sales'!$G122*_xlfn.XLOOKUP('Retail Store Sales'!$C122,Table2[Product Name],Table2[Cost Percentage],0),0)</f>
        <v>330</v>
      </c>
      <c r="P122" s="12">
        <f>'Retail Store Sales'!$F122*'Retail Store Sales'!$G122</f>
        <v>660</v>
      </c>
      <c r="Q122" s="12">
        <f>P122-Table1[[#This Row],[Total cost]]</f>
        <v>330</v>
      </c>
    </row>
    <row r="123" spans="1:17" x14ac:dyDescent="0.45">
      <c r="A123" s="16" t="s">
        <v>167</v>
      </c>
      <c r="B123" s="16" t="s">
        <v>30</v>
      </c>
      <c r="C123" s="16" t="s">
        <v>78</v>
      </c>
      <c r="D123" s="17">
        <v>45370</v>
      </c>
      <c r="E123" s="17">
        <v>45374</v>
      </c>
      <c r="F123" s="16">
        <v>8</v>
      </c>
      <c r="G123" s="16">
        <v>78</v>
      </c>
      <c r="H123" s="16" t="s">
        <v>13</v>
      </c>
      <c r="I123" s="16" t="s">
        <v>550</v>
      </c>
      <c r="J123" s="16" t="s">
        <v>18</v>
      </c>
      <c r="K123" s="18" t="str">
        <f>TEXT('Retail Store Sales'!$D123,"yyyy")</f>
        <v>2024</v>
      </c>
      <c r="L123" s="15" t="str">
        <f>TEXT('Retail Store Sales'!$D123,"mmm")</f>
        <v>Mar</v>
      </c>
      <c r="M123" s="16" t="str">
        <f>TEXT('Retail Store Sales'!$D123,"dddd")</f>
        <v>Tuesday</v>
      </c>
      <c r="N123" s="24">
        <f t="shared" si="1"/>
        <v>4</v>
      </c>
      <c r="O123" s="16">
        <f>ROUND('Retail Store Sales'!$F123*'Retail Store Sales'!$G123*_xlfn.XLOOKUP('Retail Store Sales'!$C123,Table2[Product Name],Table2[Cost Percentage],0),0)</f>
        <v>406</v>
      </c>
      <c r="P123" s="16">
        <f>'Retail Store Sales'!$F123*'Retail Store Sales'!$G123</f>
        <v>624</v>
      </c>
      <c r="Q123" s="12">
        <f>P123-Table1[[#This Row],[Total cost]]</f>
        <v>218</v>
      </c>
    </row>
    <row r="124" spans="1:17" x14ac:dyDescent="0.45">
      <c r="A124" s="12" t="s">
        <v>168</v>
      </c>
      <c r="B124" s="12" t="s">
        <v>23</v>
      </c>
      <c r="C124" s="12" t="s">
        <v>114</v>
      </c>
      <c r="D124" s="13">
        <v>45482</v>
      </c>
      <c r="E124" s="13">
        <v>45486</v>
      </c>
      <c r="F124" s="12">
        <v>3</v>
      </c>
      <c r="G124" s="12">
        <v>579</v>
      </c>
      <c r="H124" s="12" t="s">
        <v>27</v>
      </c>
      <c r="I124" s="12" t="s">
        <v>550</v>
      </c>
      <c r="J124" s="12" t="s">
        <v>18</v>
      </c>
      <c r="K124" s="14" t="str">
        <f>TEXT('Retail Store Sales'!$D124,"yyyy")</f>
        <v>2024</v>
      </c>
      <c r="L124" s="11" t="str">
        <f>TEXT('Retail Store Sales'!$D124,"mmm")</f>
        <v>Jul</v>
      </c>
      <c r="M124" s="12" t="str">
        <f>TEXT('Retail Store Sales'!$D124,"dddd")</f>
        <v>Tuesday</v>
      </c>
      <c r="N124" s="23">
        <f t="shared" si="1"/>
        <v>4</v>
      </c>
      <c r="O124" s="16">
        <f>ROUND('Retail Store Sales'!$F124*'Retail Store Sales'!$G124*_xlfn.XLOOKUP('Retail Store Sales'!$C124,Table2[Product Name],Table2[Cost Percentage],0),0)</f>
        <v>1042</v>
      </c>
      <c r="P124" s="12">
        <f>'Retail Store Sales'!$F124*'Retail Store Sales'!$G124</f>
        <v>1737</v>
      </c>
      <c r="Q124" s="12">
        <f>P124-Table1[[#This Row],[Total cost]]</f>
        <v>695</v>
      </c>
    </row>
    <row r="125" spans="1:17" x14ac:dyDescent="0.45">
      <c r="A125" s="16" t="s">
        <v>169</v>
      </c>
      <c r="B125" s="16" t="s">
        <v>16</v>
      </c>
      <c r="C125" s="16" t="s">
        <v>55</v>
      </c>
      <c r="D125" s="17">
        <v>45635</v>
      </c>
      <c r="E125" s="17">
        <v>45649</v>
      </c>
      <c r="F125" s="16">
        <v>2</v>
      </c>
      <c r="G125" s="16">
        <v>430</v>
      </c>
      <c r="H125" s="16" t="s">
        <v>27</v>
      </c>
      <c r="I125" s="16" t="s">
        <v>546</v>
      </c>
      <c r="J125" s="16" t="s">
        <v>45</v>
      </c>
      <c r="K125" s="18" t="str">
        <f>TEXT('Retail Store Sales'!$D125,"yyyy")</f>
        <v>2024</v>
      </c>
      <c r="L125" s="15" t="str">
        <f>TEXT('Retail Store Sales'!$D125,"mmm")</f>
        <v>Dec</v>
      </c>
      <c r="M125" s="16" t="str">
        <f>TEXT('Retail Store Sales'!$D125,"dddd")</f>
        <v>Monday</v>
      </c>
      <c r="N125" s="24">
        <f t="shared" si="1"/>
        <v>14</v>
      </c>
      <c r="O125" s="16">
        <f>ROUND('Retail Store Sales'!$F125*'Retail Store Sales'!$G125*_xlfn.XLOOKUP('Retail Store Sales'!$C125,Table2[Product Name],Table2[Cost Percentage],0),0)</f>
        <v>473</v>
      </c>
      <c r="P125" s="16">
        <f>'Retail Store Sales'!$F125*'Retail Store Sales'!$G125</f>
        <v>860</v>
      </c>
      <c r="Q125" s="12">
        <f>P125-Table1[[#This Row],[Total cost]]</f>
        <v>387</v>
      </c>
    </row>
    <row r="126" spans="1:17" x14ac:dyDescent="0.45">
      <c r="A126" s="12" t="s">
        <v>170</v>
      </c>
      <c r="B126" s="12" t="s">
        <v>11</v>
      </c>
      <c r="C126" s="12" t="s">
        <v>95</v>
      </c>
      <c r="D126" s="13">
        <v>45599</v>
      </c>
      <c r="E126" s="13">
        <v>45620</v>
      </c>
      <c r="F126" s="12">
        <v>5</v>
      </c>
      <c r="G126" s="12">
        <v>370</v>
      </c>
      <c r="H126" s="12" t="s">
        <v>27</v>
      </c>
      <c r="I126" s="12" t="s">
        <v>550</v>
      </c>
      <c r="J126" s="12" t="s">
        <v>14</v>
      </c>
      <c r="K126" s="14" t="str">
        <f>TEXT('Retail Store Sales'!$D126,"yyyy")</f>
        <v>2024</v>
      </c>
      <c r="L126" s="11" t="str">
        <f>TEXT('Retail Store Sales'!$D126,"mmm")</f>
        <v>Nov</v>
      </c>
      <c r="M126" s="12" t="str">
        <f>TEXT('Retail Store Sales'!$D126,"dddd")</f>
        <v>Sunday</v>
      </c>
      <c r="N126" s="23">
        <f t="shared" si="1"/>
        <v>21</v>
      </c>
      <c r="O126" s="16">
        <f>ROUND('Retail Store Sales'!$F126*'Retail Store Sales'!$G126*_xlfn.XLOOKUP('Retail Store Sales'!$C126,Table2[Product Name],Table2[Cost Percentage],0),0)</f>
        <v>1295</v>
      </c>
      <c r="P126" s="12">
        <f>'Retail Store Sales'!$F126*'Retail Store Sales'!$G126</f>
        <v>1850</v>
      </c>
      <c r="Q126" s="12">
        <f>P126-Table1[[#This Row],[Total cost]]</f>
        <v>555</v>
      </c>
    </row>
    <row r="127" spans="1:17" x14ac:dyDescent="0.45">
      <c r="A127" s="16" t="s">
        <v>171</v>
      </c>
      <c r="B127" s="16" t="s">
        <v>16</v>
      </c>
      <c r="C127" s="16" t="s">
        <v>55</v>
      </c>
      <c r="D127" s="17">
        <v>45350</v>
      </c>
      <c r="E127" s="17">
        <v>45354</v>
      </c>
      <c r="F127" s="16">
        <v>5</v>
      </c>
      <c r="G127" s="16">
        <v>597</v>
      </c>
      <c r="H127" s="16" t="s">
        <v>27</v>
      </c>
      <c r="I127" s="16" t="s">
        <v>550</v>
      </c>
      <c r="J127" s="16" t="s">
        <v>45</v>
      </c>
      <c r="K127" s="18" t="str">
        <f>TEXT('Retail Store Sales'!$D127,"yyyy")</f>
        <v>2024</v>
      </c>
      <c r="L127" s="15" t="str">
        <f>TEXT('Retail Store Sales'!$D127,"mmm")</f>
        <v>Feb</v>
      </c>
      <c r="M127" s="16" t="str">
        <f>TEXT('Retail Store Sales'!$D127,"dddd")</f>
        <v>Wednesday</v>
      </c>
      <c r="N127" s="24">
        <f t="shared" si="1"/>
        <v>4</v>
      </c>
      <c r="O127" s="16">
        <f>ROUND('Retail Store Sales'!$F127*'Retail Store Sales'!$G127*_xlfn.XLOOKUP('Retail Store Sales'!$C127,Table2[Product Name],Table2[Cost Percentage],0),0)</f>
        <v>1642</v>
      </c>
      <c r="P127" s="16">
        <f>'Retail Store Sales'!$F127*'Retail Store Sales'!$G127</f>
        <v>2985</v>
      </c>
      <c r="Q127" s="12">
        <f>P127-Table1[[#This Row],[Total cost]]</f>
        <v>1343</v>
      </c>
    </row>
    <row r="128" spans="1:17" x14ac:dyDescent="0.45">
      <c r="A128" s="12" t="s">
        <v>172</v>
      </c>
      <c r="B128" s="12" t="s">
        <v>16</v>
      </c>
      <c r="C128" s="12" t="s">
        <v>59</v>
      </c>
      <c r="D128" s="13">
        <v>45637</v>
      </c>
      <c r="E128" s="13">
        <v>45645</v>
      </c>
      <c r="F128" s="12">
        <v>9</v>
      </c>
      <c r="G128" s="12">
        <v>36</v>
      </c>
      <c r="H128" s="12" t="s">
        <v>13</v>
      </c>
      <c r="I128" s="12" t="s">
        <v>32</v>
      </c>
      <c r="J128" s="12" t="s">
        <v>45</v>
      </c>
      <c r="K128" s="14" t="str">
        <f>TEXT('Retail Store Sales'!$D128,"yyyy")</f>
        <v>2024</v>
      </c>
      <c r="L128" s="11" t="str">
        <f>TEXT('Retail Store Sales'!$D128,"mmm")</f>
        <v>Dec</v>
      </c>
      <c r="M128" s="12" t="str">
        <f>TEXT('Retail Store Sales'!$D128,"dddd")</f>
        <v>Wednesday</v>
      </c>
      <c r="N128" s="23">
        <f t="shared" si="1"/>
        <v>8</v>
      </c>
      <c r="O128" s="16">
        <f>ROUND('Retail Store Sales'!$F128*'Retail Store Sales'!$G128*_xlfn.XLOOKUP('Retail Store Sales'!$C128,Table2[Product Name],Table2[Cost Percentage],0),0)</f>
        <v>211</v>
      </c>
      <c r="P128" s="12">
        <f>'Retail Store Sales'!$F128*'Retail Store Sales'!$G128</f>
        <v>324</v>
      </c>
      <c r="Q128" s="12">
        <f>P128-Table1[[#This Row],[Total cost]]</f>
        <v>113</v>
      </c>
    </row>
    <row r="129" spans="1:17" x14ac:dyDescent="0.45">
      <c r="A129" s="16" t="s">
        <v>173</v>
      </c>
      <c r="B129" s="16" t="s">
        <v>20</v>
      </c>
      <c r="C129" s="16" t="s">
        <v>82</v>
      </c>
      <c r="D129" s="17">
        <v>45651</v>
      </c>
      <c r="E129" s="17">
        <v>45660</v>
      </c>
      <c r="F129" s="16">
        <v>5</v>
      </c>
      <c r="G129" s="16">
        <v>953</v>
      </c>
      <c r="H129" s="16" t="s">
        <v>13</v>
      </c>
      <c r="I129" s="16" t="s">
        <v>546</v>
      </c>
      <c r="J129" s="16" t="s">
        <v>14</v>
      </c>
      <c r="K129" s="18" t="str">
        <f>TEXT('Retail Store Sales'!$D129,"yyyy")</f>
        <v>2024</v>
      </c>
      <c r="L129" s="15" t="str">
        <f>TEXT('Retail Store Sales'!$D129,"mmm")</f>
        <v>Dec</v>
      </c>
      <c r="M129" s="16" t="str">
        <f>TEXT('Retail Store Sales'!$D129,"dddd")</f>
        <v>Wednesday</v>
      </c>
      <c r="N129" s="24">
        <f t="shared" si="1"/>
        <v>9</v>
      </c>
      <c r="O129" s="16">
        <f>ROUND('Retail Store Sales'!$F129*'Retail Store Sales'!$G129*_xlfn.XLOOKUP('Retail Store Sales'!$C129,Table2[Product Name],Table2[Cost Percentage],0),0)</f>
        <v>3812</v>
      </c>
      <c r="P129" s="16">
        <f>'Retail Store Sales'!$F129*'Retail Store Sales'!$G129</f>
        <v>4765</v>
      </c>
      <c r="Q129" s="12">
        <f>P129-Table1[[#This Row],[Total cost]]</f>
        <v>953</v>
      </c>
    </row>
    <row r="130" spans="1:17" x14ac:dyDescent="0.45">
      <c r="A130" s="12" t="s">
        <v>174</v>
      </c>
      <c r="B130" s="12" t="s">
        <v>20</v>
      </c>
      <c r="C130" s="12" t="s">
        <v>53</v>
      </c>
      <c r="D130" s="13">
        <v>45581</v>
      </c>
      <c r="E130" s="13">
        <v>45584</v>
      </c>
      <c r="F130" s="12">
        <v>7</v>
      </c>
      <c r="G130" s="12">
        <v>81</v>
      </c>
      <c r="H130" s="12" t="s">
        <v>13</v>
      </c>
      <c r="I130" s="12" t="s">
        <v>550</v>
      </c>
      <c r="J130" s="12" t="s">
        <v>18</v>
      </c>
      <c r="K130" s="14" t="str">
        <f>TEXT('Retail Store Sales'!$D130,"yyyy")</f>
        <v>2024</v>
      </c>
      <c r="L130" s="11" t="str">
        <f>TEXT('Retail Store Sales'!$D130,"mmm")</f>
        <v>Oct</v>
      </c>
      <c r="M130" s="12" t="str">
        <f>TEXT('Retail Store Sales'!$D130,"dddd")</f>
        <v>Wednesday</v>
      </c>
      <c r="N130" s="23">
        <f t="shared" ref="N130:N193" si="2">DATEDIF(D130,E130,"D")</f>
        <v>3</v>
      </c>
      <c r="O130" s="16">
        <f>ROUND('Retail Store Sales'!$F130*'Retail Store Sales'!$G130*_xlfn.XLOOKUP('Retail Store Sales'!$C130,Table2[Product Name],Table2[Cost Percentage],0),0)</f>
        <v>397</v>
      </c>
      <c r="P130" s="12">
        <f>'Retail Store Sales'!$F130*'Retail Store Sales'!$G130</f>
        <v>567</v>
      </c>
      <c r="Q130" s="12">
        <f>P130-Table1[[#This Row],[Total cost]]</f>
        <v>170</v>
      </c>
    </row>
    <row r="131" spans="1:17" x14ac:dyDescent="0.45">
      <c r="A131" s="16" t="s">
        <v>175</v>
      </c>
      <c r="B131" s="16" t="s">
        <v>30</v>
      </c>
      <c r="C131" s="16" t="s">
        <v>78</v>
      </c>
      <c r="D131" s="17">
        <v>45582</v>
      </c>
      <c r="E131" s="17">
        <v>45594</v>
      </c>
      <c r="F131" s="16">
        <v>10</v>
      </c>
      <c r="G131" s="16">
        <v>96</v>
      </c>
      <c r="H131" s="16" t="s">
        <v>13</v>
      </c>
      <c r="I131" s="16" t="s">
        <v>550</v>
      </c>
      <c r="J131" s="16" t="s">
        <v>28</v>
      </c>
      <c r="K131" s="18" t="str">
        <f>TEXT('Retail Store Sales'!$D131,"yyyy")</f>
        <v>2024</v>
      </c>
      <c r="L131" s="15" t="str">
        <f>TEXT('Retail Store Sales'!$D131,"mmm")</f>
        <v>Oct</v>
      </c>
      <c r="M131" s="16" t="str">
        <f>TEXT('Retail Store Sales'!$D131,"dddd")</f>
        <v>Thursday</v>
      </c>
      <c r="N131" s="24">
        <f t="shared" si="2"/>
        <v>12</v>
      </c>
      <c r="O131" s="16">
        <f>ROUND('Retail Store Sales'!$F131*'Retail Store Sales'!$G131*_xlfn.XLOOKUP('Retail Store Sales'!$C131,Table2[Product Name],Table2[Cost Percentage],0),0)</f>
        <v>624</v>
      </c>
      <c r="P131" s="16">
        <f>'Retail Store Sales'!$F131*'Retail Store Sales'!$G131</f>
        <v>960</v>
      </c>
      <c r="Q131" s="12">
        <f>P131-Table1[[#This Row],[Total cost]]</f>
        <v>336</v>
      </c>
    </row>
    <row r="132" spans="1:17" x14ac:dyDescent="0.45">
      <c r="A132" s="12" t="s">
        <v>176</v>
      </c>
      <c r="B132" s="12" t="s">
        <v>16</v>
      </c>
      <c r="C132" s="12" t="s">
        <v>43</v>
      </c>
      <c r="D132" s="13">
        <v>45504</v>
      </c>
      <c r="E132" s="13">
        <v>45507</v>
      </c>
      <c r="F132" s="12">
        <v>5</v>
      </c>
      <c r="G132" s="12">
        <v>230</v>
      </c>
      <c r="H132" s="12" t="s">
        <v>13</v>
      </c>
      <c r="I132" s="12" t="s">
        <v>548</v>
      </c>
      <c r="J132" s="12" t="s">
        <v>18</v>
      </c>
      <c r="K132" s="14" t="str">
        <f>TEXT('Retail Store Sales'!$D132,"yyyy")</f>
        <v>2024</v>
      </c>
      <c r="L132" s="11" t="str">
        <f>TEXT('Retail Store Sales'!$D132,"mmm")</f>
        <v>Jul</v>
      </c>
      <c r="M132" s="12" t="str">
        <f>TEXT('Retail Store Sales'!$D132,"dddd")</f>
        <v>Wednesday</v>
      </c>
      <c r="N132" s="23">
        <f t="shared" si="2"/>
        <v>3</v>
      </c>
      <c r="O132" s="16">
        <f>ROUND('Retail Store Sales'!$F132*'Retail Store Sales'!$G132*_xlfn.XLOOKUP('Retail Store Sales'!$C132,Table2[Product Name],Table2[Cost Percentage],0),0)</f>
        <v>690</v>
      </c>
      <c r="P132" s="12">
        <f>'Retail Store Sales'!$F132*'Retail Store Sales'!$G132</f>
        <v>1150</v>
      </c>
      <c r="Q132" s="12">
        <f>P132-Table1[[#This Row],[Total cost]]</f>
        <v>460</v>
      </c>
    </row>
    <row r="133" spans="1:17" x14ac:dyDescent="0.45">
      <c r="A133" s="16" t="s">
        <v>177</v>
      </c>
      <c r="B133" s="16" t="s">
        <v>16</v>
      </c>
      <c r="C133" s="16" t="s">
        <v>55</v>
      </c>
      <c r="D133" s="17">
        <v>45315</v>
      </c>
      <c r="E133" s="17">
        <v>45329</v>
      </c>
      <c r="F133" s="16">
        <v>4</v>
      </c>
      <c r="G133" s="16">
        <v>414</v>
      </c>
      <c r="H133" s="16" t="s">
        <v>13</v>
      </c>
      <c r="I133" s="16" t="s">
        <v>32</v>
      </c>
      <c r="J133" s="16" t="s">
        <v>14</v>
      </c>
      <c r="K133" s="18" t="str">
        <f>TEXT('Retail Store Sales'!$D133,"yyyy")</f>
        <v>2024</v>
      </c>
      <c r="L133" s="15" t="str">
        <f>TEXT('Retail Store Sales'!$D133,"mmm")</f>
        <v>Jan</v>
      </c>
      <c r="M133" s="16" t="str">
        <f>TEXT('Retail Store Sales'!$D133,"dddd")</f>
        <v>Wednesday</v>
      </c>
      <c r="N133" s="24">
        <f t="shared" si="2"/>
        <v>14</v>
      </c>
      <c r="O133" s="16">
        <f>ROUND('Retail Store Sales'!$F133*'Retail Store Sales'!$G133*_xlfn.XLOOKUP('Retail Store Sales'!$C133,Table2[Product Name],Table2[Cost Percentage],0),0)</f>
        <v>911</v>
      </c>
      <c r="P133" s="16">
        <f>'Retail Store Sales'!$F133*'Retail Store Sales'!$G133</f>
        <v>1656</v>
      </c>
      <c r="Q133" s="12">
        <f>P133-Table1[[#This Row],[Total cost]]</f>
        <v>745</v>
      </c>
    </row>
    <row r="134" spans="1:17" x14ac:dyDescent="0.45">
      <c r="A134" s="12" t="s">
        <v>178</v>
      </c>
      <c r="B134" s="12" t="s">
        <v>11</v>
      </c>
      <c r="C134" s="12" t="s">
        <v>12</v>
      </c>
      <c r="D134" s="13">
        <v>45546</v>
      </c>
      <c r="E134" s="13">
        <v>45559</v>
      </c>
      <c r="F134" s="12">
        <v>7</v>
      </c>
      <c r="G134" s="12">
        <v>189</v>
      </c>
      <c r="H134" s="12" t="s">
        <v>27</v>
      </c>
      <c r="I134" s="12" t="s">
        <v>550</v>
      </c>
      <c r="J134" s="12" t="s">
        <v>18</v>
      </c>
      <c r="K134" s="14" t="str">
        <f>TEXT('Retail Store Sales'!$D134,"yyyy")</f>
        <v>2024</v>
      </c>
      <c r="L134" s="11" t="str">
        <f>TEXT('Retail Store Sales'!$D134,"mmm")</f>
        <v>Sep</v>
      </c>
      <c r="M134" s="12" t="str">
        <f>TEXT('Retail Store Sales'!$D134,"dddd")</f>
        <v>Wednesday</v>
      </c>
      <c r="N134" s="23">
        <f t="shared" si="2"/>
        <v>13</v>
      </c>
      <c r="O134" s="16">
        <f>ROUND('Retail Store Sales'!$F134*'Retail Store Sales'!$G134*_xlfn.XLOOKUP('Retail Store Sales'!$C134,Table2[Product Name],Table2[Cost Percentage],0),0)</f>
        <v>992</v>
      </c>
      <c r="P134" s="12">
        <f>'Retail Store Sales'!$F134*'Retail Store Sales'!$G134</f>
        <v>1323</v>
      </c>
      <c r="Q134" s="12">
        <f>P134-Table1[[#This Row],[Total cost]]</f>
        <v>331</v>
      </c>
    </row>
    <row r="135" spans="1:17" x14ac:dyDescent="0.45">
      <c r="A135" s="16" t="s">
        <v>179</v>
      </c>
      <c r="B135" s="16" t="s">
        <v>23</v>
      </c>
      <c r="C135" s="16" t="s">
        <v>24</v>
      </c>
      <c r="D135" s="17">
        <v>45350</v>
      </c>
      <c r="E135" s="17">
        <v>45356</v>
      </c>
      <c r="F135" s="16">
        <v>7</v>
      </c>
      <c r="G135" s="16">
        <v>31</v>
      </c>
      <c r="H135" s="16" t="s">
        <v>27</v>
      </c>
      <c r="I135" s="16" t="s">
        <v>546</v>
      </c>
      <c r="J135" s="16" t="s">
        <v>18</v>
      </c>
      <c r="K135" s="18" t="str">
        <f>TEXT('Retail Store Sales'!$D135,"yyyy")</f>
        <v>2024</v>
      </c>
      <c r="L135" s="15" t="str">
        <f>TEXT('Retail Store Sales'!$D135,"mmm")</f>
        <v>Feb</v>
      </c>
      <c r="M135" s="16" t="str">
        <f>TEXT('Retail Store Sales'!$D135,"dddd")</f>
        <v>Wednesday</v>
      </c>
      <c r="N135" s="24">
        <f t="shared" si="2"/>
        <v>6</v>
      </c>
      <c r="O135" s="16">
        <f>ROUND('Retail Store Sales'!$F135*'Retail Store Sales'!$G135*_xlfn.XLOOKUP('Retail Store Sales'!$C135,Table2[Product Name],Table2[Cost Percentage],0),0)</f>
        <v>119</v>
      </c>
      <c r="P135" s="16">
        <f>'Retail Store Sales'!$F135*'Retail Store Sales'!$G135</f>
        <v>217</v>
      </c>
      <c r="Q135" s="12">
        <f>P135-Table1[[#This Row],[Total cost]]</f>
        <v>98</v>
      </c>
    </row>
    <row r="136" spans="1:17" x14ac:dyDescent="0.45">
      <c r="A136" s="12" t="s">
        <v>180</v>
      </c>
      <c r="B136" s="12" t="s">
        <v>16</v>
      </c>
      <c r="C136" s="12" t="s">
        <v>43</v>
      </c>
      <c r="D136" s="13">
        <v>45560</v>
      </c>
      <c r="E136" s="13">
        <v>45572</v>
      </c>
      <c r="F136" s="12">
        <v>2</v>
      </c>
      <c r="G136" s="12">
        <v>415</v>
      </c>
      <c r="H136" s="12" t="s">
        <v>27</v>
      </c>
      <c r="I136" s="12" t="s">
        <v>548</v>
      </c>
      <c r="J136" s="12" t="s">
        <v>28</v>
      </c>
      <c r="K136" s="14" t="str">
        <f>TEXT('Retail Store Sales'!$D136,"yyyy")</f>
        <v>2024</v>
      </c>
      <c r="L136" s="11" t="str">
        <f>TEXT('Retail Store Sales'!$D136,"mmm")</f>
        <v>Sep</v>
      </c>
      <c r="M136" s="12" t="str">
        <f>TEXT('Retail Store Sales'!$D136,"dddd")</f>
        <v>Wednesday</v>
      </c>
      <c r="N136" s="23">
        <f t="shared" si="2"/>
        <v>12</v>
      </c>
      <c r="O136" s="16">
        <f>ROUND('Retail Store Sales'!$F136*'Retail Store Sales'!$G136*_xlfn.XLOOKUP('Retail Store Sales'!$C136,Table2[Product Name],Table2[Cost Percentage],0),0)</f>
        <v>498</v>
      </c>
      <c r="P136" s="12">
        <f>'Retail Store Sales'!$F136*'Retail Store Sales'!$G136</f>
        <v>830</v>
      </c>
      <c r="Q136" s="12">
        <f>P136-Table1[[#This Row],[Total cost]]</f>
        <v>332</v>
      </c>
    </row>
    <row r="137" spans="1:17" x14ac:dyDescent="0.45">
      <c r="A137" s="16" t="s">
        <v>181</v>
      </c>
      <c r="B137" s="16" t="s">
        <v>30</v>
      </c>
      <c r="C137" s="16" t="s">
        <v>41</v>
      </c>
      <c r="D137" s="17">
        <v>45462</v>
      </c>
      <c r="E137" s="17">
        <v>45469</v>
      </c>
      <c r="F137" s="16">
        <v>3</v>
      </c>
      <c r="G137" s="16">
        <v>88</v>
      </c>
      <c r="H137" s="16" t="s">
        <v>27</v>
      </c>
      <c r="I137" s="16" t="s">
        <v>32</v>
      </c>
      <c r="J137" s="16" t="s">
        <v>14</v>
      </c>
      <c r="K137" s="18" t="str">
        <f>TEXT('Retail Store Sales'!$D137,"yyyy")</f>
        <v>2024</v>
      </c>
      <c r="L137" s="15" t="str">
        <f>TEXT('Retail Store Sales'!$D137,"mmm")</f>
        <v>Jun</v>
      </c>
      <c r="M137" s="16" t="str">
        <f>TEXT('Retail Store Sales'!$D137,"dddd")</f>
        <v>Wednesday</v>
      </c>
      <c r="N137" s="24">
        <f t="shared" si="2"/>
        <v>7</v>
      </c>
      <c r="O137" s="16">
        <f>ROUND('Retail Store Sales'!$F137*'Retail Store Sales'!$G137*_xlfn.XLOOKUP('Retail Store Sales'!$C137,Table2[Product Name],Table2[Cost Percentage],0),0)</f>
        <v>172</v>
      </c>
      <c r="P137" s="16">
        <f>'Retail Store Sales'!$F137*'Retail Store Sales'!$G137</f>
        <v>264</v>
      </c>
      <c r="Q137" s="12">
        <f>P137-Table1[[#This Row],[Total cost]]</f>
        <v>92</v>
      </c>
    </row>
    <row r="138" spans="1:17" x14ac:dyDescent="0.45">
      <c r="A138" s="12" t="s">
        <v>182</v>
      </c>
      <c r="B138" s="12" t="s">
        <v>16</v>
      </c>
      <c r="C138" s="12" t="s">
        <v>63</v>
      </c>
      <c r="D138" s="13">
        <v>45470</v>
      </c>
      <c r="E138" s="13">
        <v>45478</v>
      </c>
      <c r="F138" s="12">
        <v>6</v>
      </c>
      <c r="G138" s="12">
        <v>754</v>
      </c>
      <c r="H138" s="12" t="s">
        <v>13</v>
      </c>
      <c r="I138" s="12" t="s">
        <v>548</v>
      </c>
      <c r="J138" s="12" t="s">
        <v>14</v>
      </c>
      <c r="K138" s="14" t="str">
        <f>TEXT('Retail Store Sales'!$D138,"yyyy")</f>
        <v>2024</v>
      </c>
      <c r="L138" s="11" t="str">
        <f>TEXT('Retail Store Sales'!$D138,"mmm")</f>
        <v>Jun</v>
      </c>
      <c r="M138" s="12" t="str">
        <f>TEXT('Retail Store Sales'!$D138,"dddd")</f>
        <v>Thursday</v>
      </c>
      <c r="N138" s="23">
        <f t="shared" si="2"/>
        <v>8</v>
      </c>
      <c r="O138" s="16">
        <f>ROUND('Retail Store Sales'!$F138*'Retail Store Sales'!$G138*_xlfn.XLOOKUP('Retail Store Sales'!$C138,Table2[Product Name],Table2[Cost Percentage],0),0)</f>
        <v>2262</v>
      </c>
      <c r="P138" s="12">
        <f>'Retail Store Sales'!$F138*'Retail Store Sales'!$G138</f>
        <v>4524</v>
      </c>
      <c r="Q138" s="12">
        <f>P138-Table1[[#This Row],[Total cost]]</f>
        <v>2262</v>
      </c>
    </row>
    <row r="139" spans="1:17" x14ac:dyDescent="0.45">
      <c r="A139" s="16" t="s">
        <v>183</v>
      </c>
      <c r="B139" s="16" t="s">
        <v>11</v>
      </c>
      <c r="C139" s="16" t="s">
        <v>57</v>
      </c>
      <c r="D139" s="17">
        <v>45423</v>
      </c>
      <c r="E139" s="17">
        <v>45435</v>
      </c>
      <c r="F139" s="16">
        <v>4</v>
      </c>
      <c r="G139" s="16">
        <v>187</v>
      </c>
      <c r="H139" s="16" t="s">
        <v>27</v>
      </c>
      <c r="I139" s="16" t="s">
        <v>32</v>
      </c>
      <c r="J139" s="16" t="s">
        <v>14</v>
      </c>
      <c r="K139" s="18" t="str">
        <f>TEXT('Retail Store Sales'!$D139,"yyyy")</f>
        <v>2024</v>
      </c>
      <c r="L139" s="15" t="str">
        <f>TEXT('Retail Store Sales'!$D139,"mmm")</f>
        <v>May</v>
      </c>
      <c r="M139" s="16" t="str">
        <f>TEXT('Retail Store Sales'!$D139,"dddd")</f>
        <v>Saturday</v>
      </c>
      <c r="N139" s="24">
        <f t="shared" si="2"/>
        <v>12</v>
      </c>
      <c r="O139" s="16">
        <f>ROUND('Retail Store Sales'!$F139*'Retail Store Sales'!$G139*_xlfn.XLOOKUP('Retail Store Sales'!$C139,Table2[Product Name],Table2[Cost Percentage],0),0)</f>
        <v>636</v>
      </c>
      <c r="P139" s="16">
        <f>'Retail Store Sales'!$F139*'Retail Store Sales'!$G139</f>
        <v>748</v>
      </c>
      <c r="Q139" s="12">
        <f>P139-Table1[[#This Row],[Total cost]]</f>
        <v>112</v>
      </c>
    </row>
    <row r="140" spans="1:17" x14ac:dyDescent="0.45">
      <c r="A140" s="12" t="s">
        <v>184</v>
      </c>
      <c r="B140" s="12" t="s">
        <v>11</v>
      </c>
      <c r="C140" s="12" t="s">
        <v>57</v>
      </c>
      <c r="D140" s="13">
        <v>45613</v>
      </c>
      <c r="E140" s="13">
        <v>45623</v>
      </c>
      <c r="F140" s="12">
        <v>8</v>
      </c>
      <c r="G140" s="12">
        <v>485</v>
      </c>
      <c r="H140" s="12" t="s">
        <v>27</v>
      </c>
      <c r="I140" s="12" t="s">
        <v>548</v>
      </c>
      <c r="J140" s="12" t="s">
        <v>45</v>
      </c>
      <c r="K140" s="14" t="str">
        <f>TEXT('Retail Store Sales'!$D140,"yyyy")</f>
        <v>2024</v>
      </c>
      <c r="L140" s="11" t="str">
        <f>TEXT('Retail Store Sales'!$D140,"mmm")</f>
        <v>Nov</v>
      </c>
      <c r="M140" s="12" t="str">
        <f>TEXT('Retail Store Sales'!$D140,"dddd")</f>
        <v>Sunday</v>
      </c>
      <c r="N140" s="23">
        <f t="shared" si="2"/>
        <v>10</v>
      </c>
      <c r="O140" s="16">
        <f>ROUND('Retail Store Sales'!$F140*'Retail Store Sales'!$G140*_xlfn.XLOOKUP('Retail Store Sales'!$C140,Table2[Product Name],Table2[Cost Percentage],0),0)</f>
        <v>3298</v>
      </c>
      <c r="P140" s="12">
        <f>'Retail Store Sales'!$F140*'Retail Store Sales'!$G140</f>
        <v>3880</v>
      </c>
      <c r="Q140" s="12">
        <f>P140-Table1[[#This Row],[Total cost]]</f>
        <v>582</v>
      </c>
    </row>
    <row r="141" spans="1:17" x14ac:dyDescent="0.45">
      <c r="A141" s="16" t="s">
        <v>185</v>
      </c>
      <c r="B141" s="16" t="s">
        <v>23</v>
      </c>
      <c r="C141" s="16" t="s">
        <v>69</v>
      </c>
      <c r="D141" s="17">
        <v>45621</v>
      </c>
      <c r="E141" s="17">
        <v>45624</v>
      </c>
      <c r="F141" s="16">
        <v>10</v>
      </c>
      <c r="G141" s="16">
        <v>340</v>
      </c>
      <c r="H141" s="16" t="s">
        <v>13</v>
      </c>
      <c r="I141" s="16" t="s">
        <v>548</v>
      </c>
      <c r="J141" s="16" t="s">
        <v>28</v>
      </c>
      <c r="K141" s="18" t="str">
        <f>TEXT('Retail Store Sales'!$D141,"yyyy")</f>
        <v>2024</v>
      </c>
      <c r="L141" s="15" t="str">
        <f>TEXT('Retail Store Sales'!$D141,"mmm")</f>
        <v>Nov</v>
      </c>
      <c r="M141" s="16" t="str">
        <f>TEXT('Retail Store Sales'!$D141,"dddd")</f>
        <v>Monday</v>
      </c>
      <c r="N141" s="24">
        <f t="shared" si="2"/>
        <v>3</v>
      </c>
      <c r="O141" s="16">
        <f>ROUND('Retail Store Sales'!$F141*'Retail Store Sales'!$G141*_xlfn.XLOOKUP('Retail Store Sales'!$C141,Table2[Product Name],Table2[Cost Percentage],0),0)</f>
        <v>1870</v>
      </c>
      <c r="P141" s="16">
        <f>'Retail Store Sales'!$F141*'Retail Store Sales'!$G141</f>
        <v>3400</v>
      </c>
      <c r="Q141" s="12">
        <f>P141-Table1[[#This Row],[Total cost]]</f>
        <v>1530</v>
      </c>
    </row>
    <row r="142" spans="1:17" x14ac:dyDescent="0.45">
      <c r="A142" s="12" t="s">
        <v>186</v>
      </c>
      <c r="B142" s="12" t="s">
        <v>23</v>
      </c>
      <c r="C142" s="12" t="s">
        <v>114</v>
      </c>
      <c r="D142" s="13">
        <v>45532</v>
      </c>
      <c r="E142" s="13">
        <v>45543</v>
      </c>
      <c r="F142" s="12">
        <v>8</v>
      </c>
      <c r="G142" s="12">
        <v>656</v>
      </c>
      <c r="H142" s="12" t="s">
        <v>27</v>
      </c>
      <c r="I142" s="12" t="s">
        <v>546</v>
      </c>
      <c r="J142" s="12" t="s">
        <v>14</v>
      </c>
      <c r="K142" s="14" t="str">
        <f>TEXT('Retail Store Sales'!$D142,"yyyy")</f>
        <v>2024</v>
      </c>
      <c r="L142" s="11" t="str">
        <f>TEXT('Retail Store Sales'!$D142,"mmm")</f>
        <v>Aug</v>
      </c>
      <c r="M142" s="12" t="str">
        <f>TEXT('Retail Store Sales'!$D142,"dddd")</f>
        <v>Wednesday</v>
      </c>
      <c r="N142" s="23">
        <f t="shared" si="2"/>
        <v>11</v>
      </c>
      <c r="O142" s="16">
        <f>ROUND('Retail Store Sales'!$F142*'Retail Store Sales'!$G142*_xlfn.XLOOKUP('Retail Store Sales'!$C142,Table2[Product Name],Table2[Cost Percentage],0),0)</f>
        <v>3149</v>
      </c>
      <c r="P142" s="12">
        <f>'Retail Store Sales'!$F142*'Retail Store Sales'!$G142</f>
        <v>5248</v>
      </c>
      <c r="Q142" s="12">
        <f>P142-Table1[[#This Row],[Total cost]]</f>
        <v>2099</v>
      </c>
    </row>
    <row r="143" spans="1:17" x14ac:dyDescent="0.45">
      <c r="A143" s="16" t="s">
        <v>187</v>
      </c>
      <c r="B143" s="16" t="s">
        <v>11</v>
      </c>
      <c r="C143" s="16" t="s">
        <v>95</v>
      </c>
      <c r="D143" s="17">
        <v>45551</v>
      </c>
      <c r="E143" s="17">
        <v>45555</v>
      </c>
      <c r="F143" s="16">
        <v>2</v>
      </c>
      <c r="G143" s="16">
        <v>327</v>
      </c>
      <c r="H143" s="16" t="s">
        <v>13</v>
      </c>
      <c r="I143" s="16" t="s">
        <v>549</v>
      </c>
      <c r="J143" s="16" t="s">
        <v>45</v>
      </c>
      <c r="K143" s="18" t="str">
        <f>TEXT('Retail Store Sales'!$D143,"yyyy")</f>
        <v>2024</v>
      </c>
      <c r="L143" s="15" t="str">
        <f>TEXT('Retail Store Sales'!$D143,"mmm")</f>
        <v>Sep</v>
      </c>
      <c r="M143" s="16" t="str">
        <f>TEXT('Retail Store Sales'!$D143,"dddd")</f>
        <v>Monday</v>
      </c>
      <c r="N143" s="24">
        <f t="shared" si="2"/>
        <v>4</v>
      </c>
      <c r="O143" s="16">
        <f>ROUND('Retail Store Sales'!$F143*'Retail Store Sales'!$G143*_xlfn.XLOOKUP('Retail Store Sales'!$C143,Table2[Product Name],Table2[Cost Percentage],0),0)</f>
        <v>458</v>
      </c>
      <c r="P143" s="16">
        <f>'Retail Store Sales'!$F143*'Retail Store Sales'!$G143</f>
        <v>654</v>
      </c>
      <c r="Q143" s="12">
        <f>P143-Table1[[#This Row],[Total cost]]</f>
        <v>196</v>
      </c>
    </row>
    <row r="144" spans="1:17" x14ac:dyDescent="0.45">
      <c r="A144" s="12" t="s">
        <v>188</v>
      </c>
      <c r="B144" s="12" t="s">
        <v>11</v>
      </c>
      <c r="C144" s="12" t="s">
        <v>95</v>
      </c>
      <c r="D144" s="13">
        <v>45438</v>
      </c>
      <c r="E144" s="13">
        <v>45444</v>
      </c>
      <c r="F144" s="12">
        <v>2</v>
      </c>
      <c r="G144" s="12">
        <v>670</v>
      </c>
      <c r="H144" s="12" t="s">
        <v>27</v>
      </c>
      <c r="I144" s="12" t="s">
        <v>548</v>
      </c>
      <c r="J144" s="12" t="s">
        <v>18</v>
      </c>
      <c r="K144" s="14" t="str">
        <f>TEXT('Retail Store Sales'!$D144,"yyyy")</f>
        <v>2024</v>
      </c>
      <c r="L144" s="11" t="str">
        <f>TEXT('Retail Store Sales'!$D144,"mmm")</f>
        <v>May</v>
      </c>
      <c r="M144" s="12" t="str">
        <f>TEXT('Retail Store Sales'!$D144,"dddd")</f>
        <v>Sunday</v>
      </c>
      <c r="N144" s="23">
        <f t="shared" si="2"/>
        <v>6</v>
      </c>
      <c r="O144" s="16">
        <f>ROUND('Retail Store Sales'!$F144*'Retail Store Sales'!$G144*_xlfn.XLOOKUP('Retail Store Sales'!$C144,Table2[Product Name],Table2[Cost Percentage],0),0)</f>
        <v>938</v>
      </c>
      <c r="P144" s="12">
        <f>'Retail Store Sales'!$F144*'Retail Store Sales'!$G144</f>
        <v>1340</v>
      </c>
      <c r="Q144" s="12">
        <f>P144-Table1[[#This Row],[Total cost]]</f>
        <v>402</v>
      </c>
    </row>
    <row r="145" spans="1:17" x14ac:dyDescent="0.45">
      <c r="A145" s="16" t="s">
        <v>189</v>
      </c>
      <c r="B145" s="16" t="s">
        <v>16</v>
      </c>
      <c r="C145" s="16" t="s">
        <v>63</v>
      </c>
      <c r="D145" s="17">
        <v>45456</v>
      </c>
      <c r="E145" s="17">
        <v>45461</v>
      </c>
      <c r="F145" s="16">
        <v>10</v>
      </c>
      <c r="G145" s="16">
        <v>497</v>
      </c>
      <c r="H145" s="16" t="s">
        <v>13</v>
      </c>
      <c r="I145" s="16" t="s">
        <v>32</v>
      </c>
      <c r="J145" s="16" t="s">
        <v>45</v>
      </c>
      <c r="K145" s="18" t="str">
        <f>TEXT('Retail Store Sales'!$D145,"yyyy")</f>
        <v>2024</v>
      </c>
      <c r="L145" s="15" t="str">
        <f>TEXT('Retail Store Sales'!$D145,"mmm")</f>
        <v>Jun</v>
      </c>
      <c r="M145" s="16" t="str">
        <f>TEXT('Retail Store Sales'!$D145,"dddd")</f>
        <v>Thursday</v>
      </c>
      <c r="N145" s="24">
        <f t="shared" si="2"/>
        <v>5</v>
      </c>
      <c r="O145" s="16">
        <f>ROUND('Retail Store Sales'!$F145*'Retail Store Sales'!$G145*_xlfn.XLOOKUP('Retail Store Sales'!$C145,Table2[Product Name],Table2[Cost Percentage],0),0)</f>
        <v>2485</v>
      </c>
      <c r="P145" s="16">
        <f>'Retail Store Sales'!$F145*'Retail Store Sales'!$G145</f>
        <v>4970</v>
      </c>
      <c r="Q145" s="12">
        <f>P145-Table1[[#This Row],[Total cost]]</f>
        <v>2485</v>
      </c>
    </row>
    <row r="146" spans="1:17" x14ac:dyDescent="0.45">
      <c r="A146" s="12" t="s">
        <v>190</v>
      </c>
      <c r="B146" s="12" t="s">
        <v>23</v>
      </c>
      <c r="C146" s="12" t="s">
        <v>114</v>
      </c>
      <c r="D146" s="13">
        <v>45467</v>
      </c>
      <c r="E146" s="13">
        <v>45476</v>
      </c>
      <c r="F146" s="12">
        <v>2</v>
      </c>
      <c r="G146" s="12">
        <v>526</v>
      </c>
      <c r="H146" s="12" t="s">
        <v>13</v>
      </c>
      <c r="I146" s="12" t="s">
        <v>32</v>
      </c>
      <c r="J146" s="12" t="s">
        <v>28</v>
      </c>
      <c r="K146" s="14" t="str">
        <f>TEXT('Retail Store Sales'!$D146,"yyyy")</f>
        <v>2024</v>
      </c>
      <c r="L146" s="11" t="str">
        <f>TEXT('Retail Store Sales'!$D146,"mmm")</f>
        <v>Jun</v>
      </c>
      <c r="M146" s="12" t="str">
        <f>TEXT('Retail Store Sales'!$D146,"dddd")</f>
        <v>Monday</v>
      </c>
      <c r="N146" s="23">
        <f t="shared" si="2"/>
        <v>9</v>
      </c>
      <c r="O146" s="16">
        <f>ROUND('Retail Store Sales'!$F146*'Retail Store Sales'!$G146*_xlfn.XLOOKUP('Retail Store Sales'!$C146,Table2[Product Name],Table2[Cost Percentage],0),0)</f>
        <v>631</v>
      </c>
      <c r="P146" s="12">
        <f>'Retail Store Sales'!$F146*'Retail Store Sales'!$G146</f>
        <v>1052</v>
      </c>
      <c r="Q146" s="12">
        <f>P146-Table1[[#This Row],[Total cost]]</f>
        <v>421</v>
      </c>
    </row>
    <row r="147" spans="1:17" x14ac:dyDescent="0.45">
      <c r="A147" s="16" t="s">
        <v>191</v>
      </c>
      <c r="B147" s="16" t="s">
        <v>30</v>
      </c>
      <c r="C147" s="16" t="s">
        <v>78</v>
      </c>
      <c r="D147" s="17">
        <v>45490</v>
      </c>
      <c r="E147" s="17">
        <v>45504</v>
      </c>
      <c r="F147" s="16">
        <v>7</v>
      </c>
      <c r="G147" s="16">
        <v>803</v>
      </c>
      <c r="H147" s="16" t="s">
        <v>13</v>
      </c>
      <c r="I147" s="16" t="s">
        <v>546</v>
      </c>
      <c r="J147" s="16" t="s">
        <v>14</v>
      </c>
      <c r="K147" s="18" t="str">
        <f>TEXT('Retail Store Sales'!$D147,"yyyy")</f>
        <v>2024</v>
      </c>
      <c r="L147" s="15" t="str">
        <f>TEXT('Retail Store Sales'!$D147,"mmm")</f>
        <v>Jul</v>
      </c>
      <c r="M147" s="16" t="str">
        <f>TEXT('Retail Store Sales'!$D147,"dddd")</f>
        <v>Wednesday</v>
      </c>
      <c r="N147" s="24">
        <f t="shared" si="2"/>
        <v>14</v>
      </c>
      <c r="O147" s="16">
        <f>ROUND('Retail Store Sales'!$F147*'Retail Store Sales'!$G147*_xlfn.XLOOKUP('Retail Store Sales'!$C147,Table2[Product Name],Table2[Cost Percentage],0),0)</f>
        <v>3654</v>
      </c>
      <c r="P147" s="16">
        <f>'Retail Store Sales'!$F147*'Retail Store Sales'!$G147</f>
        <v>5621</v>
      </c>
      <c r="Q147" s="12">
        <f>P147-Table1[[#This Row],[Total cost]]</f>
        <v>1967</v>
      </c>
    </row>
    <row r="148" spans="1:17" x14ac:dyDescent="0.45">
      <c r="A148" s="12" t="s">
        <v>192</v>
      </c>
      <c r="B148" s="12" t="s">
        <v>30</v>
      </c>
      <c r="C148" s="12" t="s">
        <v>49</v>
      </c>
      <c r="D148" s="13">
        <v>45358</v>
      </c>
      <c r="E148" s="13">
        <v>45364</v>
      </c>
      <c r="F148" s="12">
        <v>10</v>
      </c>
      <c r="G148" s="12">
        <v>735</v>
      </c>
      <c r="H148" s="12" t="s">
        <v>27</v>
      </c>
      <c r="I148" s="12" t="s">
        <v>550</v>
      </c>
      <c r="J148" s="12" t="s">
        <v>18</v>
      </c>
      <c r="K148" s="14" t="str">
        <f>TEXT('Retail Store Sales'!$D148,"yyyy")</f>
        <v>2024</v>
      </c>
      <c r="L148" s="11" t="str">
        <f>TEXT('Retail Store Sales'!$D148,"mmm")</f>
        <v>Mar</v>
      </c>
      <c r="M148" s="12" t="str">
        <f>TEXT('Retail Store Sales'!$D148,"dddd")</f>
        <v>Thursday</v>
      </c>
      <c r="N148" s="23">
        <f t="shared" si="2"/>
        <v>6</v>
      </c>
      <c r="O148" s="16">
        <f>ROUND('Retail Store Sales'!$F148*'Retail Store Sales'!$G148*_xlfn.XLOOKUP('Retail Store Sales'!$C148,Table2[Product Name],Table2[Cost Percentage],0),0)</f>
        <v>5145</v>
      </c>
      <c r="P148" s="12">
        <f>'Retail Store Sales'!$F148*'Retail Store Sales'!$G148</f>
        <v>7350</v>
      </c>
      <c r="Q148" s="12">
        <f>P148-Table1[[#This Row],[Total cost]]</f>
        <v>2205</v>
      </c>
    </row>
    <row r="149" spans="1:17" x14ac:dyDescent="0.45">
      <c r="A149" s="16" t="s">
        <v>193</v>
      </c>
      <c r="B149" s="16" t="s">
        <v>23</v>
      </c>
      <c r="C149" s="16" t="s">
        <v>24</v>
      </c>
      <c r="D149" s="17">
        <v>45357</v>
      </c>
      <c r="E149" s="17">
        <v>45362</v>
      </c>
      <c r="F149" s="16">
        <v>9</v>
      </c>
      <c r="G149" s="16">
        <v>105</v>
      </c>
      <c r="H149" s="16" t="s">
        <v>27</v>
      </c>
      <c r="I149" s="16" t="s">
        <v>32</v>
      </c>
      <c r="J149" s="16" t="s">
        <v>45</v>
      </c>
      <c r="K149" s="18" t="str">
        <f>TEXT('Retail Store Sales'!$D149,"yyyy")</f>
        <v>2024</v>
      </c>
      <c r="L149" s="15" t="str">
        <f>TEXT('Retail Store Sales'!$D149,"mmm")</f>
        <v>Mar</v>
      </c>
      <c r="M149" s="16" t="str">
        <f>TEXT('Retail Store Sales'!$D149,"dddd")</f>
        <v>Wednesday</v>
      </c>
      <c r="N149" s="24">
        <f t="shared" si="2"/>
        <v>5</v>
      </c>
      <c r="O149" s="16">
        <f>ROUND('Retail Store Sales'!$F149*'Retail Store Sales'!$G149*_xlfn.XLOOKUP('Retail Store Sales'!$C149,Table2[Product Name],Table2[Cost Percentage],0),0)</f>
        <v>520</v>
      </c>
      <c r="P149" s="16">
        <f>'Retail Store Sales'!$F149*'Retail Store Sales'!$G149</f>
        <v>945</v>
      </c>
      <c r="Q149" s="12">
        <f>P149-Table1[[#This Row],[Total cost]]</f>
        <v>425</v>
      </c>
    </row>
    <row r="150" spans="1:17" x14ac:dyDescent="0.45">
      <c r="A150" s="12" t="s">
        <v>194</v>
      </c>
      <c r="B150" s="12" t="s">
        <v>20</v>
      </c>
      <c r="C150" s="12" t="s">
        <v>53</v>
      </c>
      <c r="D150" s="13">
        <v>45362</v>
      </c>
      <c r="E150" s="13">
        <v>45367</v>
      </c>
      <c r="F150" s="12">
        <v>3</v>
      </c>
      <c r="G150" s="12">
        <v>89</v>
      </c>
      <c r="H150" s="12" t="s">
        <v>27</v>
      </c>
      <c r="I150" s="12" t="s">
        <v>546</v>
      </c>
      <c r="J150" s="12" t="s">
        <v>45</v>
      </c>
      <c r="K150" s="14" t="str">
        <f>TEXT('Retail Store Sales'!$D150,"yyyy")</f>
        <v>2024</v>
      </c>
      <c r="L150" s="11" t="str">
        <f>TEXT('Retail Store Sales'!$D150,"mmm")</f>
        <v>Mar</v>
      </c>
      <c r="M150" s="12" t="str">
        <f>TEXT('Retail Store Sales'!$D150,"dddd")</f>
        <v>Monday</v>
      </c>
      <c r="N150" s="23">
        <f t="shared" si="2"/>
        <v>5</v>
      </c>
      <c r="O150" s="16">
        <f>ROUND('Retail Store Sales'!$F150*'Retail Store Sales'!$G150*_xlfn.XLOOKUP('Retail Store Sales'!$C150,Table2[Product Name],Table2[Cost Percentage],0),0)</f>
        <v>187</v>
      </c>
      <c r="P150" s="12">
        <f>'Retail Store Sales'!$F150*'Retail Store Sales'!$G150</f>
        <v>267</v>
      </c>
      <c r="Q150" s="12">
        <f>P150-Table1[[#This Row],[Total cost]]</f>
        <v>80</v>
      </c>
    </row>
    <row r="151" spans="1:17" x14ac:dyDescent="0.45">
      <c r="A151" s="16" t="s">
        <v>195</v>
      </c>
      <c r="B151" s="16" t="s">
        <v>16</v>
      </c>
      <c r="C151" s="16" t="s">
        <v>59</v>
      </c>
      <c r="D151" s="17">
        <v>45311</v>
      </c>
      <c r="E151" s="17">
        <v>45316</v>
      </c>
      <c r="F151" s="16">
        <v>6</v>
      </c>
      <c r="G151" s="16">
        <v>907</v>
      </c>
      <c r="H151" s="16" t="s">
        <v>13</v>
      </c>
      <c r="I151" s="16" t="s">
        <v>548</v>
      </c>
      <c r="J151" s="16" t="s">
        <v>14</v>
      </c>
      <c r="K151" s="18" t="str">
        <f>TEXT('Retail Store Sales'!$D151,"yyyy")</f>
        <v>2024</v>
      </c>
      <c r="L151" s="15" t="str">
        <f>TEXT('Retail Store Sales'!$D151,"mmm")</f>
        <v>Jan</v>
      </c>
      <c r="M151" s="16" t="str">
        <f>TEXT('Retail Store Sales'!$D151,"dddd")</f>
        <v>Saturday</v>
      </c>
      <c r="N151" s="24">
        <f t="shared" si="2"/>
        <v>5</v>
      </c>
      <c r="O151" s="16">
        <f>ROUND('Retail Store Sales'!$F151*'Retail Store Sales'!$G151*_xlfn.XLOOKUP('Retail Store Sales'!$C151,Table2[Product Name],Table2[Cost Percentage],0),0)</f>
        <v>3537</v>
      </c>
      <c r="P151" s="16">
        <f>'Retail Store Sales'!$F151*'Retail Store Sales'!$G151</f>
        <v>5442</v>
      </c>
      <c r="Q151" s="12">
        <f>P151-Table1[[#This Row],[Total cost]]</f>
        <v>1905</v>
      </c>
    </row>
    <row r="152" spans="1:17" x14ac:dyDescent="0.45">
      <c r="A152" s="12" t="s">
        <v>196</v>
      </c>
      <c r="B152" s="12" t="s">
        <v>16</v>
      </c>
      <c r="C152" s="12" t="s">
        <v>43</v>
      </c>
      <c r="D152" s="13">
        <v>45370</v>
      </c>
      <c r="E152" s="13">
        <v>45376</v>
      </c>
      <c r="F152" s="12">
        <v>3</v>
      </c>
      <c r="G152" s="12">
        <v>195</v>
      </c>
      <c r="H152" s="12" t="s">
        <v>13</v>
      </c>
      <c r="I152" s="12" t="s">
        <v>548</v>
      </c>
      <c r="J152" s="12" t="s">
        <v>14</v>
      </c>
      <c r="K152" s="14" t="str">
        <f>TEXT('Retail Store Sales'!$D152,"yyyy")</f>
        <v>2024</v>
      </c>
      <c r="L152" s="11" t="str">
        <f>TEXT('Retail Store Sales'!$D152,"mmm")</f>
        <v>Mar</v>
      </c>
      <c r="M152" s="12" t="str">
        <f>TEXT('Retail Store Sales'!$D152,"dddd")</f>
        <v>Tuesday</v>
      </c>
      <c r="N152" s="23">
        <f t="shared" si="2"/>
        <v>6</v>
      </c>
      <c r="O152" s="16">
        <f>ROUND('Retail Store Sales'!$F152*'Retail Store Sales'!$G152*_xlfn.XLOOKUP('Retail Store Sales'!$C152,Table2[Product Name],Table2[Cost Percentage],0),0)</f>
        <v>351</v>
      </c>
      <c r="P152" s="12">
        <f>'Retail Store Sales'!$F152*'Retail Store Sales'!$G152</f>
        <v>585</v>
      </c>
      <c r="Q152" s="12">
        <f>P152-Table1[[#This Row],[Total cost]]</f>
        <v>234</v>
      </c>
    </row>
    <row r="153" spans="1:17" x14ac:dyDescent="0.45">
      <c r="A153" s="16" t="s">
        <v>197</v>
      </c>
      <c r="B153" s="16" t="s">
        <v>16</v>
      </c>
      <c r="C153" s="16" t="s">
        <v>59</v>
      </c>
      <c r="D153" s="17">
        <v>45506</v>
      </c>
      <c r="E153" s="17">
        <v>45515</v>
      </c>
      <c r="F153" s="16">
        <v>3</v>
      </c>
      <c r="G153" s="16">
        <v>846</v>
      </c>
      <c r="H153" s="16" t="s">
        <v>13</v>
      </c>
      <c r="I153" s="16" t="s">
        <v>550</v>
      </c>
      <c r="J153" s="16" t="s">
        <v>45</v>
      </c>
      <c r="K153" s="18" t="str">
        <f>TEXT('Retail Store Sales'!$D153,"yyyy")</f>
        <v>2024</v>
      </c>
      <c r="L153" s="15" t="str">
        <f>TEXT('Retail Store Sales'!$D153,"mmm")</f>
        <v>Aug</v>
      </c>
      <c r="M153" s="16" t="str">
        <f>TEXT('Retail Store Sales'!$D153,"dddd")</f>
        <v>Friday</v>
      </c>
      <c r="N153" s="24">
        <f t="shared" si="2"/>
        <v>9</v>
      </c>
      <c r="O153" s="16">
        <f>ROUND('Retail Store Sales'!$F153*'Retail Store Sales'!$G153*_xlfn.XLOOKUP('Retail Store Sales'!$C153,Table2[Product Name],Table2[Cost Percentage],0),0)</f>
        <v>1650</v>
      </c>
      <c r="P153" s="16">
        <f>'Retail Store Sales'!$F153*'Retail Store Sales'!$G153</f>
        <v>2538</v>
      </c>
      <c r="Q153" s="12">
        <f>P153-Table1[[#This Row],[Total cost]]</f>
        <v>888</v>
      </c>
    </row>
    <row r="154" spans="1:17" x14ac:dyDescent="0.45">
      <c r="A154" s="12" t="s">
        <v>198</v>
      </c>
      <c r="B154" s="12" t="s">
        <v>30</v>
      </c>
      <c r="C154" s="12" t="s">
        <v>75</v>
      </c>
      <c r="D154" s="13">
        <v>45620</v>
      </c>
      <c r="E154" s="13">
        <v>45628</v>
      </c>
      <c r="F154" s="12">
        <v>8</v>
      </c>
      <c r="G154" s="12">
        <v>905</v>
      </c>
      <c r="H154" s="12" t="s">
        <v>13</v>
      </c>
      <c r="I154" s="12" t="s">
        <v>546</v>
      </c>
      <c r="J154" s="12" t="s">
        <v>45</v>
      </c>
      <c r="K154" s="14" t="str">
        <f>TEXT('Retail Store Sales'!$D154,"yyyy")</f>
        <v>2024</v>
      </c>
      <c r="L154" s="11" t="str">
        <f>TEXT('Retail Store Sales'!$D154,"mmm")</f>
        <v>Nov</v>
      </c>
      <c r="M154" s="12" t="str">
        <f>TEXT('Retail Store Sales'!$D154,"dddd")</f>
        <v>Sunday</v>
      </c>
      <c r="N154" s="23">
        <f t="shared" si="2"/>
        <v>8</v>
      </c>
      <c r="O154" s="16">
        <f>ROUND('Retail Store Sales'!$F154*'Retail Store Sales'!$G154*_xlfn.XLOOKUP('Retail Store Sales'!$C154,Table2[Product Name],Table2[Cost Percentage],0),0)</f>
        <v>5430</v>
      </c>
      <c r="P154" s="12">
        <f>'Retail Store Sales'!$F154*'Retail Store Sales'!$G154</f>
        <v>7240</v>
      </c>
      <c r="Q154" s="12">
        <f>P154-Table1[[#This Row],[Total cost]]</f>
        <v>1810</v>
      </c>
    </row>
    <row r="155" spans="1:17" x14ac:dyDescent="0.45">
      <c r="A155" s="16" t="s">
        <v>199</v>
      </c>
      <c r="B155" s="16" t="s">
        <v>11</v>
      </c>
      <c r="C155" s="16" t="s">
        <v>95</v>
      </c>
      <c r="D155" s="17">
        <v>45406</v>
      </c>
      <c r="E155" s="17">
        <v>45418</v>
      </c>
      <c r="F155" s="16">
        <v>1</v>
      </c>
      <c r="G155" s="16">
        <v>336</v>
      </c>
      <c r="H155" s="16" t="s">
        <v>13</v>
      </c>
      <c r="I155" s="16" t="s">
        <v>550</v>
      </c>
      <c r="J155" s="16" t="s">
        <v>18</v>
      </c>
      <c r="K155" s="18" t="str">
        <f>TEXT('Retail Store Sales'!$D155,"yyyy")</f>
        <v>2024</v>
      </c>
      <c r="L155" s="15" t="str">
        <f>TEXT('Retail Store Sales'!$D155,"mmm")</f>
        <v>Apr</v>
      </c>
      <c r="M155" s="16" t="str">
        <f>TEXT('Retail Store Sales'!$D155,"dddd")</f>
        <v>Wednesday</v>
      </c>
      <c r="N155" s="24">
        <f t="shared" si="2"/>
        <v>12</v>
      </c>
      <c r="O155" s="16">
        <f>ROUND('Retail Store Sales'!$F155*'Retail Store Sales'!$G155*_xlfn.XLOOKUP('Retail Store Sales'!$C155,Table2[Product Name],Table2[Cost Percentage],0),0)</f>
        <v>235</v>
      </c>
      <c r="P155" s="16">
        <f>'Retail Store Sales'!$F155*'Retail Store Sales'!$G155</f>
        <v>336</v>
      </c>
      <c r="Q155" s="12">
        <f>P155-Table1[[#This Row],[Total cost]]</f>
        <v>101</v>
      </c>
    </row>
    <row r="156" spans="1:17" x14ac:dyDescent="0.45">
      <c r="A156" s="12" t="s">
        <v>200</v>
      </c>
      <c r="B156" s="12" t="s">
        <v>20</v>
      </c>
      <c r="C156" s="12" t="s">
        <v>39</v>
      </c>
      <c r="D156" s="13">
        <v>45438</v>
      </c>
      <c r="E156" s="13">
        <v>45452</v>
      </c>
      <c r="F156" s="12">
        <v>8</v>
      </c>
      <c r="G156" s="12">
        <v>722</v>
      </c>
      <c r="H156" s="12" t="s">
        <v>27</v>
      </c>
      <c r="I156" s="12" t="s">
        <v>548</v>
      </c>
      <c r="J156" s="12" t="s">
        <v>28</v>
      </c>
      <c r="K156" s="14" t="str">
        <f>TEXT('Retail Store Sales'!$D156,"yyyy")</f>
        <v>2024</v>
      </c>
      <c r="L156" s="11" t="str">
        <f>TEXT('Retail Store Sales'!$D156,"mmm")</f>
        <v>May</v>
      </c>
      <c r="M156" s="12" t="str">
        <f>TEXT('Retail Store Sales'!$D156,"dddd")</f>
        <v>Sunday</v>
      </c>
      <c r="N156" s="23">
        <f t="shared" si="2"/>
        <v>14</v>
      </c>
      <c r="O156" s="16">
        <f>ROUND('Retail Store Sales'!$F156*'Retail Store Sales'!$G156*_xlfn.XLOOKUP('Retail Store Sales'!$C156,Table2[Product Name],Table2[Cost Percentage],0),0)</f>
        <v>3754</v>
      </c>
      <c r="P156" s="12">
        <f>'Retail Store Sales'!$F156*'Retail Store Sales'!$G156</f>
        <v>5776</v>
      </c>
      <c r="Q156" s="12">
        <f>P156-Table1[[#This Row],[Total cost]]</f>
        <v>2022</v>
      </c>
    </row>
    <row r="157" spans="1:17" x14ac:dyDescent="0.45">
      <c r="A157" s="16" t="s">
        <v>201</v>
      </c>
      <c r="B157" s="16" t="s">
        <v>11</v>
      </c>
      <c r="C157" s="16" t="s">
        <v>12</v>
      </c>
      <c r="D157" s="17">
        <v>45547</v>
      </c>
      <c r="E157" s="17">
        <v>45558</v>
      </c>
      <c r="F157" s="16">
        <v>10</v>
      </c>
      <c r="G157" s="16">
        <v>558</v>
      </c>
      <c r="H157" s="16" t="s">
        <v>27</v>
      </c>
      <c r="I157" s="16" t="s">
        <v>550</v>
      </c>
      <c r="J157" s="16" t="s">
        <v>14</v>
      </c>
      <c r="K157" s="18" t="str">
        <f>TEXT('Retail Store Sales'!$D157,"yyyy")</f>
        <v>2024</v>
      </c>
      <c r="L157" s="15" t="str">
        <f>TEXT('Retail Store Sales'!$D157,"mmm")</f>
        <v>Sep</v>
      </c>
      <c r="M157" s="16" t="str">
        <f>TEXT('Retail Store Sales'!$D157,"dddd")</f>
        <v>Thursday</v>
      </c>
      <c r="N157" s="24">
        <f t="shared" si="2"/>
        <v>11</v>
      </c>
      <c r="O157" s="16">
        <f>ROUND('Retail Store Sales'!$F157*'Retail Store Sales'!$G157*_xlfn.XLOOKUP('Retail Store Sales'!$C157,Table2[Product Name],Table2[Cost Percentage],0),0)</f>
        <v>4185</v>
      </c>
      <c r="P157" s="16">
        <f>'Retail Store Sales'!$F157*'Retail Store Sales'!$G157</f>
        <v>5580</v>
      </c>
      <c r="Q157" s="12">
        <f>P157-Table1[[#This Row],[Total cost]]</f>
        <v>1395</v>
      </c>
    </row>
    <row r="158" spans="1:17" x14ac:dyDescent="0.45">
      <c r="A158" s="12" t="s">
        <v>202</v>
      </c>
      <c r="B158" s="12" t="s">
        <v>20</v>
      </c>
      <c r="C158" s="12" t="s">
        <v>53</v>
      </c>
      <c r="D158" s="13">
        <v>45441</v>
      </c>
      <c r="E158" s="13">
        <v>45446</v>
      </c>
      <c r="F158" s="12">
        <v>7</v>
      </c>
      <c r="G158" s="12">
        <v>11</v>
      </c>
      <c r="H158" s="12" t="s">
        <v>13</v>
      </c>
      <c r="I158" s="12" t="s">
        <v>32</v>
      </c>
      <c r="J158" s="12" t="s">
        <v>14</v>
      </c>
      <c r="K158" s="14" t="str">
        <f>TEXT('Retail Store Sales'!$D158,"yyyy")</f>
        <v>2024</v>
      </c>
      <c r="L158" s="11" t="str">
        <f>TEXT('Retail Store Sales'!$D158,"mmm")</f>
        <v>May</v>
      </c>
      <c r="M158" s="12" t="str">
        <f>TEXT('Retail Store Sales'!$D158,"dddd")</f>
        <v>Wednesday</v>
      </c>
      <c r="N158" s="23">
        <f t="shared" si="2"/>
        <v>5</v>
      </c>
      <c r="O158" s="16">
        <f>ROUND('Retail Store Sales'!$F158*'Retail Store Sales'!$G158*_xlfn.XLOOKUP('Retail Store Sales'!$C158,Table2[Product Name],Table2[Cost Percentage],0),0)</f>
        <v>54</v>
      </c>
      <c r="P158" s="12">
        <f>'Retail Store Sales'!$F158*'Retail Store Sales'!$G158</f>
        <v>77</v>
      </c>
      <c r="Q158" s="12">
        <f>P158-Table1[[#This Row],[Total cost]]</f>
        <v>23</v>
      </c>
    </row>
    <row r="159" spans="1:17" x14ac:dyDescent="0.45">
      <c r="A159" s="16" t="s">
        <v>203</v>
      </c>
      <c r="B159" s="16" t="s">
        <v>16</v>
      </c>
      <c r="C159" s="16" t="s">
        <v>43</v>
      </c>
      <c r="D159" s="17">
        <v>45387</v>
      </c>
      <c r="E159" s="17">
        <v>45396</v>
      </c>
      <c r="F159" s="16">
        <v>2</v>
      </c>
      <c r="G159" s="16">
        <v>546</v>
      </c>
      <c r="H159" s="16" t="s">
        <v>27</v>
      </c>
      <c r="I159" s="16" t="s">
        <v>546</v>
      </c>
      <c r="J159" s="16" t="s">
        <v>28</v>
      </c>
      <c r="K159" s="18" t="str">
        <f>TEXT('Retail Store Sales'!$D159,"yyyy")</f>
        <v>2024</v>
      </c>
      <c r="L159" s="15" t="str">
        <f>TEXT('Retail Store Sales'!$D159,"mmm")</f>
        <v>Apr</v>
      </c>
      <c r="M159" s="16" t="str">
        <f>TEXT('Retail Store Sales'!$D159,"dddd")</f>
        <v>Friday</v>
      </c>
      <c r="N159" s="24">
        <f t="shared" si="2"/>
        <v>9</v>
      </c>
      <c r="O159" s="16">
        <f>ROUND('Retail Store Sales'!$F159*'Retail Store Sales'!$G159*_xlfn.XLOOKUP('Retail Store Sales'!$C159,Table2[Product Name],Table2[Cost Percentage],0),0)</f>
        <v>655</v>
      </c>
      <c r="P159" s="16">
        <f>'Retail Store Sales'!$F159*'Retail Store Sales'!$G159</f>
        <v>1092</v>
      </c>
      <c r="Q159" s="12">
        <f>P159-Table1[[#This Row],[Total cost]]</f>
        <v>437</v>
      </c>
    </row>
    <row r="160" spans="1:17" x14ac:dyDescent="0.45">
      <c r="A160" s="12" t="s">
        <v>204</v>
      </c>
      <c r="B160" s="12" t="s">
        <v>16</v>
      </c>
      <c r="C160" s="12" t="s">
        <v>59</v>
      </c>
      <c r="D160" s="13">
        <v>45551</v>
      </c>
      <c r="E160" s="13">
        <v>45558</v>
      </c>
      <c r="F160" s="12">
        <v>9</v>
      </c>
      <c r="G160" s="12">
        <v>30</v>
      </c>
      <c r="H160" s="12" t="s">
        <v>13</v>
      </c>
      <c r="I160" s="12" t="s">
        <v>549</v>
      </c>
      <c r="J160" s="12" t="s">
        <v>14</v>
      </c>
      <c r="K160" s="14" t="str">
        <f>TEXT('Retail Store Sales'!$D160,"yyyy")</f>
        <v>2024</v>
      </c>
      <c r="L160" s="11" t="str">
        <f>TEXT('Retail Store Sales'!$D160,"mmm")</f>
        <v>Sep</v>
      </c>
      <c r="M160" s="12" t="str">
        <f>TEXT('Retail Store Sales'!$D160,"dddd")</f>
        <v>Monday</v>
      </c>
      <c r="N160" s="23">
        <f t="shared" si="2"/>
        <v>7</v>
      </c>
      <c r="O160" s="16">
        <f>ROUND('Retail Store Sales'!$F160*'Retail Store Sales'!$G160*_xlfn.XLOOKUP('Retail Store Sales'!$C160,Table2[Product Name],Table2[Cost Percentage],0),0)</f>
        <v>176</v>
      </c>
      <c r="P160" s="12">
        <f>'Retail Store Sales'!$F160*'Retail Store Sales'!$G160</f>
        <v>270</v>
      </c>
      <c r="Q160" s="12">
        <f>P160-Table1[[#This Row],[Total cost]]</f>
        <v>94</v>
      </c>
    </row>
    <row r="161" spans="1:17" x14ac:dyDescent="0.45">
      <c r="A161" s="16" t="s">
        <v>205</v>
      </c>
      <c r="B161" s="16" t="s">
        <v>20</v>
      </c>
      <c r="C161" s="16" t="s">
        <v>39</v>
      </c>
      <c r="D161" s="17">
        <v>45589</v>
      </c>
      <c r="E161" s="17">
        <v>45608</v>
      </c>
      <c r="F161" s="16">
        <v>6</v>
      </c>
      <c r="G161" s="16">
        <v>146</v>
      </c>
      <c r="H161" s="16" t="s">
        <v>27</v>
      </c>
      <c r="I161" s="16" t="s">
        <v>550</v>
      </c>
      <c r="J161" s="16" t="s">
        <v>18</v>
      </c>
      <c r="K161" s="18" t="str">
        <f>TEXT('Retail Store Sales'!$D161,"yyyy")</f>
        <v>2024</v>
      </c>
      <c r="L161" s="15" t="str">
        <f>TEXT('Retail Store Sales'!$D161,"mmm")</f>
        <v>Oct</v>
      </c>
      <c r="M161" s="16" t="str">
        <f>TEXT('Retail Store Sales'!$D161,"dddd")</f>
        <v>Thursday</v>
      </c>
      <c r="N161" s="24">
        <f t="shared" si="2"/>
        <v>19</v>
      </c>
      <c r="O161" s="16">
        <f>ROUND('Retail Store Sales'!$F161*'Retail Store Sales'!$G161*_xlfn.XLOOKUP('Retail Store Sales'!$C161,Table2[Product Name],Table2[Cost Percentage],0),0)</f>
        <v>569</v>
      </c>
      <c r="P161" s="16">
        <f>'Retail Store Sales'!$F161*'Retail Store Sales'!$G161</f>
        <v>876</v>
      </c>
      <c r="Q161" s="12">
        <f>P161-Table1[[#This Row],[Total cost]]</f>
        <v>307</v>
      </c>
    </row>
    <row r="162" spans="1:17" x14ac:dyDescent="0.45">
      <c r="A162" s="12" t="s">
        <v>206</v>
      </c>
      <c r="B162" s="12" t="s">
        <v>30</v>
      </c>
      <c r="C162" s="12" t="s">
        <v>41</v>
      </c>
      <c r="D162" s="13">
        <v>45642</v>
      </c>
      <c r="E162" s="13">
        <v>45646</v>
      </c>
      <c r="F162" s="12">
        <v>8</v>
      </c>
      <c r="G162" s="12">
        <v>722</v>
      </c>
      <c r="H162" s="12" t="s">
        <v>13</v>
      </c>
      <c r="I162" s="12" t="s">
        <v>549</v>
      </c>
      <c r="J162" s="12" t="s">
        <v>45</v>
      </c>
      <c r="K162" s="14" t="str">
        <f>TEXT('Retail Store Sales'!$D162,"yyyy")</f>
        <v>2024</v>
      </c>
      <c r="L162" s="11" t="str">
        <f>TEXT('Retail Store Sales'!$D162,"mmm")</f>
        <v>Dec</v>
      </c>
      <c r="M162" s="12" t="str">
        <f>TEXT('Retail Store Sales'!$D162,"dddd")</f>
        <v>Monday</v>
      </c>
      <c r="N162" s="23">
        <f t="shared" si="2"/>
        <v>4</v>
      </c>
      <c r="O162" s="16">
        <f>ROUND('Retail Store Sales'!$F162*'Retail Store Sales'!$G162*_xlfn.XLOOKUP('Retail Store Sales'!$C162,Table2[Product Name],Table2[Cost Percentage],0),0)</f>
        <v>3754</v>
      </c>
      <c r="P162" s="12">
        <f>'Retail Store Sales'!$F162*'Retail Store Sales'!$G162</f>
        <v>5776</v>
      </c>
      <c r="Q162" s="12">
        <f>P162-Table1[[#This Row],[Total cost]]</f>
        <v>2022</v>
      </c>
    </row>
    <row r="163" spans="1:17" x14ac:dyDescent="0.45">
      <c r="A163" s="16" t="s">
        <v>207</v>
      </c>
      <c r="B163" s="16" t="s">
        <v>11</v>
      </c>
      <c r="C163" s="16" t="s">
        <v>26</v>
      </c>
      <c r="D163" s="17">
        <v>45310</v>
      </c>
      <c r="E163" s="17">
        <v>45324</v>
      </c>
      <c r="F163" s="16">
        <v>5</v>
      </c>
      <c r="G163" s="16">
        <v>216</v>
      </c>
      <c r="H163" s="16" t="s">
        <v>13</v>
      </c>
      <c r="I163" s="16" t="s">
        <v>550</v>
      </c>
      <c r="J163" s="16" t="s">
        <v>45</v>
      </c>
      <c r="K163" s="18" t="str">
        <f>TEXT('Retail Store Sales'!$D163,"yyyy")</f>
        <v>2024</v>
      </c>
      <c r="L163" s="15" t="str">
        <f>TEXT('Retail Store Sales'!$D163,"mmm")</f>
        <v>Jan</v>
      </c>
      <c r="M163" s="16" t="str">
        <f>TEXT('Retail Store Sales'!$D163,"dddd")</f>
        <v>Friday</v>
      </c>
      <c r="N163" s="24">
        <f t="shared" si="2"/>
        <v>14</v>
      </c>
      <c r="O163" s="16">
        <f>ROUND('Retail Store Sales'!$F163*'Retail Store Sales'!$G163*_xlfn.XLOOKUP('Retail Store Sales'!$C163,Table2[Product Name],Table2[Cost Percentage],0),0)</f>
        <v>702</v>
      </c>
      <c r="P163" s="16">
        <f>'Retail Store Sales'!$F163*'Retail Store Sales'!$G163</f>
        <v>1080</v>
      </c>
      <c r="Q163" s="12">
        <f>P163-Table1[[#This Row],[Total cost]]</f>
        <v>378</v>
      </c>
    </row>
    <row r="164" spans="1:17" x14ac:dyDescent="0.45">
      <c r="A164" s="12" t="s">
        <v>208</v>
      </c>
      <c r="B164" s="12" t="s">
        <v>11</v>
      </c>
      <c r="C164" s="12" t="s">
        <v>57</v>
      </c>
      <c r="D164" s="13">
        <v>45438</v>
      </c>
      <c r="E164" s="13">
        <v>45445</v>
      </c>
      <c r="F164" s="12">
        <v>6</v>
      </c>
      <c r="G164" s="12">
        <v>892</v>
      </c>
      <c r="H164" s="12" t="s">
        <v>27</v>
      </c>
      <c r="I164" s="12" t="s">
        <v>548</v>
      </c>
      <c r="J164" s="12" t="s">
        <v>18</v>
      </c>
      <c r="K164" s="14" t="str">
        <f>TEXT('Retail Store Sales'!$D164,"yyyy")</f>
        <v>2024</v>
      </c>
      <c r="L164" s="11" t="str">
        <f>TEXT('Retail Store Sales'!$D164,"mmm")</f>
        <v>May</v>
      </c>
      <c r="M164" s="12" t="str">
        <f>TEXT('Retail Store Sales'!$D164,"dddd")</f>
        <v>Sunday</v>
      </c>
      <c r="N164" s="23">
        <f t="shared" si="2"/>
        <v>7</v>
      </c>
      <c r="O164" s="16">
        <f>ROUND('Retail Store Sales'!$F164*'Retail Store Sales'!$G164*_xlfn.XLOOKUP('Retail Store Sales'!$C164,Table2[Product Name],Table2[Cost Percentage],0),0)</f>
        <v>4549</v>
      </c>
      <c r="P164" s="12">
        <f>'Retail Store Sales'!$F164*'Retail Store Sales'!$G164</f>
        <v>5352</v>
      </c>
      <c r="Q164" s="12">
        <f>P164-Table1[[#This Row],[Total cost]]</f>
        <v>803</v>
      </c>
    </row>
    <row r="165" spans="1:17" x14ac:dyDescent="0.45">
      <c r="A165" s="16" t="s">
        <v>209</v>
      </c>
      <c r="B165" s="16" t="s">
        <v>11</v>
      </c>
      <c r="C165" s="16" t="s">
        <v>26</v>
      </c>
      <c r="D165" s="17">
        <v>45332</v>
      </c>
      <c r="E165" s="17">
        <v>45340</v>
      </c>
      <c r="F165" s="16">
        <v>7</v>
      </c>
      <c r="G165" s="16">
        <v>626</v>
      </c>
      <c r="H165" s="16" t="s">
        <v>27</v>
      </c>
      <c r="I165" s="16" t="s">
        <v>548</v>
      </c>
      <c r="J165" s="16" t="s">
        <v>28</v>
      </c>
      <c r="K165" s="18" t="str">
        <f>TEXT('Retail Store Sales'!$D165,"yyyy")</f>
        <v>2024</v>
      </c>
      <c r="L165" s="15" t="str">
        <f>TEXT('Retail Store Sales'!$D165,"mmm")</f>
        <v>Feb</v>
      </c>
      <c r="M165" s="16" t="str">
        <f>TEXT('Retail Store Sales'!$D165,"dddd")</f>
        <v>Saturday</v>
      </c>
      <c r="N165" s="24">
        <f t="shared" si="2"/>
        <v>8</v>
      </c>
      <c r="O165" s="16">
        <f>ROUND('Retail Store Sales'!$F165*'Retail Store Sales'!$G165*_xlfn.XLOOKUP('Retail Store Sales'!$C165,Table2[Product Name],Table2[Cost Percentage],0),0)</f>
        <v>2848</v>
      </c>
      <c r="P165" s="16">
        <f>'Retail Store Sales'!$F165*'Retail Store Sales'!$G165</f>
        <v>4382</v>
      </c>
      <c r="Q165" s="12">
        <f>P165-Table1[[#This Row],[Total cost]]</f>
        <v>1534</v>
      </c>
    </row>
    <row r="166" spans="1:17" x14ac:dyDescent="0.45">
      <c r="A166" s="12" t="s">
        <v>210</v>
      </c>
      <c r="B166" s="12" t="s">
        <v>11</v>
      </c>
      <c r="C166" s="12" t="s">
        <v>95</v>
      </c>
      <c r="D166" s="13">
        <v>45606</v>
      </c>
      <c r="E166" s="13">
        <v>45620</v>
      </c>
      <c r="F166" s="12">
        <v>7</v>
      </c>
      <c r="G166" s="12">
        <v>291</v>
      </c>
      <c r="H166" s="12" t="s">
        <v>13</v>
      </c>
      <c r="I166" s="12" t="s">
        <v>32</v>
      </c>
      <c r="J166" s="12" t="s">
        <v>18</v>
      </c>
      <c r="K166" s="14" t="str">
        <f>TEXT('Retail Store Sales'!$D166,"yyyy")</f>
        <v>2024</v>
      </c>
      <c r="L166" s="11" t="str">
        <f>TEXT('Retail Store Sales'!$D166,"mmm")</f>
        <v>Nov</v>
      </c>
      <c r="M166" s="12" t="str">
        <f>TEXT('Retail Store Sales'!$D166,"dddd")</f>
        <v>Sunday</v>
      </c>
      <c r="N166" s="23">
        <f t="shared" si="2"/>
        <v>14</v>
      </c>
      <c r="O166" s="16">
        <f>ROUND('Retail Store Sales'!$F166*'Retail Store Sales'!$G166*_xlfn.XLOOKUP('Retail Store Sales'!$C166,Table2[Product Name],Table2[Cost Percentage],0),0)</f>
        <v>1426</v>
      </c>
      <c r="P166" s="12">
        <f>'Retail Store Sales'!$F166*'Retail Store Sales'!$G166</f>
        <v>2037</v>
      </c>
      <c r="Q166" s="12">
        <f>P166-Table1[[#This Row],[Total cost]]</f>
        <v>611</v>
      </c>
    </row>
    <row r="167" spans="1:17" x14ac:dyDescent="0.45">
      <c r="A167" s="16" t="s">
        <v>211</v>
      </c>
      <c r="B167" s="16" t="s">
        <v>23</v>
      </c>
      <c r="C167" s="16" t="s">
        <v>24</v>
      </c>
      <c r="D167" s="17">
        <v>45554</v>
      </c>
      <c r="E167" s="17">
        <v>45574</v>
      </c>
      <c r="F167" s="16">
        <v>3</v>
      </c>
      <c r="G167" s="16">
        <v>985</v>
      </c>
      <c r="H167" s="16" t="s">
        <v>27</v>
      </c>
      <c r="I167" s="16" t="s">
        <v>550</v>
      </c>
      <c r="J167" s="16" t="s">
        <v>28</v>
      </c>
      <c r="K167" s="18" t="str">
        <f>TEXT('Retail Store Sales'!$D167,"yyyy")</f>
        <v>2024</v>
      </c>
      <c r="L167" s="15" t="str">
        <f>TEXT('Retail Store Sales'!$D167,"mmm")</f>
        <v>Sep</v>
      </c>
      <c r="M167" s="16" t="str">
        <f>TEXT('Retail Store Sales'!$D167,"dddd")</f>
        <v>Thursday</v>
      </c>
      <c r="N167" s="24">
        <f t="shared" si="2"/>
        <v>20</v>
      </c>
      <c r="O167" s="16">
        <f>ROUND('Retail Store Sales'!$F167*'Retail Store Sales'!$G167*_xlfn.XLOOKUP('Retail Store Sales'!$C167,Table2[Product Name],Table2[Cost Percentage],0),0)</f>
        <v>1625</v>
      </c>
      <c r="P167" s="16">
        <f>'Retail Store Sales'!$F167*'Retail Store Sales'!$G167</f>
        <v>2955</v>
      </c>
      <c r="Q167" s="12">
        <f>P167-Table1[[#This Row],[Total cost]]</f>
        <v>1330</v>
      </c>
    </row>
    <row r="168" spans="1:17" x14ac:dyDescent="0.45">
      <c r="A168" s="12" t="s">
        <v>212</v>
      </c>
      <c r="B168" s="12" t="s">
        <v>16</v>
      </c>
      <c r="C168" s="12" t="s">
        <v>43</v>
      </c>
      <c r="D168" s="13">
        <v>45579</v>
      </c>
      <c r="E168" s="13">
        <v>45592</v>
      </c>
      <c r="F168" s="12">
        <v>2</v>
      </c>
      <c r="G168" s="12">
        <v>278</v>
      </c>
      <c r="H168" s="12" t="s">
        <v>27</v>
      </c>
      <c r="I168" s="12" t="s">
        <v>548</v>
      </c>
      <c r="J168" s="12" t="s">
        <v>14</v>
      </c>
      <c r="K168" s="14" t="str">
        <f>TEXT('Retail Store Sales'!$D168,"yyyy")</f>
        <v>2024</v>
      </c>
      <c r="L168" s="11" t="str">
        <f>TEXT('Retail Store Sales'!$D168,"mmm")</f>
        <v>Oct</v>
      </c>
      <c r="M168" s="12" t="str">
        <f>TEXT('Retail Store Sales'!$D168,"dddd")</f>
        <v>Monday</v>
      </c>
      <c r="N168" s="23">
        <f t="shared" si="2"/>
        <v>13</v>
      </c>
      <c r="O168" s="16">
        <f>ROUND('Retail Store Sales'!$F168*'Retail Store Sales'!$G168*_xlfn.XLOOKUP('Retail Store Sales'!$C168,Table2[Product Name],Table2[Cost Percentage],0),0)</f>
        <v>334</v>
      </c>
      <c r="P168" s="12">
        <f>'Retail Store Sales'!$F168*'Retail Store Sales'!$G168</f>
        <v>556</v>
      </c>
      <c r="Q168" s="12">
        <f>P168-Table1[[#This Row],[Total cost]]</f>
        <v>222</v>
      </c>
    </row>
    <row r="169" spans="1:17" x14ac:dyDescent="0.45">
      <c r="A169" s="16" t="s">
        <v>213</v>
      </c>
      <c r="B169" s="16" t="s">
        <v>23</v>
      </c>
      <c r="C169" s="16" t="s">
        <v>99</v>
      </c>
      <c r="D169" s="17">
        <v>45605</v>
      </c>
      <c r="E169" s="17">
        <v>45612</v>
      </c>
      <c r="F169" s="16">
        <v>5</v>
      </c>
      <c r="G169" s="16">
        <v>720</v>
      </c>
      <c r="H169" s="16" t="s">
        <v>13</v>
      </c>
      <c r="I169" s="16" t="s">
        <v>549</v>
      </c>
      <c r="J169" s="16" t="s">
        <v>18</v>
      </c>
      <c r="K169" s="18" t="str">
        <f>TEXT('Retail Store Sales'!$D169,"yyyy")</f>
        <v>2024</v>
      </c>
      <c r="L169" s="15" t="str">
        <f>TEXT('Retail Store Sales'!$D169,"mmm")</f>
        <v>Nov</v>
      </c>
      <c r="M169" s="16" t="str">
        <f>TEXT('Retail Store Sales'!$D169,"dddd")</f>
        <v>Saturday</v>
      </c>
      <c r="N169" s="24">
        <f t="shared" si="2"/>
        <v>7</v>
      </c>
      <c r="O169" s="16">
        <f>ROUND('Retail Store Sales'!$F169*'Retail Store Sales'!$G169*_xlfn.XLOOKUP('Retail Store Sales'!$C169,Table2[Product Name],Table2[Cost Percentage],0),0)</f>
        <v>2160</v>
      </c>
      <c r="P169" s="16">
        <f>'Retail Store Sales'!$F169*'Retail Store Sales'!$G169</f>
        <v>3600</v>
      </c>
      <c r="Q169" s="12">
        <f>P169-Table1[[#This Row],[Total cost]]</f>
        <v>1440</v>
      </c>
    </row>
    <row r="170" spans="1:17" x14ac:dyDescent="0.45">
      <c r="A170" s="12" t="s">
        <v>214</v>
      </c>
      <c r="B170" s="12" t="s">
        <v>20</v>
      </c>
      <c r="C170" s="12" t="s">
        <v>39</v>
      </c>
      <c r="D170" s="13">
        <v>45523</v>
      </c>
      <c r="E170" s="13">
        <v>45536</v>
      </c>
      <c r="F170" s="12">
        <v>3</v>
      </c>
      <c r="G170" s="12">
        <v>930</v>
      </c>
      <c r="H170" s="12" t="s">
        <v>13</v>
      </c>
      <c r="I170" s="12" t="s">
        <v>32</v>
      </c>
      <c r="J170" s="12" t="s">
        <v>28</v>
      </c>
      <c r="K170" s="14" t="str">
        <f>TEXT('Retail Store Sales'!$D170,"yyyy")</f>
        <v>2024</v>
      </c>
      <c r="L170" s="11" t="str">
        <f>TEXT('Retail Store Sales'!$D170,"mmm")</f>
        <v>Aug</v>
      </c>
      <c r="M170" s="12" t="str">
        <f>TEXT('Retail Store Sales'!$D170,"dddd")</f>
        <v>Monday</v>
      </c>
      <c r="N170" s="23">
        <f t="shared" si="2"/>
        <v>13</v>
      </c>
      <c r="O170" s="16">
        <f>ROUND('Retail Store Sales'!$F170*'Retail Store Sales'!$G170*_xlfn.XLOOKUP('Retail Store Sales'!$C170,Table2[Product Name],Table2[Cost Percentage],0),0)</f>
        <v>1814</v>
      </c>
      <c r="P170" s="12">
        <f>'Retail Store Sales'!$F170*'Retail Store Sales'!$G170</f>
        <v>2790</v>
      </c>
      <c r="Q170" s="12">
        <f>P170-Table1[[#This Row],[Total cost]]</f>
        <v>976</v>
      </c>
    </row>
    <row r="171" spans="1:17" x14ac:dyDescent="0.45">
      <c r="A171" s="16" t="s">
        <v>215</v>
      </c>
      <c r="B171" s="16" t="s">
        <v>20</v>
      </c>
      <c r="C171" s="16" t="s">
        <v>53</v>
      </c>
      <c r="D171" s="17">
        <v>45477</v>
      </c>
      <c r="E171" s="17">
        <v>45490</v>
      </c>
      <c r="F171" s="16">
        <v>9</v>
      </c>
      <c r="G171" s="16">
        <v>239</v>
      </c>
      <c r="H171" s="16" t="s">
        <v>13</v>
      </c>
      <c r="I171" s="16" t="s">
        <v>550</v>
      </c>
      <c r="J171" s="16" t="s">
        <v>28</v>
      </c>
      <c r="K171" s="18" t="str">
        <f>TEXT('Retail Store Sales'!$D171,"yyyy")</f>
        <v>2024</v>
      </c>
      <c r="L171" s="15" t="str">
        <f>TEXT('Retail Store Sales'!$D171,"mmm")</f>
        <v>Jul</v>
      </c>
      <c r="M171" s="16" t="str">
        <f>TEXT('Retail Store Sales'!$D171,"dddd")</f>
        <v>Thursday</v>
      </c>
      <c r="N171" s="24">
        <f t="shared" si="2"/>
        <v>13</v>
      </c>
      <c r="O171" s="16">
        <f>ROUND('Retail Store Sales'!$F171*'Retail Store Sales'!$G171*_xlfn.XLOOKUP('Retail Store Sales'!$C171,Table2[Product Name],Table2[Cost Percentage],0),0)</f>
        <v>1506</v>
      </c>
      <c r="P171" s="16">
        <f>'Retail Store Sales'!$F171*'Retail Store Sales'!$G171</f>
        <v>2151</v>
      </c>
      <c r="Q171" s="12">
        <f>P171-Table1[[#This Row],[Total cost]]</f>
        <v>645</v>
      </c>
    </row>
    <row r="172" spans="1:17" x14ac:dyDescent="0.45">
      <c r="A172" s="12" t="s">
        <v>216</v>
      </c>
      <c r="B172" s="12" t="s">
        <v>16</v>
      </c>
      <c r="C172" s="12" t="s">
        <v>63</v>
      </c>
      <c r="D172" s="13">
        <v>45605</v>
      </c>
      <c r="E172" s="13">
        <v>45618</v>
      </c>
      <c r="F172" s="12">
        <v>2</v>
      </c>
      <c r="G172" s="12">
        <v>77</v>
      </c>
      <c r="H172" s="12" t="s">
        <v>27</v>
      </c>
      <c r="I172" s="12" t="s">
        <v>546</v>
      </c>
      <c r="J172" s="12" t="s">
        <v>18</v>
      </c>
      <c r="K172" s="14" t="str">
        <f>TEXT('Retail Store Sales'!$D172,"yyyy")</f>
        <v>2024</v>
      </c>
      <c r="L172" s="11" t="str">
        <f>TEXT('Retail Store Sales'!$D172,"mmm")</f>
        <v>Nov</v>
      </c>
      <c r="M172" s="12" t="str">
        <f>TEXT('Retail Store Sales'!$D172,"dddd")</f>
        <v>Saturday</v>
      </c>
      <c r="N172" s="23">
        <f t="shared" si="2"/>
        <v>13</v>
      </c>
      <c r="O172" s="16">
        <f>ROUND('Retail Store Sales'!$F172*'Retail Store Sales'!$G172*_xlfn.XLOOKUP('Retail Store Sales'!$C172,Table2[Product Name],Table2[Cost Percentage],0),0)</f>
        <v>77</v>
      </c>
      <c r="P172" s="12">
        <f>'Retail Store Sales'!$F172*'Retail Store Sales'!$G172</f>
        <v>154</v>
      </c>
      <c r="Q172" s="12">
        <f>P172-Table1[[#This Row],[Total cost]]</f>
        <v>77</v>
      </c>
    </row>
    <row r="173" spans="1:17" x14ac:dyDescent="0.45">
      <c r="A173" s="16" t="s">
        <v>217</v>
      </c>
      <c r="B173" s="16" t="s">
        <v>23</v>
      </c>
      <c r="C173" s="16" t="s">
        <v>69</v>
      </c>
      <c r="D173" s="17">
        <v>45502</v>
      </c>
      <c r="E173" s="17">
        <v>45512</v>
      </c>
      <c r="F173" s="16">
        <v>7</v>
      </c>
      <c r="G173" s="16">
        <v>853</v>
      </c>
      <c r="H173" s="16" t="s">
        <v>13</v>
      </c>
      <c r="I173" s="16" t="s">
        <v>32</v>
      </c>
      <c r="J173" s="16" t="s">
        <v>14</v>
      </c>
      <c r="K173" s="18" t="str">
        <f>TEXT('Retail Store Sales'!$D173,"yyyy")</f>
        <v>2024</v>
      </c>
      <c r="L173" s="15" t="str">
        <f>TEXT('Retail Store Sales'!$D173,"mmm")</f>
        <v>Jul</v>
      </c>
      <c r="M173" s="16" t="str">
        <f>TEXT('Retail Store Sales'!$D173,"dddd")</f>
        <v>Monday</v>
      </c>
      <c r="N173" s="24">
        <f t="shared" si="2"/>
        <v>10</v>
      </c>
      <c r="O173" s="16">
        <f>ROUND('Retail Store Sales'!$F173*'Retail Store Sales'!$G173*_xlfn.XLOOKUP('Retail Store Sales'!$C173,Table2[Product Name],Table2[Cost Percentage],0),0)</f>
        <v>3284</v>
      </c>
      <c r="P173" s="16">
        <f>'Retail Store Sales'!$F173*'Retail Store Sales'!$G173</f>
        <v>5971</v>
      </c>
      <c r="Q173" s="12">
        <f>P173-Table1[[#This Row],[Total cost]]</f>
        <v>2687</v>
      </c>
    </row>
    <row r="174" spans="1:17" x14ac:dyDescent="0.45">
      <c r="A174" s="12" t="s">
        <v>218</v>
      </c>
      <c r="B174" s="12" t="s">
        <v>30</v>
      </c>
      <c r="C174" s="12" t="s">
        <v>75</v>
      </c>
      <c r="D174" s="13">
        <v>45522</v>
      </c>
      <c r="E174" s="13">
        <v>45529</v>
      </c>
      <c r="F174" s="12">
        <v>8</v>
      </c>
      <c r="G174" s="12">
        <v>706</v>
      </c>
      <c r="H174" s="12" t="s">
        <v>13</v>
      </c>
      <c r="I174" s="12" t="s">
        <v>32</v>
      </c>
      <c r="J174" s="12" t="s">
        <v>14</v>
      </c>
      <c r="K174" s="14" t="str">
        <f>TEXT('Retail Store Sales'!$D174,"yyyy")</f>
        <v>2024</v>
      </c>
      <c r="L174" s="11" t="str">
        <f>TEXT('Retail Store Sales'!$D174,"mmm")</f>
        <v>Aug</v>
      </c>
      <c r="M174" s="12" t="str">
        <f>TEXT('Retail Store Sales'!$D174,"dddd")</f>
        <v>Sunday</v>
      </c>
      <c r="N174" s="23">
        <f t="shared" si="2"/>
        <v>7</v>
      </c>
      <c r="O174" s="16">
        <f>ROUND('Retail Store Sales'!$F174*'Retail Store Sales'!$G174*_xlfn.XLOOKUP('Retail Store Sales'!$C174,Table2[Product Name],Table2[Cost Percentage],0),0)</f>
        <v>4236</v>
      </c>
      <c r="P174" s="12">
        <f>'Retail Store Sales'!$F174*'Retail Store Sales'!$G174</f>
        <v>5648</v>
      </c>
      <c r="Q174" s="12">
        <f>P174-Table1[[#This Row],[Total cost]]</f>
        <v>1412</v>
      </c>
    </row>
    <row r="175" spans="1:17" x14ac:dyDescent="0.45">
      <c r="A175" s="16" t="s">
        <v>219</v>
      </c>
      <c r="B175" s="16" t="s">
        <v>16</v>
      </c>
      <c r="C175" s="16" t="s">
        <v>59</v>
      </c>
      <c r="D175" s="17">
        <v>45385</v>
      </c>
      <c r="E175" s="17">
        <v>45393</v>
      </c>
      <c r="F175" s="16">
        <v>3</v>
      </c>
      <c r="G175" s="16">
        <v>453</v>
      </c>
      <c r="H175" s="16" t="s">
        <v>13</v>
      </c>
      <c r="I175" s="16" t="s">
        <v>32</v>
      </c>
      <c r="J175" s="16" t="s">
        <v>28</v>
      </c>
      <c r="K175" s="18" t="str">
        <f>TEXT('Retail Store Sales'!$D175,"yyyy")</f>
        <v>2024</v>
      </c>
      <c r="L175" s="15" t="str">
        <f>TEXT('Retail Store Sales'!$D175,"mmm")</f>
        <v>Apr</v>
      </c>
      <c r="M175" s="16" t="str">
        <f>TEXT('Retail Store Sales'!$D175,"dddd")</f>
        <v>Wednesday</v>
      </c>
      <c r="N175" s="24">
        <f t="shared" si="2"/>
        <v>8</v>
      </c>
      <c r="O175" s="16">
        <f>ROUND('Retail Store Sales'!$F175*'Retail Store Sales'!$G175*_xlfn.XLOOKUP('Retail Store Sales'!$C175,Table2[Product Name],Table2[Cost Percentage],0),0)</f>
        <v>883</v>
      </c>
      <c r="P175" s="16">
        <f>'Retail Store Sales'!$F175*'Retail Store Sales'!$G175</f>
        <v>1359</v>
      </c>
      <c r="Q175" s="12">
        <f>P175-Table1[[#This Row],[Total cost]]</f>
        <v>476</v>
      </c>
    </row>
    <row r="176" spans="1:17" x14ac:dyDescent="0.45">
      <c r="A176" s="12" t="s">
        <v>220</v>
      </c>
      <c r="B176" s="12" t="s">
        <v>20</v>
      </c>
      <c r="C176" s="12" t="s">
        <v>82</v>
      </c>
      <c r="D176" s="13">
        <v>45606</v>
      </c>
      <c r="E176" s="13">
        <v>45614</v>
      </c>
      <c r="F176" s="12">
        <v>9</v>
      </c>
      <c r="G176" s="12">
        <v>105</v>
      </c>
      <c r="H176" s="12" t="s">
        <v>27</v>
      </c>
      <c r="I176" s="12" t="s">
        <v>32</v>
      </c>
      <c r="J176" s="12" t="s">
        <v>28</v>
      </c>
      <c r="K176" s="14" t="str">
        <f>TEXT('Retail Store Sales'!$D176,"yyyy")</f>
        <v>2024</v>
      </c>
      <c r="L176" s="11" t="str">
        <f>TEXT('Retail Store Sales'!$D176,"mmm")</f>
        <v>Nov</v>
      </c>
      <c r="M176" s="12" t="str">
        <f>TEXT('Retail Store Sales'!$D176,"dddd")</f>
        <v>Sunday</v>
      </c>
      <c r="N176" s="23">
        <f t="shared" si="2"/>
        <v>8</v>
      </c>
      <c r="O176" s="16">
        <f>ROUND('Retail Store Sales'!$F176*'Retail Store Sales'!$G176*_xlfn.XLOOKUP('Retail Store Sales'!$C176,Table2[Product Name],Table2[Cost Percentage],0),0)</f>
        <v>756</v>
      </c>
      <c r="P176" s="12">
        <f>'Retail Store Sales'!$F176*'Retail Store Sales'!$G176</f>
        <v>945</v>
      </c>
      <c r="Q176" s="12">
        <f>P176-Table1[[#This Row],[Total cost]]</f>
        <v>189</v>
      </c>
    </row>
    <row r="177" spans="1:17" x14ac:dyDescent="0.45">
      <c r="A177" s="16" t="s">
        <v>221</v>
      </c>
      <c r="B177" s="16" t="s">
        <v>16</v>
      </c>
      <c r="C177" s="16" t="s">
        <v>63</v>
      </c>
      <c r="D177" s="17">
        <v>45379</v>
      </c>
      <c r="E177" s="17">
        <v>45390</v>
      </c>
      <c r="F177" s="16">
        <v>10</v>
      </c>
      <c r="G177" s="16">
        <v>747</v>
      </c>
      <c r="H177" s="16" t="s">
        <v>27</v>
      </c>
      <c r="I177" s="16" t="s">
        <v>32</v>
      </c>
      <c r="J177" s="16" t="s">
        <v>28</v>
      </c>
      <c r="K177" s="18" t="str">
        <f>TEXT('Retail Store Sales'!$D177,"yyyy")</f>
        <v>2024</v>
      </c>
      <c r="L177" s="15" t="str">
        <f>TEXT('Retail Store Sales'!$D177,"mmm")</f>
        <v>Mar</v>
      </c>
      <c r="M177" s="16" t="str">
        <f>TEXT('Retail Store Sales'!$D177,"dddd")</f>
        <v>Thursday</v>
      </c>
      <c r="N177" s="24">
        <f t="shared" si="2"/>
        <v>11</v>
      </c>
      <c r="O177" s="16">
        <f>ROUND('Retail Store Sales'!$F177*'Retail Store Sales'!$G177*_xlfn.XLOOKUP('Retail Store Sales'!$C177,Table2[Product Name],Table2[Cost Percentage],0),0)</f>
        <v>3735</v>
      </c>
      <c r="P177" s="16">
        <f>'Retail Store Sales'!$F177*'Retail Store Sales'!$G177</f>
        <v>7470</v>
      </c>
      <c r="Q177" s="12">
        <f>P177-Table1[[#This Row],[Total cost]]</f>
        <v>3735</v>
      </c>
    </row>
    <row r="178" spans="1:17" x14ac:dyDescent="0.45">
      <c r="A178" s="12" t="s">
        <v>222</v>
      </c>
      <c r="B178" s="12" t="s">
        <v>20</v>
      </c>
      <c r="C178" s="12" t="s">
        <v>51</v>
      </c>
      <c r="D178" s="13">
        <v>45505</v>
      </c>
      <c r="E178" s="13">
        <v>45515</v>
      </c>
      <c r="F178" s="12">
        <v>10</v>
      </c>
      <c r="G178" s="12">
        <v>664</v>
      </c>
      <c r="H178" s="12" t="s">
        <v>27</v>
      </c>
      <c r="I178" s="12" t="s">
        <v>550</v>
      </c>
      <c r="J178" s="12" t="s">
        <v>45</v>
      </c>
      <c r="K178" s="14" t="str">
        <f>TEXT('Retail Store Sales'!$D178,"yyyy")</f>
        <v>2024</v>
      </c>
      <c r="L178" s="11" t="str">
        <f>TEXT('Retail Store Sales'!$D178,"mmm")</f>
        <v>Aug</v>
      </c>
      <c r="M178" s="12" t="str">
        <f>TEXT('Retail Store Sales'!$D178,"dddd")</f>
        <v>Thursday</v>
      </c>
      <c r="N178" s="23">
        <f t="shared" si="2"/>
        <v>10</v>
      </c>
      <c r="O178" s="16">
        <f>ROUND('Retail Store Sales'!$F178*'Retail Store Sales'!$G178*_xlfn.XLOOKUP('Retail Store Sales'!$C178,Table2[Product Name],Table2[Cost Percentage],0),0)</f>
        <v>4648</v>
      </c>
      <c r="P178" s="12">
        <f>'Retail Store Sales'!$F178*'Retail Store Sales'!$G178</f>
        <v>6640</v>
      </c>
      <c r="Q178" s="12">
        <f>P178-Table1[[#This Row],[Total cost]]</f>
        <v>1992</v>
      </c>
    </row>
    <row r="179" spans="1:17" x14ac:dyDescent="0.45">
      <c r="A179" s="16" t="s">
        <v>223</v>
      </c>
      <c r="B179" s="16" t="s">
        <v>23</v>
      </c>
      <c r="C179" s="16" t="s">
        <v>99</v>
      </c>
      <c r="D179" s="17">
        <v>45466</v>
      </c>
      <c r="E179" s="17">
        <v>45470</v>
      </c>
      <c r="F179" s="16">
        <v>10</v>
      </c>
      <c r="G179" s="16">
        <v>157</v>
      </c>
      <c r="H179" s="16" t="s">
        <v>27</v>
      </c>
      <c r="I179" s="16" t="s">
        <v>546</v>
      </c>
      <c r="J179" s="16" t="s">
        <v>45</v>
      </c>
      <c r="K179" s="18" t="str">
        <f>TEXT('Retail Store Sales'!$D179,"yyyy")</f>
        <v>2024</v>
      </c>
      <c r="L179" s="15" t="str">
        <f>TEXT('Retail Store Sales'!$D179,"mmm")</f>
        <v>Jun</v>
      </c>
      <c r="M179" s="16" t="str">
        <f>TEXT('Retail Store Sales'!$D179,"dddd")</f>
        <v>Sunday</v>
      </c>
      <c r="N179" s="24">
        <f t="shared" si="2"/>
        <v>4</v>
      </c>
      <c r="O179" s="16">
        <f>ROUND('Retail Store Sales'!$F179*'Retail Store Sales'!$G179*_xlfn.XLOOKUP('Retail Store Sales'!$C179,Table2[Product Name],Table2[Cost Percentage],0),0)</f>
        <v>942</v>
      </c>
      <c r="P179" s="16">
        <f>'Retail Store Sales'!$F179*'Retail Store Sales'!$G179</f>
        <v>1570</v>
      </c>
      <c r="Q179" s="12">
        <f>P179-Table1[[#This Row],[Total cost]]</f>
        <v>628</v>
      </c>
    </row>
    <row r="180" spans="1:17" x14ac:dyDescent="0.45">
      <c r="A180" s="12" t="s">
        <v>224</v>
      </c>
      <c r="B180" s="12" t="s">
        <v>20</v>
      </c>
      <c r="C180" s="12" t="s">
        <v>21</v>
      </c>
      <c r="D180" s="13">
        <v>45354</v>
      </c>
      <c r="E180" s="13">
        <v>45366</v>
      </c>
      <c r="F180" s="12">
        <v>5</v>
      </c>
      <c r="G180" s="12">
        <v>470</v>
      </c>
      <c r="H180" s="12" t="s">
        <v>13</v>
      </c>
      <c r="I180" s="12" t="s">
        <v>550</v>
      </c>
      <c r="J180" s="12" t="s">
        <v>45</v>
      </c>
      <c r="K180" s="14" t="str">
        <f>TEXT('Retail Store Sales'!$D180,"yyyy")</f>
        <v>2024</v>
      </c>
      <c r="L180" s="11" t="str">
        <f>TEXT('Retail Store Sales'!$D180,"mmm")</f>
        <v>Mar</v>
      </c>
      <c r="M180" s="12" t="str">
        <f>TEXT('Retail Store Sales'!$D180,"dddd")</f>
        <v>Sunday</v>
      </c>
      <c r="N180" s="23">
        <f t="shared" si="2"/>
        <v>12</v>
      </c>
      <c r="O180" s="16">
        <f>ROUND('Retail Store Sales'!$F180*'Retail Store Sales'!$G180*_xlfn.XLOOKUP('Retail Store Sales'!$C180,Table2[Product Name],Table2[Cost Percentage],0),0)</f>
        <v>1763</v>
      </c>
      <c r="P180" s="12">
        <f>'Retail Store Sales'!$F180*'Retail Store Sales'!$G180</f>
        <v>2350</v>
      </c>
      <c r="Q180" s="12">
        <f>P180-Table1[[#This Row],[Total cost]]</f>
        <v>587</v>
      </c>
    </row>
    <row r="181" spans="1:17" x14ac:dyDescent="0.45">
      <c r="A181" s="16" t="s">
        <v>225</v>
      </c>
      <c r="B181" s="16" t="s">
        <v>20</v>
      </c>
      <c r="C181" s="16" t="s">
        <v>82</v>
      </c>
      <c r="D181" s="17">
        <v>45479</v>
      </c>
      <c r="E181" s="17">
        <v>45489</v>
      </c>
      <c r="F181" s="16">
        <v>7</v>
      </c>
      <c r="G181" s="16">
        <v>384</v>
      </c>
      <c r="H181" s="16" t="s">
        <v>13</v>
      </c>
      <c r="I181" s="16" t="s">
        <v>550</v>
      </c>
      <c r="J181" s="16" t="s">
        <v>14</v>
      </c>
      <c r="K181" s="18" t="str">
        <f>TEXT('Retail Store Sales'!$D181,"yyyy")</f>
        <v>2024</v>
      </c>
      <c r="L181" s="15" t="str">
        <f>TEXT('Retail Store Sales'!$D181,"mmm")</f>
        <v>Jul</v>
      </c>
      <c r="M181" s="16" t="str">
        <f>TEXT('Retail Store Sales'!$D181,"dddd")</f>
        <v>Saturday</v>
      </c>
      <c r="N181" s="24">
        <f t="shared" si="2"/>
        <v>10</v>
      </c>
      <c r="O181" s="16">
        <f>ROUND('Retail Store Sales'!$F181*'Retail Store Sales'!$G181*_xlfn.XLOOKUP('Retail Store Sales'!$C181,Table2[Product Name],Table2[Cost Percentage],0),0)</f>
        <v>2150</v>
      </c>
      <c r="P181" s="16">
        <f>'Retail Store Sales'!$F181*'Retail Store Sales'!$G181</f>
        <v>2688</v>
      </c>
      <c r="Q181" s="12">
        <f>P181-Table1[[#This Row],[Total cost]]</f>
        <v>538</v>
      </c>
    </row>
    <row r="182" spans="1:17" x14ac:dyDescent="0.45">
      <c r="A182" s="12" t="s">
        <v>226</v>
      </c>
      <c r="B182" s="12" t="s">
        <v>16</v>
      </c>
      <c r="C182" s="12" t="s">
        <v>43</v>
      </c>
      <c r="D182" s="13">
        <v>45573</v>
      </c>
      <c r="E182" s="13">
        <v>45577</v>
      </c>
      <c r="F182" s="12">
        <v>5</v>
      </c>
      <c r="G182" s="12">
        <v>855</v>
      </c>
      <c r="H182" s="12" t="s">
        <v>13</v>
      </c>
      <c r="I182" s="12" t="s">
        <v>32</v>
      </c>
      <c r="J182" s="12" t="s">
        <v>28</v>
      </c>
      <c r="K182" s="14" t="str">
        <f>TEXT('Retail Store Sales'!$D182,"yyyy")</f>
        <v>2024</v>
      </c>
      <c r="L182" s="11" t="str">
        <f>TEXT('Retail Store Sales'!$D182,"mmm")</f>
        <v>Oct</v>
      </c>
      <c r="M182" s="12" t="str">
        <f>TEXT('Retail Store Sales'!$D182,"dddd")</f>
        <v>Tuesday</v>
      </c>
      <c r="N182" s="23">
        <f t="shared" si="2"/>
        <v>4</v>
      </c>
      <c r="O182" s="16">
        <f>ROUND('Retail Store Sales'!$F182*'Retail Store Sales'!$G182*_xlfn.XLOOKUP('Retail Store Sales'!$C182,Table2[Product Name],Table2[Cost Percentage],0),0)</f>
        <v>2565</v>
      </c>
      <c r="P182" s="12">
        <f>'Retail Store Sales'!$F182*'Retail Store Sales'!$G182</f>
        <v>4275</v>
      </c>
      <c r="Q182" s="12">
        <f>P182-Table1[[#This Row],[Total cost]]</f>
        <v>1710</v>
      </c>
    </row>
    <row r="183" spans="1:17" x14ac:dyDescent="0.45">
      <c r="A183" s="16" t="s">
        <v>227</v>
      </c>
      <c r="B183" s="16" t="s">
        <v>20</v>
      </c>
      <c r="C183" s="16" t="s">
        <v>53</v>
      </c>
      <c r="D183" s="17">
        <v>45600</v>
      </c>
      <c r="E183" s="17">
        <v>45612</v>
      </c>
      <c r="F183" s="16">
        <v>9</v>
      </c>
      <c r="G183" s="16">
        <v>421</v>
      </c>
      <c r="H183" s="16" t="s">
        <v>13</v>
      </c>
      <c r="I183" s="16" t="s">
        <v>32</v>
      </c>
      <c r="J183" s="16" t="s">
        <v>14</v>
      </c>
      <c r="K183" s="18" t="str">
        <f>TEXT('Retail Store Sales'!$D183,"yyyy")</f>
        <v>2024</v>
      </c>
      <c r="L183" s="15" t="str">
        <f>TEXT('Retail Store Sales'!$D183,"mmm")</f>
        <v>Nov</v>
      </c>
      <c r="M183" s="16" t="str">
        <f>TEXT('Retail Store Sales'!$D183,"dddd")</f>
        <v>Monday</v>
      </c>
      <c r="N183" s="24">
        <f t="shared" si="2"/>
        <v>12</v>
      </c>
      <c r="O183" s="16">
        <f>ROUND('Retail Store Sales'!$F183*'Retail Store Sales'!$G183*_xlfn.XLOOKUP('Retail Store Sales'!$C183,Table2[Product Name],Table2[Cost Percentage],0),0)</f>
        <v>2652</v>
      </c>
      <c r="P183" s="16">
        <f>'Retail Store Sales'!$F183*'Retail Store Sales'!$G183</f>
        <v>3789</v>
      </c>
      <c r="Q183" s="12">
        <f>P183-Table1[[#This Row],[Total cost]]</f>
        <v>1137</v>
      </c>
    </row>
    <row r="184" spans="1:17" x14ac:dyDescent="0.45">
      <c r="A184" s="12" t="s">
        <v>228</v>
      </c>
      <c r="B184" s="12" t="s">
        <v>20</v>
      </c>
      <c r="C184" s="12" t="s">
        <v>51</v>
      </c>
      <c r="D184" s="13">
        <v>45555</v>
      </c>
      <c r="E184" s="13">
        <v>45562</v>
      </c>
      <c r="F184" s="12">
        <v>3</v>
      </c>
      <c r="G184" s="12">
        <v>345</v>
      </c>
      <c r="H184" s="12" t="s">
        <v>13</v>
      </c>
      <c r="I184" s="12" t="s">
        <v>32</v>
      </c>
      <c r="J184" s="12" t="s">
        <v>45</v>
      </c>
      <c r="K184" s="14" t="str">
        <f>TEXT('Retail Store Sales'!$D184,"yyyy")</f>
        <v>2024</v>
      </c>
      <c r="L184" s="11" t="str">
        <f>TEXT('Retail Store Sales'!$D184,"mmm")</f>
        <v>Sep</v>
      </c>
      <c r="M184" s="12" t="str">
        <f>TEXT('Retail Store Sales'!$D184,"dddd")</f>
        <v>Friday</v>
      </c>
      <c r="N184" s="23">
        <f t="shared" si="2"/>
        <v>7</v>
      </c>
      <c r="O184" s="16">
        <f>ROUND('Retail Store Sales'!$F184*'Retail Store Sales'!$G184*_xlfn.XLOOKUP('Retail Store Sales'!$C184,Table2[Product Name],Table2[Cost Percentage],0),0)</f>
        <v>725</v>
      </c>
      <c r="P184" s="12">
        <f>'Retail Store Sales'!$F184*'Retail Store Sales'!$G184</f>
        <v>1035</v>
      </c>
      <c r="Q184" s="12">
        <f>P184-Table1[[#This Row],[Total cost]]</f>
        <v>310</v>
      </c>
    </row>
    <row r="185" spans="1:17" x14ac:dyDescent="0.45">
      <c r="A185" s="16" t="s">
        <v>229</v>
      </c>
      <c r="B185" s="16" t="s">
        <v>23</v>
      </c>
      <c r="C185" s="16" t="s">
        <v>69</v>
      </c>
      <c r="D185" s="17">
        <v>45445</v>
      </c>
      <c r="E185" s="17">
        <v>45458</v>
      </c>
      <c r="F185" s="16">
        <v>10</v>
      </c>
      <c r="G185" s="16">
        <v>354</v>
      </c>
      <c r="H185" s="16" t="s">
        <v>27</v>
      </c>
      <c r="I185" s="16" t="s">
        <v>32</v>
      </c>
      <c r="J185" s="16" t="s">
        <v>45</v>
      </c>
      <c r="K185" s="18" t="str">
        <f>TEXT('Retail Store Sales'!$D185,"yyyy")</f>
        <v>2024</v>
      </c>
      <c r="L185" s="15" t="str">
        <f>TEXT('Retail Store Sales'!$D185,"mmm")</f>
        <v>Jun</v>
      </c>
      <c r="M185" s="16" t="str">
        <f>TEXT('Retail Store Sales'!$D185,"dddd")</f>
        <v>Sunday</v>
      </c>
      <c r="N185" s="24">
        <f t="shared" si="2"/>
        <v>13</v>
      </c>
      <c r="O185" s="16">
        <f>ROUND('Retail Store Sales'!$F185*'Retail Store Sales'!$G185*_xlfn.XLOOKUP('Retail Store Sales'!$C185,Table2[Product Name],Table2[Cost Percentage],0),0)</f>
        <v>1947</v>
      </c>
      <c r="P185" s="16">
        <f>'Retail Store Sales'!$F185*'Retail Store Sales'!$G185</f>
        <v>3540</v>
      </c>
      <c r="Q185" s="12">
        <f>P185-Table1[[#This Row],[Total cost]]</f>
        <v>1593</v>
      </c>
    </row>
    <row r="186" spans="1:17" x14ac:dyDescent="0.45">
      <c r="A186" s="12" t="s">
        <v>230</v>
      </c>
      <c r="B186" s="12" t="s">
        <v>11</v>
      </c>
      <c r="C186" s="12" t="s">
        <v>26</v>
      </c>
      <c r="D186" s="13">
        <v>45590</v>
      </c>
      <c r="E186" s="13">
        <v>45602</v>
      </c>
      <c r="F186" s="12">
        <v>5</v>
      </c>
      <c r="G186" s="12">
        <v>825</v>
      </c>
      <c r="H186" s="12" t="s">
        <v>27</v>
      </c>
      <c r="I186" s="12" t="s">
        <v>32</v>
      </c>
      <c r="J186" s="12" t="s">
        <v>14</v>
      </c>
      <c r="K186" s="14" t="str">
        <f>TEXT('Retail Store Sales'!$D186,"yyyy")</f>
        <v>2024</v>
      </c>
      <c r="L186" s="11" t="str">
        <f>TEXT('Retail Store Sales'!$D186,"mmm")</f>
        <v>Oct</v>
      </c>
      <c r="M186" s="12" t="str">
        <f>TEXT('Retail Store Sales'!$D186,"dddd")</f>
        <v>Friday</v>
      </c>
      <c r="N186" s="23">
        <f t="shared" si="2"/>
        <v>12</v>
      </c>
      <c r="O186" s="16">
        <f>ROUND('Retail Store Sales'!$F186*'Retail Store Sales'!$G186*_xlfn.XLOOKUP('Retail Store Sales'!$C186,Table2[Product Name],Table2[Cost Percentage],0),0)</f>
        <v>2681</v>
      </c>
      <c r="P186" s="12">
        <f>'Retail Store Sales'!$F186*'Retail Store Sales'!$G186</f>
        <v>4125</v>
      </c>
      <c r="Q186" s="12">
        <f>P186-Table1[[#This Row],[Total cost]]</f>
        <v>1444</v>
      </c>
    </row>
    <row r="187" spans="1:17" x14ac:dyDescent="0.45">
      <c r="A187" s="16" t="s">
        <v>231</v>
      </c>
      <c r="B187" s="16" t="s">
        <v>23</v>
      </c>
      <c r="C187" s="16" t="s">
        <v>24</v>
      </c>
      <c r="D187" s="17">
        <v>45627</v>
      </c>
      <c r="E187" s="17">
        <v>45630</v>
      </c>
      <c r="F187" s="16">
        <v>10</v>
      </c>
      <c r="G187" s="16">
        <v>601</v>
      </c>
      <c r="H187" s="16" t="s">
        <v>27</v>
      </c>
      <c r="I187" s="16" t="s">
        <v>550</v>
      </c>
      <c r="J187" s="16" t="s">
        <v>14</v>
      </c>
      <c r="K187" s="18" t="str">
        <f>TEXT('Retail Store Sales'!$D187,"yyyy")</f>
        <v>2024</v>
      </c>
      <c r="L187" s="15" t="str">
        <f>TEXT('Retail Store Sales'!$D187,"mmm")</f>
        <v>Dec</v>
      </c>
      <c r="M187" s="16" t="str">
        <f>TEXT('Retail Store Sales'!$D187,"dddd")</f>
        <v>Sunday</v>
      </c>
      <c r="N187" s="24">
        <f t="shared" si="2"/>
        <v>3</v>
      </c>
      <c r="O187" s="16">
        <f>ROUND('Retail Store Sales'!$F187*'Retail Store Sales'!$G187*_xlfn.XLOOKUP('Retail Store Sales'!$C187,Table2[Product Name],Table2[Cost Percentage],0),0)</f>
        <v>3306</v>
      </c>
      <c r="P187" s="16">
        <f>'Retail Store Sales'!$F187*'Retail Store Sales'!$G187</f>
        <v>6010</v>
      </c>
      <c r="Q187" s="12">
        <f>P187-Table1[[#This Row],[Total cost]]</f>
        <v>2704</v>
      </c>
    </row>
    <row r="188" spans="1:17" x14ac:dyDescent="0.45">
      <c r="A188" s="12" t="s">
        <v>232</v>
      </c>
      <c r="B188" s="12" t="s">
        <v>23</v>
      </c>
      <c r="C188" s="12" t="s">
        <v>99</v>
      </c>
      <c r="D188" s="13">
        <v>45560</v>
      </c>
      <c r="E188" s="13">
        <v>45572</v>
      </c>
      <c r="F188" s="12">
        <v>10</v>
      </c>
      <c r="G188" s="12">
        <v>803</v>
      </c>
      <c r="H188" s="12" t="s">
        <v>13</v>
      </c>
      <c r="I188" s="12" t="s">
        <v>548</v>
      </c>
      <c r="J188" s="12" t="s">
        <v>45</v>
      </c>
      <c r="K188" s="14" t="str">
        <f>TEXT('Retail Store Sales'!$D188,"yyyy")</f>
        <v>2024</v>
      </c>
      <c r="L188" s="11" t="str">
        <f>TEXT('Retail Store Sales'!$D188,"mmm")</f>
        <v>Sep</v>
      </c>
      <c r="M188" s="12" t="str">
        <f>TEXT('Retail Store Sales'!$D188,"dddd")</f>
        <v>Wednesday</v>
      </c>
      <c r="N188" s="23">
        <f t="shared" si="2"/>
        <v>12</v>
      </c>
      <c r="O188" s="16">
        <f>ROUND('Retail Store Sales'!$F188*'Retail Store Sales'!$G188*_xlfn.XLOOKUP('Retail Store Sales'!$C188,Table2[Product Name],Table2[Cost Percentage],0),0)</f>
        <v>4818</v>
      </c>
      <c r="P188" s="12">
        <f>'Retail Store Sales'!$F188*'Retail Store Sales'!$G188</f>
        <v>8030</v>
      </c>
      <c r="Q188" s="12">
        <f>P188-Table1[[#This Row],[Total cost]]</f>
        <v>3212</v>
      </c>
    </row>
    <row r="189" spans="1:17" x14ac:dyDescent="0.45">
      <c r="A189" s="16" t="s">
        <v>233</v>
      </c>
      <c r="B189" s="16" t="s">
        <v>11</v>
      </c>
      <c r="C189" s="16" t="s">
        <v>57</v>
      </c>
      <c r="D189" s="17">
        <v>45557</v>
      </c>
      <c r="E189" s="17">
        <v>45572</v>
      </c>
      <c r="F189" s="16">
        <v>4</v>
      </c>
      <c r="G189" s="16">
        <v>584</v>
      </c>
      <c r="H189" s="16" t="s">
        <v>27</v>
      </c>
      <c r="I189" s="16" t="s">
        <v>546</v>
      </c>
      <c r="J189" s="16" t="s">
        <v>14</v>
      </c>
      <c r="K189" s="18" t="str">
        <f>TEXT('Retail Store Sales'!$D189,"yyyy")</f>
        <v>2024</v>
      </c>
      <c r="L189" s="15" t="str">
        <f>TEXT('Retail Store Sales'!$D189,"mmm")</f>
        <v>Sep</v>
      </c>
      <c r="M189" s="16" t="str">
        <f>TEXT('Retail Store Sales'!$D189,"dddd")</f>
        <v>Sunday</v>
      </c>
      <c r="N189" s="24">
        <f t="shared" si="2"/>
        <v>15</v>
      </c>
      <c r="O189" s="16">
        <f>ROUND('Retail Store Sales'!$F189*'Retail Store Sales'!$G189*_xlfn.XLOOKUP('Retail Store Sales'!$C189,Table2[Product Name],Table2[Cost Percentage],0),0)</f>
        <v>1986</v>
      </c>
      <c r="P189" s="16">
        <f>'Retail Store Sales'!$F189*'Retail Store Sales'!$G189</f>
        <v>2336</v>
      </c>
      <c r="Q189" s="12">
        <f>P189-Table1[[#This Row],[Total cost]]</f>
        <v>350</v>
      </c>
    </row>
    <row r="190" spans="1:17" x14ac:dyDescent="0.45">
      <c r="A190" s="12" t="s">
        <v>234</v>
      </c>
      <c r="B190" s="12" t="s">
        <v>23</v>
      </c>
      <c r="C190" s="12" t="s">
        <v>24</v>
      </c>
      <c r="D190" s="13">
        <v>45380</v>
      </c>
      <c r="E190" s="13">
        <v>45385</v>
      </c>
      <c r="F190" s="12">
        <v>8</v>
      </c>
      <c r="G190" s="12">
        <v>944</v>
      </c>
      <c r="H190" s="12" t="s">
        <v>27</v>
      </c>
      <c r="I190" s="12" t="s">
        <v>32</v>
      </c>
      <c r="J190" s="12" t="s">
        <v>18</v>
      </c>
      <c r="K190" s="14" t="str">
        <f>TEXT('Retail Store Sales'!$D190,"yyyy")</f>
        <v>2024</v>
      </c>
      <c r="L190" s="11" t="str">
        <f>TEXT('Retail Store Sales'!$D190,"mmm")</f>
        <v>Mar</v>
      </c>
      <c r="M190" s="12" t="str">
        <f>TEXT('Retail Store Sales'!$D190,"dddd")</f>
        <v>Friday</v>
      </c>
      <c r="N190" s="23">
        <f t="shared" si="2"/>
        <v>5</v>
      </c>
      <c r="O190" s="16">
        <f>ROUND('Retail Store Sales'!$F190*'Retail Store Sales'!$G190*_xlfn.XLOOKUP('Retail Store Sales'!$C190,Table2[Product Name],Table2[Cost Percentage],0),0)</f>
        <v>4154</v>
      </c>
      <c r="P190" s="12">
        <f>'Retail Store Sales'!$F190*'Retail Store Sales'!$G190</f>
        <v>7552</v>
      </c>
      <c r="Q190" s="12">
        <f>P190-Table1[[#This Row],[Total cost]]</f>
        <v>3398</v>
      </c>
    </row>
    <row r="191" spans="1:17" x14ac:dyDescent="0.45">
      <c r="A191" s="16" t="s">
        <v>235</v>
      </c>
      <c r="B191" s="16" t="s">
        <v>30</v>
      </c>
      <c r="C191" s="16" t="s">
        <v>78</v>
      </c>
      <c r="D191" s="17">
        <v>45604</v>
      </c>
      <c r="E191" s="17">
        <v>45616</v>
      </c>
      <c r="F191" s="16">
        <v>8</v>
      </c>
      <c r="G191" s="16">
        <v>206</v>
      </c>
      <c r="H191" s="16" t="s">
        <v>27</v>
      </c>
      <c r="I191" s="16" t="s">
        <v>550</v>
      </c>
      <c r="J191" s="16" t="s">
        <v>28</v>
      </c>
      <c r="K191" s="18" t="str">
        <f>TEXT('Retail Store Sales'!$D191,"yyyy")</f>
        <v>2024</v>
      </c>
      <c r="L191" s="15" t="str">
        <f>TEXT('Retail Store Sales'!$D191,"mmm")</f>
        <v>Nov</v>
      </c>
      <c r="M191" s="16" t="str">
        <f>TEXT('Retail Store Sales'!$D191,"dddd")</f>
        <v>Friday</v>
      </c>
      <c r="N191" s="24">
        <f t="shared" si="2"/>
        <v>12</v>
      </c>
      <c r="O191" s="16">
        <f>ROUND('Retail Store Sales'!$F191*'Retail Store Sales'!$G191*_xlfn.XLOOKUP('Retail Store Sales'!$C191,Table2[Product Name],Table2[Cost Percentage],0),0)</f>
        <v>1071</v>
      </c>
      <c r="P191" s="16">
        <f>'Retail Store Sales'!$F191*'Retail Store Sales'!$G191</f>
        <v>1648</v>
      </c>
      <c r="Q191" s="12">
        <f>P191-Table1[[#This Row],[Total cost]]</f>
        <v>577</v>
      </c>
    </row>
    <row r="192" spans="1:17" x14ac:dyDescent="0.45">
      <c r="A192" s="12" t="s">
        <v>236</v>
      </c>
      <c r="B192" s="12" t="s">
        <v>23</v>
      </c>
      <c r="C192" s="12" t="s">
        <v>24</v>
      </c>
      <c r="D192" s="13">
        <v>45578</v>
      </c>
      <c r="E192" s="13">
        <v>45586</v>
      </c>
      <c r="F192" s="12">
        <v>5</v>
      </c>
      <c r="G192" s="12">
        <v>304</v>
      </c>
      <c r="H192" s="12" t="s">
        <v>27</v>
      </c>
      <c r="I192" s="12" t="s">
        <v>550</v>
      </c>
      <c r="J192" s="12" t="s">
        <v>45</v>
      </c>
      <c r="K192" s="14" t="str">
        <f>TEXT('Retail Store Sales'!$D192,"yyyy")</f>
        <v>2024</v>
      </c>
      <c r="L192" s="11" t="str">
        <f>TEXT('Retail Store Sales'!$D192,"mmm")</f>
        <v>Oct</v>
      </c>
      <c r="M192" s="12" t="str">
        <f>TEXT('Retail Store Sales'!$D192,"dddd")</f>
        <v>Sunday</v>
      </c>
      <c r="N192" s="23">
        <f t="shared" si="2"/>
        <v>8</v>
      </c>
      <c r="O192" s="16">
        <f>ROUND('Retail Store Sales'!$F192*'Retail Store Sales'!$G192*_xlfn.XLOOKUP('Retail Store Sales'!$C192,Table2[Product Name],Table2[Cost Percentage],0),0)</f>
        <v>836</v>
      </c>
      <c r="P192" s="12">
        <f>'Retail Store Sales'!$F192*'Retail Store Sales'!$G192</f>
        <v>1520</v>
      </c>
      <c r="Q192" s="12">
        <f>P192-Table1[[#This Row],[Total cost]]</f>
        <v>684</v>
      </c>
    </row>
    <row r="193" spans="1:17" x14ac:dyDescent="0.45">
      <c r="A193" s="16" t="s">
        <v>237</v>
      </c>
      <c r="B193" s="16" t="s">
        <v>11</v>
      </c>
      <c r="C193" s="16" t="s">
        <v>95</v>
      </c>
      <c r="D193" s="17">
        <v>45657</v>
      </c>
      <c r="E193" s="17">
        <v>45671</v>
      </c>
      <c r="F193" s="16">
        <v>2</v>
      </c>
      <c r="G193" s="16">
        <v>364</v>
      </c>
      <c r="H193" s="16" t="s">
        <v>27</v>
      </c>
      <c r="I193" s="16" t="s">
        <v>549</v>
      </c>
      <c r="J193" s="16" t="s">
        <v>28</v>
      </c>
      <c r="K193" s="18" t="str">
        <f>TEXT('Retail Store Sales'!$D193,"yyyy")</f>
        <v>2024</v>
      </c>
      <c r="L193" s="15" t="str">
        <f>TEXT('Retail Store Sales'!$D193,"mmm")</f>
        <v>Dec</v>
      </c>
      <c r="M193" s="16" t="str">
        <f>TEXT('Retail Store Sales'!$D193,"dddd")</f>
        <v>Tuesday</v>
      </c>
      <c r="N193" s="24">
        <f t="shared" si="2"/>
        <v>14</v>
      </c>
      <c r="O193" s="16">
        <f>ROUND('Retail Store Sales'!$F193*'Retail Store Sales'!$G193*_xlfn.XLOOKUP('Retail Store Sales'!$C193,Table2[Product Name],Table2[Cost Percentage],0),0)</f>
        <v>510</v>
      </c>
      <c r="P193" s="16">
        <f>'Retail Store Sales'!$F193*'Retail Store Sales'!$G193</f>
        <v>728</v>
      </c>
      <c r="Q193" s="12">
        <f>P193-Table1[[#This Row],[Total cost]]</f>
        <v>218</v>
      </c>
    </row>
    <row r="194" spans="1:17" x14ac:dyDescent="0.45">
      <c r="A194" s="12" t="s">
        <v>238</v>
      </c>
      <c r="B194" s="12" t="s">
        <v>23</v>
      </c>
      <c r="C194" s="12" t="s">
        <v>99</v>
      </c>
      <c r="D194" s="13">
        <v>45395</v>
      </c>
      <c r="E194" s="13">
        <v>45408</v>
      </c>
      <c r="F194" s="12">
        <v>9</v>
      </c>
      <c r="G194" s="12">
        <v>287</v>
      </c>
      <c r="H194" s="12" t="s">
        <v>13</v>
      </c>
      <c r="I194" s="12" t="s">
        <v>32</v>
      </c>
      <c r="J194" s="12" t="s">
        <v>18</v>
      </c>
      <c r="K194" s="14" t="str">
        <f>TEXT('Retail Store Sales'!$D194,"yyyy")</f>
        <v>2024</v>
      </c>
      <c r="L194" s="11" t="str">
        <f>TEXT('Retail Store Sales'!$D194,"mmm")</f>
        <v>Apr</v>
      </c>
      <c r="M194" s="12" t="str">
        <f>TEXT('Retail Store Sales'!$D194,"dddd")</f>
        <v>Saturday</v>
      </c>
      <c r="N194" s="23">
        <f t="shared" ref="N194:N257" si="3">DATEDIF(D194,E194,"D")</f>
        <v>13</v>
      </c>
      <c r="O194" s="16">
        <f>ROUND('Retail Store Sales'!$F194*'Retail Store Sales'!$G194*_xlfn.XLOOKUP('Retail Store Sales'!$C194,Table2[Product Name],Table2[Cost Percentage],0),0)</f>
        <v>1550</v>
      </c>
      <c r="P194" s="12">
        <f>'Retail Store Sales'!$F194*'Retail Store Sales'!$G194</f>
        <v>2583</v>
      </c>
      <c r="Q194" s="12">
        <f>P194-Table1[[#This Row],[Total cost]]</f>
        <v>1033</v>
      </c>
    </row>
    <row r="195" spans="1:17" x14ac:dyDescent="0.45">
      <c r="A195" s="16" t="s">
        <v>239</v>
      </c>
      <c r="B195" s="16" t="s">
        <v>11</v>
      </c>
      <c r="C195" s="16" t="s">
        <v>35</v>
      </c>
      <c r="D195" s="17">
        <v>45592</v>
      </c>
      <c r="E195" s="17">
        <v>45599</v>
      </c>
      <c r="F195" s="16">
        <v>4</v>
      </c>
      <c r="G195" s="16">
        <v>258</v>
      </c>
      <c r="H195" s="16" t="s">
        <v>13</v>
      </c>
      <c r="I195" s="16" t="s">
        <v>550</v>
      </c>
      <c r="J195" s="16" t="s">
        <v>18</v>
      </c>
      <c r="K195" s="18" t="str">
        <f>TEXT('Retail Store Sales'!$D195,"yyyy")</f>
        <v>2024</v>
      </c>
      <c r="L195" s="15" t="str">
        <f>TEXT('Retail Store Sales'!$D195,"mmm")</f>
        <v>Oct</v>
      </c>
      <c r="M195" s="16" t="str">
        <f>TEXT('Retail Store Sales'!$D195,"dddd")</f>
        <v>Sunday</v>
      </c>
      <c r="N195" s="24">
        <f t="shared" si="3"/>
        <v>7</v>
      </c>
      <c r="O195" s="16">
        <f>ROUND('Retail Store Sales'!$F195*'Retail Store Sales'!$G195*_xlfn.XLOOKUP('Retail Store Sales'!$C195,Table2[Product Name],Table2[Cost Percentage],0),0)</f>
        <v>826</v>
      </c>
      <c r="P195" s="16">
        <f>'Retail Store Sales'!$F195*'Retail Store Sales'!$G195</f>
        <v>1032</v>
      </c>
      <c r="Q195" s="12">
        <f>P195-Table1[[#This Row],[Total cost]]</f>
        <v>206</v>
      </c>
    </row>
    <row r="196" spans="1:17" x14ac:dyDescent="0.45">
      <c r="A196" s="12" t="s">
        <v>240</v>
      </c>
      <c r="B196" s="12" t="s">
        <v>20</v>
      </c>
      <c r="C196" s="12" t="s">
        <v>39</v>
      </c>
      <c r="D196" s="13">
        <v>45343</v>
      </c>
      <c r="E196" s="13">
        <v>45357</v>
      </c>
      <c r="F196" s="12">
        <v>7</v>
      </c>
      <c r="G196" s="12">
        <v>348</v>
      </c>
      <c r="H196" s="12" t="s">
        <v>13</v>
      </c>
      <c r="I196" s="12" t="s">
        <v>32</v>
      </c>
      <c r="J196" s="12" t="s">
        <v>18</v>
      </c>
      <c r="K196" s="14" t="str">
        <f>TEXT('Retail Store Sales'!$D196,"yyyy")</f>
        <v>2024</v>
      </c>
      <c r="L196" s="11" t="str">
        <f>TEXT('Retail Store Sales'!$D196,"mmm")</f>
        <v>Feb</v>
      </c>
      <c r="M196" s="12" t="str">
        <f>TEXT('Retail Store Sales'!$D196,"dddd")</f>
        <v>Wednesday</v>
      </c>
      <c r="N196" s="23">
        <f t="shared" si="3"/>
        <v>14</v>
      </c>
      <c r="O196" s="16">
        <f>ROUND('Retail Store Sales'!$F196*'Retail Store Sales'!$G196*_xlfn.XLOOKUP('Retail Store Sales'!$C196,Table2[Product Name],Table2[Cost Percentage],0),0)</f>
        <v>1583</v>
      </c>
      <c r="P196" s="12">
        <f>'Retail Store Sales'!$F196*'Retail Store Sales'!$G196</f>
        <v>2436</v>
      </c>
      <c r="Q196" s="12">
        <f>P196-Table1[[#This Row],[Total cost]]</f>
        <v>853</v>
      </c>
    </row>
    <row r="197" spans="1:17" x14ac:dyDescent="0.45">
      <c r="A197" s="16" t="s">
        <v>241</v>
      </c>
      <c r="B197" s="16" t="s">
        <v>20</v>
      </c>
      <c r="C197" s="16" t="s">
        <v>82</v>
      </c>
      <c r="D197" s="17">
        <v>45456</v>
      </c>
      <c r="E197" s="17">
        <v>45460</v>
      </c>
      <c r="F197" s="16">
        <v>5</v>
      </c>
      <c r="G197" s="16">
        <v>671</v>
      </c>
      <c r="H197" s="16" t="s">
        <v>27</v>
      </c>
      <c r="I197" s="16" t="s">
        <v>550</v>
      </c>
      <c r="J197" s="16" t="s">
        <v>14</v>
      </c>
      <c r="K197" s="18" t="str">
        <f>TEXT('Retail Store Sales'!$D197,"yyyy")</f>
        <v>2024</v>
      </c>
      <c r="L197" s="15" t="str">
        <f>TEXT('Retail Store Sales'!$D197,"mmm")</f>
        <v>Jun</v>
      </c>
      <c r="M197" s="16" t="str">
        <f>TEXT('Retail Store Sales'!$D197,"dddd")</f>
        <v>Thursday</v>
      </c>
      <c r="N197" s="24">
        <f t="shared" si="3"/>
        <v>4</v>
      </c>
      <c r="O197" s="16">
        <f>ROUND('Retail Store Sales'!$F197*'Retail Store Sales'!$G197*_xlfn.XLOOKUP('Retail Store Sales'!$C197,Table2[Product Name],Table2[Cost Percentage],0),0)</f>
        <v>2684</v>
      </c>
      <c r="P197" s="16">
        <f>'Retail Store Sales'!$F197*'Retail Store Sales'!$G197</f>
        <v>3355</v>
      </c>
      <c r="Q197" s="12">
        <f>P197-Table1[[#This Row],[Total cost]]</f>
        <v>671</v>
      </c>
    </row>
    <row r="198" spans="1:17" x14ac:dyDescent="0.45">
      <c r="A198" s="12" t="s">
        <v>242</v>
      </c>
      <c r="B198" s="12" t="s">
        <v>16</v>
      </c>
      <c r="C198" s="12" t="s">
        <v>63</v>
      </c>
      <c r="D198" s="13">
        <v>45565</v>
      </c>
      <c r="E198" s="13">
        <v>45571</v>
      </c>
      <c r="F198" s="12">
        <v>1</v>
      </c>
      <c r="G198" s="12">
        <v>945</v>
      </c>
      <c r="H198" s="12" t="s">
        <v>13</v>
      </c>
      <c r="I198" s="12" t="s">
        <v>550</v>
      </c>
      <c r="J198" s="12" t="s">
        <v>45</v>
      </c>
      <c r="K198" s="14" t="str">
        <f>TEXT('Retail Store Sales'!$D198,"yyyy")</f>
        <v>2024</v>
      </c>
      <c r="L198" s="11" t="str">
        <f>TEXT('Retail Store Sales'!$D198,"mmm")</f>
        <v>Sep</v>
      </c>
      <c r="M198" s="12" t="str">
        <f>TEXT('Retail Store Sales'!$D198,"dddd")</f>
        <v>Monday</v>
      </c>
      <c r="N198" s="23">
        <f t="shared" si="3"/>
        <v>6</v>
      </c>
      <c r="O198" s="16">
        <f>ROUND('Retail Store Sales'!$F198*'Retail Store Sales'!$G198*_xlfn.XLOOKUP('Retail Store Sales'!$C198,Table2[Product Name],Table2[Cost Percentage],0),0)</f>
        <v>473</v>
      </c>
      <c r="P198" s="12">
        <f>'Retail Store Sales'!$F198*'Retail Store Sales'!$G198</f>
        <v>945</v>
      </c>
      <c r="Q198" s="12">
        <f>P198-Table1[[#This Row],[Total cost]]</f>
        <v>472</v>
      </c>
    </row>
    <row r="199" spans="1:17" x14ac:dyDescent="0.45">
      <c r="A199" s="16" t="s">
        <v>243</v>
      </c>
      <c r="B199" s="16" t="s">
        <v>11</v>
      </c>
      <c r="C199" s="16" t="s">
        <v>26</v>
      </c>
      <c r="D199" s="17">
        <v>45545</v>
      </c>
      <c r="E199" s="17">
        <v>45556</v>
      </c>
      <c r="F199" s="16">
        <v>3</v>
      </c>
      <c r="G199" s="16">
        <v>969</v>
      </c>
      <c r="H199" s="16" t="s">
        <v>13</v>
      </c>
      <c r="I199" s="16" t="s">
        <v>32</v>
      </c>
      <c r="J199" s="16" t="s">
        <v>28</v>
      </c>
      <c r="K199" s="18" t="str">
        <f>TEXT('Retail Store Sales'!$D199,"yyyy")</f>
        <v>2024</v>
      </c>
      <c r="L199" s="15" t="str">
        <f>TEXT('Retail Store Sales'!$D199,"mmm")</f>
        <v>Sep</v>
      </c>
      <c r="M199" s="16" t="str">
        <f>TEXT('Retail Store Sales'!$D199,"dddd")</f>
        <v>Tuesday</v>
      </c>
      <c r="N199" s="24">
        <f t="shared" si="3"/>
        <v>11</v>
      </c>
      <c r="O199" s="16">
        <f>ROUND('Retail Store Sales'!$F199*'Retail Store Sales'!$G199*_xlfn.XLOOKUP('Retail Store Sales'!$C199,Table2[Product Name],Table2[Cost Percentage],0),0)</f>
        <v>1890</v>
      </c>
      <c r="P199" s="16">
        <f>'Retail Store Sales'!$F199*'Retail Store Sales'!$G199</f>
        <v>2907</v>
      </c>
      <c r="Q199" s="12">
        <f>P199-Table1[[#This Row],[Total cost]]</f>
        <v>1017</v>
      </c>
    </row>
    <row r="200" spans="1:17" x14ac:dyDescent="0.45">
      <c r="A200" s="12" t="s">
        <v>244</v>
      </c>
      <c r="B200" s="12" t="s">
        <v>20</v>
      </c>
      <c r="C200" s="12" t="s">
        <v>39</v>
      </c>
      <c r="D200" s="13">
        <v>45461</v>
      </c>
      <c r="E200" s="13">
        <v>45467</v>
      </c>
      <c r="F200" s="12">
        <v>3</v>
      </c>
      <c r="G200" s="12">
        <v>758</v>
      </c>
      <c r="H200" s="12" t="s">
        <v>27</v>
      </c>
      <c r="I200" s="12" t="s">
        <v>549</v>
      </c>
      <c r="J200" s="12" t="s">
        <v>28</v>
      </c>
      <c r="K200" s="14" t="str">
        <f>TEXT('Retail Store Sales'!$D200,"yyyy")</f>
        <v>2024</v>
      </c>
      <c r="L200" s="11" t="str">
        <f>TEXT('Retail Store Sales'!$D200,"mmm")</f>
        <v>Jun</v>
      </c>
      <c r="M200" s="12" t="str">
        <f>TEXT('Retail Store Sales'!$D200,"dddd")</f>
        <v>Tuesday</v>
      </c>
      <c r="N200" s="23">
        <f t="shared" si="3"/>
        <v>6</v>
      </c>
      <c r="O200" s="16">
        <f>ROUND('Retail Store Sales'!$F200*'Retail Store Sales'!$G200*_xlfn.XLOOKUP('Retail Store Sales'!$C200,Table2[Product Name],Table2[Cost Percentage],0),0)</f>
        <v>1478</v>
      </c>
      <c r="P200" s="12">
        <f>'Retail Store Sales'!$F200*'Retail Store Sales'!$G200</f>
        <v>2274</v>
      </c>
      <c r="Q200" s="12">
        <f>P200-Table1[[#This Row],[Total cost]]</f>
        <v>796</v>
      </c>
    </row>
    <row r="201" spans="1:17" x14ac:dyDescent="0.45">
      <c r="A201" s="16" t="s">
        <v>245</v>
      </c>
      <c r="B201" s="16" t="s">
        <v>20</v>
      </c>
      <c r="C201" s="16" t="s">
        <v>39</v>
      </c>
      <c r="D201" s="17">
        <v>45464</v>
      </c>
      <c r="E201" s="17">
        <v>45468</v>
      </c>
      <c r="F201" s="16">
        <v>5</v>
      </c>
      <c r="G201" s="16">
        <v>591</v>
      </c>
      <c r="H201" s="16" t="s">
        <v>13</v>
      </c>
      <c r="I201" s="16" t="s">
        <v>32</v>
      </c>
      <c r="J201" s="16" t="s">
        <v>14</v>
      </c>
      <c r="K201" s="18" t="str">
        <f>TEXT('Retail Store Sales'!$D201,"yyyy")</f>
        <v>2024</v>
      </c>
      <c r="L201" s="15" t="str">
        <f>TEXT('Retail Store Sales'!$D201,"mmm")</f>
        <v>Jun</v>
      </c>
      <c r="M201" s="16" t="str">
        <f>TEXT('Retail Store Sales'!$D201,"dddd")</f>
        <v>Friday</v>
      </c>
      <c r="N201" s="24">
        <f t="shared" si="3"/>
        <v>4</v>
      </c>
      <c r="O201" s="16">
        <f>ROUND('Retail Store Sales'!$F201*'Retail Store Sales'!$G201*_xlfn.XLOOKUP('Retail Store Sales'!$C201,Table2[Product Name],Table2[Cost Percentage],0),0)</f>
        <v>1921</v>
      </c>
      <c r="P201" s="16">
        <f>'Retail Store Sales'!$F201*'Retail Store Sales'!$G201</f>
        <v>2955</v>
      </c>
      <c r="Q201" s="12">
        <f>P201-Table1[[#This Row],[Total cost]]</f>
        <v>1034</v>
      </c>
    </row>
    <row r="202" spans="1:17" x14ac:dyDescent="0.45">
      <c r="A202" s="12" t="s">
        <v>246</v>
      </c>
      <c r="B202" s="12" t="s">
        <v>16</v>
      </c>
      <c r="C202" s="12" t="s">
        <v>43</v>
      </c>
      <c r="D202" s="13">
        <v>45510</v>
      </c>
      <c r="E202" s="13">
        <v>45522</v>
      </c>
      <c r="F202" s="12">
        <v>9</v>
      </c>
      <c r="G202" s="12">
        <v>345</v>
      </c>
      <c r="H202" s="12" t="s">
        <v>27</v>
      </c>
      <c r="I202" s="12" t="s">
        <v>550</v>
      </c>
      <c r="J202" s="12" t="s">
        <v>45</v>
      </c>
      <c r="K202" s="14" t="str">
        <f>TEXT('Retail Store Sales'!$D202,"yyyy")</f>
        <v>2024</v>
      </c>
      <c r="L202" s="11" t="str">
        <f>TEXT('Retail Store Sales'!$D202,"mmm")</f>
        <v>Aug</v>
      </c>
      <c r="M202" s="12" t="str">
        <f>TEXT('Retail Store Sales'!$D202,"dddd")</f>
        <v>Tuesday</v>
      </c>
      <c r="N202" s="23">
        <f t="shared" si="3"/>
        <v>12</v>
      </c>
      <c r="O202" s="16">
        <f>ROUND('Retail Store Sales'!$F202*'Retail Store Sales'!$G202*_xlfn.XLOOKUP('Retail Store Sales'!$C202,Table2[Product Name],Table2[Cost Percentage],0),0)</f>
        <v>1863</v>
      </c>
      <c r="P202" s="12">
        <f>'Retail Store Sales'!$F202*'Retail Store Sales'!$G202</f>
        <v>3105</v>
      </c>
      <c r="Q202" s="12">
        <f>P202-Table1[[#This Row],[Total cost]]</f>
        <v>1242</v>
      </c>
    </row>
    <row r="203" spans="1:17" x14ac:dyDescent="0.45">
      <c r="A203" s="16" t="s">
        <v>247</v>
      </c>
      <c r="B203" s="16" t="s">
        <v>23</v>
      </c>
      <c r="C203" s="16" t="s">
        <v>99</v>
      </c>
      <c r="D203" s="17">
        <v>45520</v>
      </c>
      <c r="E203" s="17">
        <v>45533</v>
      </c>
      <c r="F203" s="16">
        <v>5</v>
      </c>
      <c r="G203" s="16">
        <v>986</v>
      </c>
      <c r="H203" s="16" t="s">
        <v>27</v>
      </c>
      <c r="I203" s="16" t="s">
        <v>546</v>
      </c>
      <c r="J203" s="16" t="s">
        <v>14</v>
      </c>
      <c r="K203" s="18" t="str">
        <f>TEXT('Retail Store Sales'!$D203,"yyyy")</f>
        <v>2024</v>
      </c>
      <c r="L203" s="15" t="str">
        <f>TEXT('Retail Store Sales'!$D203,"mmm")</f>
        <v>Aug</v>
      </c>
      <c r="M203" s="16" t="str">
        <f>TEXT('Retail Store Sales'!$D203,"dddd")</f>
        <v>Friday</v>
      </c>
      <c r="N203" s="24">
        <f t="shared" si="3"/>
        <v>13</v>
      </c>
      <c r="O203" s="16">
        <f>ROUND('Retail Store Sales'!$F203*'Retail Store Sales'!$G203*_xlfn.XLOOKUP('Retail Store Sales'!$C203,Table2[Product Name],Table2[Cost Percentage],0),0)</f>
        <v>2958</v>
      </c>
      <c r="P203" s="16">
        <f>'Retail Store Sales'!$F203*'Retail Store Sales'!$G203</f>
        <v>4930</v>
      </c>
      <c r="Q203" s="12">
        <f>P203-Table1[[#This Row],[Total cost]]</f>
        <v>1972</v>
      </c>
    </row>
    <row r="204" spans="1:17" x14ac:dyDescent="0.45">
      <c r="A204" s="12" t="s">
        <v>248</v>
      </c>
      <c r="B204" s="12" t="s">
        <v>16</v>
      </c>
      <c r="C204" s="12" t="s">
        <v>17</v>
      </c>
      <c r="D204" s="13">
        <v>45425</v>
      </c>
      <c r="E204" s="13">
        <v>45432</v>
      </c>
      <c r="F204" s="12">
        <v>6</v>
      </c>
      <c r="G204" s="12">
        <v>719</v>
      </c>
      <c r="H204" s="12" t="s">
        <v>27</v>
      </c>
      <c r="I204" s="12" t="s">
        <v>550</v>
      </c>
      <c r="J204" s="12" t="s">
        <v>45</v>
      </c>
      <c r="K204" s="14" t="str">
        <f>TEXT('Retail Store Sales'!$D204,"yyyy")</f>
        <v>2024</v>
      </c>
      <c r="L204" s="11" t="str">
        <f>TEXT('Retail Store Sales'!$D204,"mmm")</f>
        <v>May</v>
      </c>
      <c r="M204" s="12" t="str">
        <f>TEXT('Retail Store Sales'!$D204,"dddd")</f>
        <v>Monday</v>
      </c>
      <c r="N204" s="23">
        <f t="shared" si="3"/>
        <v>7</v>
      </c>
      <c r="O204" s="16">
        <f>ROUND('Retail Store Sales'!$F204*'Retail Store Sales'!$G204*_xlfn.XLOOKUP('Retail Store Sales'!$C204,Table2[Product Name],Table2[Cost Percentage],0),0)</f>
        <v>2157</v>
      </c>
      <c r="P204" s="12">
        <f>'Retail Store Sales'!$F204*'Retail Store Sales'!$G204</f>
        <v>4314</v>
      </c>
      <c r="Q204" s="12">
        <f>P204-Table1[[#This Row],[Total cost]]</f>
        <v>2157</v>
      </c>
    </row>
    <row r="205" spans="1:17" x14ac:dyDescent="0.45">
      <c r="A205" s="16" t="s">
        <v>249</v>
      </c>
      <c r="B205" s="16" t="s">
        <v>11</v>
      </c>
      <c r="C205" s="16" t="s">
        <v>26</v>
      </c>
      <c r="D205" s="17">
        <v>45449</v>
      </c>
      <c r="E205" s="17">
        <v>45461</v>
      </c>
      <c r="F205" s="16">
        <v>3</v>
      </c>
      <c r="G205" s="16">
        <v>425</v>
      </c>
      <c r="H205" s="16" t="s">
        <v>27</v>
      </c>
      <c r="I205" s="16" t="s">
        <v>32</v>
      </c>
      <c r="J205" s="16" t="s">
        <v>45</v>
      </c>
      <c r="K205" s="18" t="str">
        <f>TEXT('Retail Store Sales'!$D205,"yyyy")</f>
        <v>2024</v>
      </c>
      <c r="L205" s="15" t="str">
        <f>TEXT('Retail Store Sales'!$D205,"mmm")</f>
        <v>Jun</v>
      </c>
      <c r="M205" s="16" t="str">
        <f>TEXT('Retail Store Sales'!$D205,"dddd")</f>
        <v>Thursday</v>
      </c>
      <c r="N205" s="24">
        <f t="shared" si="3"/>
        <v>12</v>
      </c>
      <c r="O205" s="16">
        <f>ROUND('Retail Store Sales'!$F205*'Retail Store Sales'!$G205*_xlfn.XLOOKUP('Retail Store Sales'!$C205,Table2[Product Name],Table2[Cost Percentage],0),0)</f>
        <v>829</v>
      </c>
      <c r="P205" s="16">
        <f>'Retail Store Sales'!$F205*'Retail Store Sales'!$G205</f>
        <v>1275</v>
      </c>
      <c r="Q205" s="12">
        <f>P205-Table1[[#This Row],[Total cost]]</f>
        <v>446</v>
      </c>
    </row>
    <row r="206" spans="1:17" x14ac:dyDescent="0.45">
      <c r="A206" s="12" t="s">
        <v>250</v>
      </c>
      <c r="B206" s="12" t="s">
        <v>30</v>
      </c>
      <c r="C206" s="12" t="s">
        <v>75</v>
      </c>
      <c r="D206" s="13">
        <v>45619</v>
      </c>
      <c r="E206" s="13">
        <v>45625</v>
      </c>
      <c r="F206" s="12">
        <v>5</v>
      </c>
      <c r="G206" s="12">
        <v>386</v>
      </c>
      <c r="H206" s="12" t="s">
        <v>13</v>
      </c>
      <c r="I206" s="12" t="s">
        <v>32</v>
      </c>
      <c r="J206" s="12" t="s">
        <v>45</v>
      </c>
      <c r="K206" s="14" t="str">
        <f>TEXT('Retail Store Sales'!$D206,"yyyy")</f>
        <v>2024</v>
      </c>
      <c r="L206" s="11" t="str">
        <f>TEXT('Retail Store Sales'!$D206,"mmm")</f>
        <v>Nov</v>
      </c>
      <c r="M206" s="12" t="str">
        <f>TEXT('Retail Store Sales'!$D206,"dddd")</f>
        <v>Saturday</v>
      </c>
      <c r="N206" s="23">
        <f t="shared" si="3"/>
        <v>6</v>
      </c>
      <c r="O206" s="16">
        <f>ROUND('Retail Store Sales'!$F206*'Retail Store Sales'!$G206*_xlfn.XLOOKUP('Retail Store Sales'!$C206,Table2[Product Name],Table2[Cost Percentage],0),0)</f>
        <v>1448</v>
      </c>
      <c r="P206" s="12">
        <f>'Retail Store Sales'!$F206*'Retail Store Sales'!$G206</f>
        <v>1930</v>
      </c>
      <c r="Q206" s="12">
        <f>P206-Table1[[#This Row],[Total cost]]</f>
        <v>482</v>
      </c>
    </row>
    <row r="207" spans="1:17" x14ac:dyDescent="0.45">
      <c r="A207" s="16" t="s">
        <v>251</v>
      </c>
      <c r="B207" s="16" t="s">
        <v>16</v>
      </c>
      <c r="C207" s="16" t="s">
        <v>43</v>
      </c>
      <c r="D207" s="17">
        <v>45567</v>
      </c>
      <c r="E207" s="17">
        <v>45574</v>
      </c>
      <c r="F207" s="16">
        <v>4</v>
      </c>
      <c r="G207" s="16">
        <v>790</v>
      </c>
      <c r="H207" s="16" t="s">
        <v>13</v>
      </c>
      <c r="I207" s="16" t="s">
        <v>550</v>
      </c>
      <c r="J207" s="16" t="s">
        <v>18</v>
      </c>
      <c r="K207" s="18" t="str">
        <f>TEXT('Retail Store Sales'!$D207,"yyyy")</f>
        <v>2024</v>
      </c>
      <c r="L207" s="15" t="str">
        <f>TEXT('Retail Store Sales'!$D207,"mmm")</f>
        <v>Oct</v>
      </c>
      <c r="M207" s="16" t="str">
        <f>TEXT('Retail Store Sales'!$D207,"dddd")</f>
        <v>Wednesday</v>
      </c>
      <c r="N207" s="24">
        <f t="shared" si="3"/>
        <v>7</v>
      </c>
      <c r="O207" s="16">
        <f>ROUND('Retail Store Sales'!$F207*'Retail Store Sales'!$G207*_xlfn.XLOOKUP('Retail Store Sales'!$C207,Table2[Product Name],Table2[Cost Percentage],0),0)</f>
        <v>1896</v>
      </c>
      <c r="P207" s="16">
        <f>'Retail Store Sales'!$F207*'Retail Store Sales'!$G207</f>
        <v>3160</v>
      </c>
      <c r="Q207" s="12">
        <f>P207-Table1[[#This Row],[Total cost]]</f>
        <v>1264</v>
      </c>
    </row>
    <row r="208" spans="1:17" x14ac:dyDescent="0.45">
      <c r="A208" s="12" t="s">
        <v>252</v>
      </c>
      <c r="B208" s="12" t="s">
        <v>16</v>
      </c>
      <c r="C208" s="12" t="s">
        <v>43</v>
      </c>
      <c r="D208" s="13">
        <v>45562</v>
      </c>
      <c r="E208" s="13">
        <v>45572</v>
      </c>
      <c r="F208" s="12">
        <v>6</v>
      </c>
      <c r="G208" s="12">
        <v>89</v>
      </c>
      <c r="H208" s="12" t="s">
        <v>13</v>
      </c>
      <c r="I208" s="12" t="s">
        <v>32</v>
      </c>
      <c r="J208" s="12" t="s">
        <v>18</v>
      </c>
      <c r="K208" s="14" t="str">
        <f>TEXT('Retail Store Sales'!$D208,"yyyy")</f>
        <v>2024</v>
      </c>
      <c r="L208" s="11" t="str">
        <f>TEXT('Retail Store Sales'!$D208,"mmm")</f>
        <v>Sep</v>
      </c>
      <c r="M208" s="12" t="str">
        <f>TEXT('Retail Store Sales'!$D208,"dddd")</f>
        <v>Friday</v>
      </c>
      <c r="N208" s="23">
        <f t="shared" si="3"/>
        <v>10</v>
      </c>
      <c r="O208" s="16">
        <f>ROUND('Retail Store Sales'!$F208*'Retail Store Sales'!$G208*_xlfn.XLOOKUP('Retail Store Sales'!$C208,Table2[Product Name],Table2[Cost Percentage],0),0)</f>
        <v>320</v>
      </c>
      <c r="P208" s="12">
        <f>'Retail Store Sales'!$F208*'Retail Store Sales'!$G208</f>
        <v>534</v>
      </c>
      <c r="Q208" s="12">
        <f>P208-Table1[[#This Row],[Total cost]]</f>
        <v>214</v>
      </c>
    </row>
    <row r="209" spans="1:17" x14ac:dyDescent="0.45">
      <c r="A209" s="16" t="s">
        <v>253</v>
      </c>
      <c r="B209" s="16" t="s">
        <v>16</v>
      </c>
      <c r="C209" s="16" t="s">
        <v>43</v>
      </c>
      <c r="D209" s="17">
        <v>45351</v>
      </c>
      <c r="E209" s="17">
        <v>45359</v>
      </c>
      <c r="F209" s="16">
        <v>4</v>
      </c>
      <c r="G209" s="16">
        <v>744</v>
      </c>
      <c r="H209" s="16" t="s">
        <v>13</v>
      </c>
      <c r="I209" s="16" t="s">
        <v>32</v>
      </c>
      <c r="J209" s="16" t="s">
        <v>18</v>
      </c>
      <c r="K209" s="18" t="str">
        <f>TEXT('Retail Store Sales'!$D209,"yyyy")</f>
        <v>2024</v>
      </c>
      <c r="L209" s="15" t="str">
        <f>TEXT('Retail Store Sales'!$D209,"mmm")</f>
        <v>Feb</v>
      </c>
      <c r="M209" s="16" t="str">
        <f>TEXT('Retail Store Sales'!$D209,"dddd")</f>
        <v>Thursday</v>
      </c>
      <c r="N209" s="24">
        <f t="shared" si="3"/>
        <v>8</v>
      </c>
      <c r="O209" s="16">
        <f>ROUND('Retail Store Sales'!$F209*'Retail Store Sales'!$G209*_xlfn.XLOOKUP('Retail Store Sales'!$C209,Table2[Product Name],Table2[Cost Percentage],0),0)</f>
        <v>1786</v>
      </c>
      <c r="P209" s="16">
        <f>'Retail Store Sales'!$F209*'Retail Store Sales'!$G209</f>
        <v>2976</v>
      </c>
      <c r="Q209" s="12">
        <f>P209-Table1[[#This Row],[Total cost]]</f>
        <v>1190</v>
      </c>
    </row>
    <row r="210" spans="1:17" x14ac:dyDescent="0.45">
      <c r="A210" s="12" t="s">
        <v>254</v>
      </c>
      <c r="B210" s="12" t="s">
        <v>16</v>
      </c>
      <c r="C210" s="12" t="s">
        <v>17</v>
      </c>
      <c r="D210" s="13">
        <v>45578</v>
      </c>
      <c r="E210" s="13">
        <v>45590</v>
      </c>
      <c r="F210" s="12">
        <v>8</v>
      </c>
      <c r="G210" s="12">
        <v>698</v>
      </c>
      <c r="H210" s="12" t="s">
        <v>27</v>
      </c>
      <c r="I210" s="12" t="s">
        <v>548</v>
      </c>
      <c r="J210" s="12" t="s">
        <v>45</v>
      </c>
      <c r="K210" s="14" t="str">
        <f>TEXT('Retail Store Sales'!$D210,"yyyy")</f>
        <v>2024</v>
      </c>
      <c r="L210" s="11" t="str">
        <f>TEXT('Retail Store Sales'!$D210,"mmm")</f>
        <v>Oct</v>
      </c>
      <c r="M210" s="12" t="str">
        <f>TEXT('Retail Store Sales'!$D210,"dddd")</f>
        <v>Sunday</v>
      </c>
      <c r="N210" s="23">
        <f t="shared" si="3"/>
        <v>12</v>
      </c>
      <c r="O210" s="16">
        <f>ROUND('Retail Store Sales'!$F210*'Retail Store Sales'!$G210*_xlfn.XLOOKUP('Retail Store Sales'!$C210,Table2[Product Name],Table2[Cost Percentage],0),0)</f>
        <v>2792</v>
      </c>
      <c r="P210" s="12">
        <f>'Retail Store Sales'!$F210*'Retail Store Sales'!$G210</f>
        <v>5584</v>
      </c>
      <c r="Q210" s="12">
        <f>P210-Table1[[#This Row],[Total cost]]</f>
        <v>2792</v>
      </c>
    </row>
    <row r="211" spans="1:17" x14ac:dyDescent="0.45">
      <c r="A211" s="16" t="s">
        <v>255</v>
      </c>
      <c r="B211" s="16" t="s">
        <v>11</v>
      </c>
      <c r="C211" s="16" t="s">
        <v>26</v>
      </c>
      <c r="D211" s="17">
        <v>45422</v>
      </c>
      <c r="E211" s="17">
        <v>45425</v>
      </c>
      <c r="F211" s="16">
        <v>1</v>
      </c>
      <c r="G211" s="16">
        <v>773</v>
      </c>
      <c r="H211" s="16" t="s">
        <v>13</v>
      </c>
      <c r="I211" s="16" t="s">
        <v>550</v>
      </c>
      <c r="J211" s="16" t="s">
        <v>45</v>
      </c>
      <c r="K211" s="18" t="str">
        <f>TEXT('Retail Store Sales'!$D211,"yyyy")</f>
        <v>2024</v>
      </c>
      <c r="L211" s="15" t="str">
        <f>TEXT('Retail Store Sales'!$D211,"mmm")</f>
        <v>May</v>
      </c>
      <c r="M211" s="16" t="str">
        <f>TEXT('Retail Store Sales'!$D211,"dddd")</f>
        <v>Friday</v>
      </c>
      <c r="N211" s="24">
        <f t="shared" si="3"/>
        <v>3</v>
      </c>
      <c r="O211" s="16">
        <f>ROUND('Retail Store Sales'!$F211*'Retail Store Sales'!$G211*_xlfn.XLOOKUP('Retail Store Sales'!$C211,Table2[Product Name],Table2[Cost Percentage],0),0)</f>
        <v>502</v>
      </c>
      <c r="P211" s="16">
        <f>'Retail Store Sales'!$F211*'Retail Store Sales'!$G211</f>
        <v>773</v>
      </c>
      <c r="Q211" s="12">
        <f>P211-Table1[[#This Row],[Total cost]]</f>
        <v>271</v>
      </c>
    </row>
    <row r="212" spans="1:17" x14ac:dyDescent="0.45">
      <c r="A212" s="12" t="s">
        <v>256</v>
      </c>
      <c r="B212" s="12" t="s">
        <v>23</v>
      </c>
      <c r="C212" s="12" t="s">
        <v>37</v>
      </c>
      <c r="D212" s="13">
        <v>45485</v>
      </c>
      <c r="E212" s="13">
        <v>45490</v>
      </c>
      <c r="F212" s="12">
        <v>7</v>
      </c>
      <c r="G212" s="12">
        <v>92</v>
      </c>
      <c r="H212" s="12" t="s">
        <v>13</v>
      </c>
      <c r="I212" s="12" t="s">
        <v>32</v>
      </c>
      <c r="J212" s="12" t="s">
        <v>14</v>
      </c>
      <c r="K212" s="14" t="str">
        <f>TEXT('Retail Store Sales'!$D212,"yyyy")</f>
        <v>2024</v>
      </c>
      <c r="L212" s="11" t="str">
        <f>TEXT('Retail Store Sales'!$D212,"mmm")</f>
        <v>Jul</v>
      </c>
      <c r="M212" s="12" t="str">
        <f>TEXT('Retail Store Sales'!$D212,"dddd")</f>
        <v>Friday</v>
      </c>
      <c r="N212" s="23">
        <f t="shared" si="3"/>
        <v>5</v>
      </c>
      <c r="O212" s="16">
        <f>ROUND('Retail Store Sales'!$F212*'Retail Store Sales'!$G212*_xlfn.XLOOKUP('Retail Store Sales'!$C212,Table2[Product Name],Table2[Cost Percentage],0),0)</f>
        <v>322</v>
      </c>
      <c r="P212" s="12">
        <f>'Retail Store Sales'!$F212*'Retail Store Sales'!$G212</f>
        <v>644</v>
      </c>
      <c r="Q212" s="12">
        <f>P212-Table1[[#This Row],[Total cost]]</f>
        <v>322</v>
      </c>
    </row>
    <row r="213" spans="1:17" x14ac:dyDescent="0.45">
      <c r="A213" s="16" t="s">
        <v>257</v>
      </c>
      <c r="B213" s="16" t="s">
        <v>30</v>
      </c>
      <c r="C213" s="16" t="s">
        <v>75</v>
      </c>
      <c r="D213" s="17">
        <v>45383</v>
      </c>
      <c r="E213" s="17">
        <v>45394</v>
      </c>
      <c r="F213" s="16">
        <v>9</v>
      </c>
      <c r="G213" s="16">
        <v>412</v>
      </c>
      <c r="H213" s="16" t="s">
        <v>27</v>
      </c>
      <c r="I213" s="16" t="s">
        <v>32</v>
      </c>
      <c r="J213" s="16" t="s">
        <v>18</v>
      </c>
      <c r="K213" s="18" t="str">
        <f>TEXT('Retail Store Sales'!$D213,"yyyy")</f>
        <v>2024</v>
      </c>
      <c r="L213" s="15" t="str">
        <f>TEXT('Retail Store Sales'!$D213,"mmm")</f>
        <v>Apr</v>
      </c>
      <c r="M213" s="16" t="str">
        <f>TEXT('Retail Store Sales'!$D213,"dddd")</f>
        <v>Monday</v>
      </c>
      <c r="N213" s="24">
        <f t="shared" si="3"/>
        <v>11</v>
      </c>
      <c r="O213" s="16">
        <f>ROUND('Retail Store Sales'!$F213*'Retail Store Sales'!$G213*_xlfn.XLOOKUP('Retail Store Sales'!$C213,Table2[Product Name],Table2[Cost Percentage],0),0)</f>
        <v>2781</v>
      </c>
      <c r="P213" s="16">
        <f>'Retail Store Sales'!$F213*'Retail Store Sales'!$G213</f>
        <v>3708</v>
      </c>
      <c r="Q213" s="12">
        <f>P213-Table1[[#This Row],[Total cost]]</f>
        <v>927</v>
      </c>
    </row>
    <row r="214" spans="1:17" x14ac:dyDescent="0.45">
      <c r="A214" s="12" t="s">
        <v>258</v>
      </c>
      <c r="B214" s="12" t="s">
        <v>20</v>
      </c>
      <c r="C214" s="12" t="s">
        <v>39</v>
      </c>
      <c r="D214" s="13">
        <v>45308</v>
      </c>
      <c r="E214" s="13">
        <v>45318</v>
      </c>
      <c r="F214" s="12">
        <v>7</v>
      </c>
      <c r="G214" s="12">
        <v>639</v>
      </c>
      <c r="H214" s="12" t="s">
        <v>13</v>
      </c>
      <c r="I214" s="12" t="s">
        <v>548</v>
      </c>
      <c r="J214" s="12" t="s">
        <v>18</v>
      </c>
      <c r="K214" s="14" t="str">
        <f>TEXT('Retail Store Sales'!$D214,"yyyy")</f>
        <v>2024</v>
      </c>
      <c r="L214" s="11" t="str">
        <f>TEXT('Retail Store Sales'!$D214,"mmm")</f>
        <v>Jan</v>
      </c>
      <c r="M214" s="12" t="str">
        <f>TEXT('Retail Store Sales'!$D214,"dddd")</f>
        <v>Wednesday</v>
      </c>
      <c r="N214" s="23">
        <f t="shared" si="3"/>
        <v>10</v>
      </c>
      <c r="O214" s="16">
        <f>ROUND('Retail Store Sales'!$F214*'Retail Store Sales'!$G214*_xlfn.XLOOKUP('Retail Store Sales'!$C214,Table2[Product Name],Table2[Cost Percentage],0),0)</f>
        <v>2907</v>
      </c>
      <c r="P214" s="12">
        <f>'Retail Store Sales'!$F214*'Retail Store Sales'!$G214</f>
        <v>4473</v>
      </c>
      <c r="Q214" s="12">
        <f>P214-Table1[[#This Row],[Total cost]]</f>
        <v>1566</v>
      </c>
    </row>
    <row r="215" spans="1:17" x14ac:dyDescent="0.45">
      <c r="A215" s="16" t="s">
        <v>259</v>
      </c>
      <c r="B215" s="16" t="s">
        <v>20</v>
      </c>
      <c r="C215" s="16" t="s">
        <v>39</v>
      </c>
      <c r="D215" s="17">
        <v>45343</v>
      </c>
      <c r="E215" s="17">
        <v>45356</v>
      </c>
      <c r="F215" s="16">
        <v>10</v>
      </c>
      <c r="G215" s="16">
        <v>44</v>
      </c>
      <c r="H215" s="16" t="s">
        <v>27</v>
      </c>
      <c r="I215" s="16" t="s">
        <v>549</v>
      </c>
      <c r="J215" s="16" t="s">
        <v>28</v>
      </c>
      <c r="K215" s="18" t="str">
        <f>TEXT('Retail Store Sales'!$D215,"yyyy")</f>
        <v>2024</v>
      </c>
      <c r="L215" s="15" t="str">
        <f>TEXT('Retail Store Sales'!$D215,"mmm")</f>
        <v>Feb</v>
      </c>
      <c r="M215" s="16" t="str">
        <f>TEXT('Retail Store Sales'!$D215,"dddd")</f>
        <v>Wednesday</v>
      </c>
      <c r="N215" s="24">
        <f t="shared" si="3"/>
        <v>13</v>
      </c>
      <c r="O215" s="16">
        <f>ROUND('Retail Store Sales'!$F215*'Retail Store Sales'!$G215*_xlfn.XLOOKUP('Retail Store Sales'!$C215,Table2[Product Name],Table2[Cost Percentage],0),0)</f>
        <v>286</v>
      </c>
      <c r="P215" s="16">
        <f>'Retail Store Sales'!$F215*'Retail Store Sales'!$G215</f>
        <v>440</v>
      </c>
      <c r="Q215" s="12">
        <f>P215-Table1[[#This Row],[Total cost]]</f>
        <v>154</v>
      </c>
    </row>
    <row r="216" spans="1:17" x14ac:dyDescent="0.45">
      <c r="A216" s="12" t="s">
        <v>260</v>
      </c>
      <c r="B216" s="12" t="s">
        <v>11</v>
      </c>
      <c r="C216" s="12" t="s">
        <v>57</v>
      </c>
      <c r="D216" s="13">
        <v>45314</v>
      </c>
      <c r="E216" s="13">
        <v>45327</v>
      </c>
      <c r="F216" s="12">
        <v>7</v>
      </c>
      <c r="G216" s="12">
        <v>459</v>
      </c>
      <c r="H216" s="12" t="s">
        <v>13</v>
      </c>
      <c r="I216" s="12" t="s">
        <v>550</v>
      </c>
      <c r="J216" s="12" t="s">
        <v>18</v>
      </c>
      <c r="K216" s="14" t="str">
        <f>TEXT('Retail Store Sales'!$D216,"yyyy")</f>
        <v>2024</v>
      </c>
      <c r="L216" s="11" t="str">
        <f>TEXT('Retail Store Sales'!$D216,"mmm")</f>
        <v>Jan</v>
      </c>
      <c r="M216" s="12" t="str">
        <f>TEXT('Retail Store Sales'!$D216,"dddd")</f>
        <v>Tuesday</v>
      </c>
      <c r="N216" s="23">
        <f t="shared" si="3"/>
        <v>13</v>
      </c>
      <c r="O216" s="16">
        <f>ROUND('Retail Store Sales'!$F216*'Retail Store Sales'!$G216*_xlfn.XLOOKUP('Retail Store Sales'!$C216,Table2[Product Name],Table2[Cost Percentage],0),0)</f>
        <v>2731</v>
      </c>
      <c r="P216" s="12">
        <f>'Retail Store Sales'!$F216*'Retail Store Sales'!$G216</f>
        <v>3213</v>
      </c>
      <c r="Q216" s="12">
        <f>P216-Table1[[#This Row],[Total cost]]</f>
        <v>482</v>
      </c>
    </row>
    <row r="217" spans="1:17" x14ac:dyDescent="0.45">
      <c r="A217" s="16" t="s">
        <v>261</v>
      </c>
      <c r="B217" s="16" t="s">
        <v>16</v>
      </c>
      <c r="C217" s="16" t="s">
        <v>59</v>
      </c>
      <c r="D217" s="17">
        <v>45636</v>
      </c>
      <c r="E217" s="17">
        <v>45645</v>
      </c>
      <c r="F217" s="16">
        <v>6</v>
      </c>
      <c r="G217" s="16">
        <v>252</v>
      </c>
      <c r="H217" s="16" t="s">
        <v>27</v>
      </c>
      <c r="I217" s="16" t="s">
        <v>546</v>
      </c>
      <c r="J217" s="16" t="s">
        <v>28</v>
      </c>
      <c r="K217" s="18" t="str">
        <f>TEXT('Retail Store Sales'!$D217,"yyyy")</f>
        <v>2024</v>
      </c>
      <c r="L217" s="15" t="str">
        <f>TEXT('Retail Store Sales'!$D217,"mmm")</f>
        <v>Dec</v>
      </c>
      <c r="M217" s="16" t="str">
        <f>TEXT('Retail Store Sales'!$D217,"dddd")</f>
        <v>Tuesday</v>
      </c>
      <c r="N217" s="24">
        <f t="shared" si="3"/>
        <v>9</v>
      </c>
      <c r="O217" s="16">
        <f>ROUND('Retail Store Sales'!$F217*'Retail Store Sales'!$G217*_xlfn.XLOOKUP('Retail Store Sales'!$C217,Table2[Product Name],Table2[Cost Percentage],0),0)</f>
        <v>983</v>
      </c>
      <c r="P217" s="16">
        <f>'Retail Store Sales'!$F217*'Retail Store Sales'!$G217</f>
        <v>1512</v>
      </c>
      <c r="Q217" s="12">
        <f>P217-Table1[[#This Row],[Total cost]]</f>
        <v>529</v>
      </c>
    </row>
    <row r="218" spans="1:17" x14ac:dyDescent="0.45">
      <c r="A218" s="12" t="s">
        <v>262</v>
      </c>
      <c r="B218" s="12" t="s">
        <v>16</v>
      </c>
      <c r="C218" s="12" t="s">
        <v>63</v>
      </c>
      <c r="D218" s="13">
        <v>45503</v>
      </c>
      <c r="E218" s="13">
        <v>45510</v>
      </c>
      <c r="F218" s="12">
        <v>5</v>
      </c>
      <c r="G218" s="12">
        <v>291</v>
      </c>
      <c r="H218" s="12" t="s">
        <v>27</v>
      </c>
      <c r="I218" s="12" t="s">
        <v>550</v>
      </c>
      <c r="J218" s="12" t="s">
        <v>28</v>
      </c>
      <c r="K218" s="14" t="str">
        <f>TEXT('Retail Store Sales'!$D218,"yyyy")</f>
        <v>2024</v>
      </c>
      <c r="L218" s="11" t="str">
        <f>TEXT('Retail Store Sales'!$D218,"mmm")</f>
        <v>Jul</v>
      </c>
      <c r="M218" s="12" t="str">
        <f>TEXT('Retail Store Sales'!$D218,"dddd")</f>
        <v>Tuesday</v>
      </c>
      <c r="N218" s="23">
        <f t="shared" si="3"/>
        <v>7</v>
      </c>
      <c r="O218" s="16">
        <f>ROUND('Retail Store Sales'!$F218*'Retail Store Sales'!$G218*_xlfn.XLOOKUP('Retail Store Sales'!$C218,Table2[Product Name],Table2[Cost Percentage],0),0)</f>
        <v>728</v>
      </c>
      <c r="P218" s="12">
        <f>'Retail Store Sales'!$F218*'Retail Store Sales'!$G218</f>
        <v>1455</v>
      </c>
      <c r="Q218" s="12">
        <f>P218-Table1[[#This Row],[Total cost]]</f>
        <v>727</v>
      </c>
    </row>
    <row r="219" spans="1:17" x14ac:dyDescent="0.45">
      <c r="A219" s="16" t="s">
        <v>263</v>
      </c>
      <c r="B219" s="16" t="s">
        <v>20</v>
      </c>
      <c r="C219" s="16" t="s">
        <v>21</v>
      </c>
      <c r="D219" s="17">
        <v>45576</v>
      </c>
      <c r="E219" s="17">
        <v>45584</v>
      </c>
      <c r="F219" s="16">
        <v>8</v>
      </c>
      <c r="G219" s="16">
        <v>58</v>
      </c>
      <c r="H219" s="16" t="s">
        <v>27</v>
      </c>
      <c r="I219" s="16" t="s">
        <v>546</v>
      </c>
      <c r="J219" s="16" t="s">
        <v>45</v>
      </c>
      <c r="K219" s="18" t="str">
        <f>TEXT('Retail Store Sales'!$D219,"yyyy")</f>
        <v>2024</v>
      </c>
      <c r="L219" s="15" t="str">
        <f>TEXT('Retail Store Sales'!$D219,"mmm")</f>
        <v>Oct</v>
      </c>
      <c r="M219" s="16" t="str">
        <f>TEXT('Retail Store Sales'!$D219,"dddd")</f>
        <v>Friday</v>
      </c>
      <c r="N219" s="24">
        <f t="shared" si="3"/>
        <v>8</v>
      </c>
      <c r="O219" s="16">
        <f>ROUND('Retail Store Sales'!$F219*'Retail Store Sales'!$G219*_xlfn.XLOOKUP('Retail Store Sales'!$C219,Table2[Product Name],Table2[Cost Percentage],0),0)</f>
        <v>348</v>
      </c>
      <c r="P219" s="16">
        <f>'Retail Store Sales'!$F219*'Retail Store Sales'!$G219</f>
        <v>464</v>
      </c>
      <c r="Q219" s="12">
        <f>P219-Table1[[#This Row],[Total cost]]</f>
        <v>116</v>
      </c>
    </row>
    <row r="220" spans="1:17" x14ac:dyDescent="0.45">
      <c r="A220" s="12" t="s">
        <v>264</v>
      </c>
      <c r="B220" s="12" t="s">
        <v>30</v>
      </c>
      <c r="C220" s="12" t="s">
        <v>49</v>
      </c>
      <c r="D220" s="13">
        <v>45501</v>
      </c>
      <c r="E220" s="13">
        <v>45513</v>
      </c>
      <c r="F220" s="12">
        <v>3</v>
      </c>
      <c r="G220" s="12">
        <v>317</v>
      </c>
      <c r="H220" s="12" t="s">
        <v>27</v>
      </c>
      <c r="I220" s="12" t="s">
        <v>549</v>
      </c>
      <c r="J220" s="12" t="s">
        <v>28</v>
      </c>
      <c r="K220" s="14" t="str">
        <f>TEXT('Retail Store Sales'!$D220,"yyyy")</f>
        <v>2024</v>
      </c>
      <c r="L220" s="11" t="str">
        <f>TEXT('Retail Store Sales'!$D220,"mmm")</f>
        <v>Jul</v>
      </c>
      <c r="M220" s="12" t="str">
        <f>TEXT('Retail Store Sales'!$D220,"dddd")</f>
        <v>Sunday</v>
      </c>
      <c r="N220" s="23">
        <f t="shared" si="3"/>
        <v>12</v>
      </c>
      <c r="O220" s="16">
        <f>ROUND('Retail Store Sales'!$F220*'Retail Store Sales'!$G220*_xlfn.XLOOKUP('Retail Store Sales'!$C220,Table2[Product Name],Table2[Cost Percentage],0),0)</f>
        <v>666</v>
      </c>
      <c r="P220" s="12">
        <f>'Retail Store Sales'!$F220*'Retail Store Sales'!$G220</f>
        <v>951</v>
      </c>
      <c r="Q220" s="12">
        <f>P220-Table1[[#This Row],[Total cost]]</f>
        <v>285</v>
      </c>
    </row>
    <row r="221" spans="1:17" x14ac:dyDescent="0.45">
      <c r="A221" s="16" t="s">
        <v>265</v>
      </c>
      <c r="B221" s="16" t="s">
        <v>11</v>
      </c>
      <c r="C221" s="16" t="s">
        <v>35</v>
      </c>
      <c r="D221" s="17">
        <v>45389</v>
      </c>
      <c r="E221" s="17">
        <v>45401</v>
      </c>
      <c r="F221" s="16">
        <v>1</v>
      </c>
      <c r="G221" s="16">
        <v>284</v>
      </c>
      <c r="H221" s="16" t="s">
        <v>27</v>
      </c>
      <c r="I221" s="16" t="s">
        <v>549</v>
      </c>
      <c r="J221" s="16" t="s">
        <v>14</v>
      </c>
      <c r="K221" s="18" t="str">
        <f>TEXT('Retail Store Sales'!$D221,"yyyy")</f>
        <v>2024</v>
      </c>
      <c r="L221" s="15" t="str">
        <f>TEXT('Retail Store Sales'!$D221,"mmm")</f>
        <v>Apr</v>
      </c>
      <c r="M221" s="16" t="str">
        <f>TEXT('Retail Store Sales'!$D221,"dddd")</f>
        <v>Sunday</v>
      </c>
      <c r="N221" s="24">
        <f t="shared" si="3"/>
        <v>12</v>
      </c>
      <c r="O221" s="16">
        <f>ROUND('Retail Store Sales'!$F221*'Retail Store Sales'!$G221*_xlfn.XLOOKUP('Retail Store Sales'!$C221,Table2[Product Name],Table2[Cost Percentage],0),0)</f>
        <v>227</v>
      </c>
      <c r="P221" s="16">
        <f>'Retail Store Sales'!$F221*'Retail Store Sales'!$G221</f>
        <v>284</v>
      </c>
      <c r="Q221" s="12">
        <f>P221-Table1[[#This Row],[Total cost]]</f>
        <v>57</v>
      </c>
    </row>
    <row r="222" spans="1:17" x14ac:dyDescent="0.45">
      <c r="A222" s="12" t="s">
        <v>266</v>
      </c>
      <c r="B222" s="12" t="s">
        <v>11</v>
      </c>
      <c r="C222" s="12" t="s">
        <v>12</v>
      </c>
      <c r="D222" s="13">
        <v>45388</v>
      </c>
      <c r="E222" s="13">
        <v>45391</v>
      </c>
      <c r="F222" s="12">
        <v>10</v>
      </c>
      <c r="G222" s="12">
        <v>751</v>
      </c>
      <c r="H222" s="12" t="s">
        <v>13</v>
      </c>
      <c r="I222" s="12" t="s">
        <v>32</v>
      </c>
      <c r="J222" s="12" t="s">
        <v>28</v>
      </c>
      <c r="K222" s="14" t="str">
        <f>TEXT('Retail Store Sales'!$D222,"yyyy")</f>
        <v>2024</v>
      </c>
      <c r="L222" s="11" t="str">
        <f>TEXT('Retail Store Sales'!$D222,"mmm")</f>
        <v>Apr</v>
      </c>
      <c r="M222" s="12" t="str">
        <f>TEXT('Retail Store Sales'!$D222,"dddd")</f>
        <v>Saturday</v>
      </c>
      <c r="N222" s="23">
        <f t="shared" si="3"/>
        <v>3</v>
      </c>
      <c r="O222" s="16">
        <f>ROUND('Retail Store Sales'!$F222*'Retail Store Sales'!$G222*_xlfn.XLOOKUP('Retail Store Sales'!$C222,Table2[Product Name],Table2[Cost Percentage],0),0)</f>
        <v>5633</v>
      </c>
      <c r="P222" s="12">
        <f>'Retail Store Sales'!$F222*'Retail Store Sales'!$G222</f>
        <v>7510</v>
      </c>
      <c r="Q222" s="12">
        <f>P222-Table1[[#This Row],[Total cost]]</f>
        <v>1877</v>
      </c>
    </row>
    <row r="223" spans="1:17" x14ac:dyDescent="0.45">
      <c r="A223" s="16" t="s">
        <v>267</v>
      </c>
      <c r="B223" s="16" t="s">
        <v>23</v>
      </c>
      <c r="C223" s="16" t="s">
        <v>99</v>
      </c>
      <c r="D223" s="17">
        <v>45462</v>
      </c>
      <c r="E223" s="17">
        <v>45476</v>
      </c>
      <c r="F223" s="16">
        <v>5</v>
      </c>
      <c r="G223" s="16">
        <v>989</v>
      </c>
      <c r="H223" s="16" t="s">
        <v>13</v>
      </c>
      <c r="I223" s="16" t="s">
        <v>550</v>
      </c>
      <c r="J223" s="16" t="s">
        <v>14</v>
      </c>
      <c r="K223" s="18" t="str">
        <f>TEXT('Retail Store Sales'!$D223,"yyyy")</f>
        <v>2024</v>
      </c>
      <c r="L223" s="15" t="str">
        <f>TEXT('Retail Store Sales'!$D223,"mmm")</f>
        <v>Jun</v>
      </c>
      <c r="M223" s="16" t="str">
        <f>TEXT('Retail Store Sales'!$D223,"dddd")</f>
        <v>Wednesday</v>
      </c>
      <c r="N223" s="24">
        <f t="shared" si="3"/>
        <v>14</v>
      </c>
      <c r="O223" s="16">
        <f>ROUND('Retail Store Sales'!$F223*'Retail Store Sales'!$G223*_xlfn.XLOOKUP('Retail Store Sales'!$C223,Table2[Product Name],Table2[Cost Percentage],0),0)</f>
        <v>2967</v>
      </c>
      <c r="P223" s="16">
        <f>'Retail Store Sales'!$F223*'Retail Store Sales'!$G223</f>
        <v>4945</v>
      </c>
      <c r="Q223" s="12">
        <f>P223-Table1[[#This Row],[Total cost]]</f>
        <v>1978</v>
      </c>
    </row>
    <row r="224" spans="1:17" x14ac:dyDescent="0.45">
      <c r="A224" s="12" t="s">
        <v>268</v>
      </c>
      <c r="B224" s="12" t="s">
        <v>11</v>
      </c>
      <c r="C224" s="12" t="s">
        <v>26</v>
      </c>
      <c r="D224" s="13">
        <v>45416</v>
      </c>
      <c r="E224" s="13">
        <v>45429</v>
      </c>
      <c r="F224" s="12">
        <v>10</v>
      </c>
      <c r="G224" s="12">
        <v>730</v>
      </c>
      <c r="H224" s="12" t="s">
        <v>13</v>
      </c>
      <c r="I224" s="12" t="s">
        <v>550</v>
      </c>
      <c r="J224" s="12" t="s">
        <v>14</v>
      </c>
      <c r="K224" s="14" t="str">
        <f>TEXT('Retail Store Sales'!$D224,"yyyy")</f>
        <v>2024</v>
      </c>
      <c r="L224" s="11" t="str">
        <f>TEXT('Retail Store Sales'!$D224,"mmm")</f>
        <v>May</v>
      </c>
      <c r="M224" s="12" t="str">
        <f>TEXT('Retail Store Sales'!$D224,"dddd")</f>
        <v>Saturday</v>
      </c>
      <c r="N224" s="23">
        <f t="shared" si="3"/>
        <v>13</v>
      </c>
      <c r="O224" s="16">
        <f>ROUND('Retail Store Sales'!$F224*'Retail Store Sales'!$G224*_xlfn.XLOOKUP('Retail Store Sales'!$C224,Table2[Product Name],Table2[Cost Percentage],0),0)</f>
        <v>4745</v>
      </c>
      <c r="P224" s="12">
        <f>'Retail Store Sales'!$F224*'Retail Store Sales'!$G224</f>
        <v>7300</v>
      </c>
      <c r="Q224" s="12">
        <f>P224-Table1[[#This Row],[Total cost]]</f>
        <v>2555</v>
      </c>
    </row>
    <row r="225" spans="1:17" x14ac:dyDescent="0.45">
      <c r="A225" s="16" t="s">
        <v>269</v>
      </c>
      <c r="B225" s="16" t="s">
        <v>20</v>
      </c>
      <c r="C225" s="16" t="s">
        <v>82</v>
      </c>
      <c r="D225" s="17">
        <v>45452</v>
      </c>
      <c r="E225" s="17">
        <v>45462</v>
      </c>
      <c r="F225" s="16">
        <v>7</v>
      </c>
      <c r="G225" s="16">
        <v>56</v>
      </c>
      <c r="H225" s="16" t="s">
        <v>27</v>
      </c>
      <c r="I225" s="16" t="s">
        <v>32</v>
      </c>
      <c r="J225" s="16" t="s">
        <v>28</v>
      </c>
      <c r="K225" s="18" t="str">
        <f>TEXT('Retail Store Sales'!$D225,"yyyy")</f>
        <v>2024</v>
      </c>
      <c r="L225" s="15" t="str">
        <f>TEXT('Retail Store Sales'!$D225,"mmm")</f>
        <v>Jun</v>
      </c>
      <c r="M225" s="16" t="str">
        <f>TEXT('Retail Store Sales'!$D225,"dddd")</f>
        <v>Sunday</v>
      </c>
      <c r="N225" s="24">
        <f t="shared" si="3"/>
        <v>10</v>
      </c>
      <c r="O225" s="16">
        <f>ROUND('Retail Store Sales'!$F225*'Retail Store Sales'!$G225*_xlfn.XLOOKUP('Retail Store Sales'!$C225,Table2[Product Name],Table2[Cost Percentage],0),0)</f>
        <v>314</v>
      </c>
      <c r="P225" s="16">
        <f>'Retail Store Sales'!$F225*'Retail Store Sales'!$G225</f>
        <v>392</v>
      </c>
      <c r="Q225" s="12">
        <f>P225-Table1[[#This Row],[Total cost]]</f>
        <v>78</v>
      </c>
    </row>
    <row r="226" spans="1:17" x14ac:dyDescent="0.45">
      <c r="A226" s="12" t="s">
        <v>270</v>
      </c>
      <c r="B226" s="12" t="s">
        <v>20</v>
      </c>
      <c r="C226" s="12" t="s">
        <v>39</v>
      </c>
      <c r="D226" s="13">
        <v>45425</v>
      </c>
      <c r="E226" s="13">
        <v>45428</v>
      </c>
      <c r="F226" s="12">
        <v>9</v>
      </c>
      <c r="G226" s="12">
        <v>967</v>
      </c>
      <c r="H226" s="12" t="s">
        <v>27</v>
      </c>
      <c r="I226" s="12" t="s">
        <v>32</v>
      </c>
      <c r="J226" s="12" t="s">
        <v>14</v>
      </c>
      <c r="K226" s="14" t="str">
        <f>TEXT('Retail Store Sales'!$D226,"yyyy")</f>
        <v>2024</v>
      </c>
      <c r="L226" s="11" t="str">
        <f>TEXT('Retail Store Sales'!$D226,"mmm")</f>
        <v>May</v>
      </c>
      <c r="M226" s="12" t="str">
        <f>TEXT('Retail Store Sales'!$D226,"dddd")</f>
        <v>Monday</v>
      </c>
      <c r="N226" s="23">
        <f t="shared" si="3"/>
        <v>3</v>
      </c>
      <c r="O226" s="16">
        <f>ROUND('Retail Store Sales'!$F226*'Retail Store Sales'!$G226*_xlfn.XLOOKUP('Retail Store Sales'!$C226,Table2[Product Name],Table2[Cost Percentage],0),0)</f>
        <v>5657</v>
      </c>
      <c r="P226" s="12">
        <f>'Retail Store Sales'!$F226*'Retail Store Sales'!$G226</f>
        <v>8703</v>
      </c>
      <c r="Q226" s="12">
        <f>P226-Table1[[#This Row],[Total cost]]</f>
        <v>3046</v>
      </c>
    </row>
    <row r="227" spans="1:17" x14ac:dyDescent="0.45">
      <c r="A227" s="16" t="s">
        <v>271</v>
      </c>
      <c r="B227" s="16" t="s">
        <v>23</v>
      </c>
      <c r="C227" s="16" t="s">
        <v>24</v>
      </c>
      <c r="D227" s="17">
        <v>45370</v>
      </c>
      <c r="E227" s="17">
        <v>45390</v>
      </c>
      <c r="F227" s="16">
        <v>4</v>
      </c>
      <c r="G227" s="16">
        <v>347</v>
      </c>
      <c r="H227" s="16" t="s">
        <v>27</v>
      </c>
      <c r="I227" s="16" t="s">
        <v>550</v>
      </c>
      <c r="J227" s="16" t="s">
        <v>18</v>
      </c>
      <c r="K227" s="18" t="str">
        <f>TEXT('Retail Store Sales'!$D227,"yyyy")</f>
        <v>2024</v>
      </c>
      <c r="L227" s="15" t="str">
        <f>TEXT('Retail Store Sales'!$D227,"mmm")</f>
        <v>Mar</v>
      </c>
      <c r="M227" s="16" t="str">
        <f>TEXT('Retail Store Sales'!$D227,"dddd")</f>
        <v>Tuesday</v>
      </c>
      <c r="N227" s="24">
        <f t="shared" si="3"/>
        <v>20</v>
      </c>
      <c r="O227" s="16">
        <f>ROUND('Retail Store Sales'!$F227*'Retail Store Sales'!$G227*_xlfn.XLOOKUP('Retail Store Sales'!$C227,Table2[Product Name],Table2[Cost Percentage],0),0)</f>
        <v>763</v>
      </c>
      <c r="P227" s="16">
        <f>'Retail Store Sales'!$F227*'Retail Store Sales'!$G227</f>
        <v>1388</v>
      </c>
      <c r="Q227" s="12">
        <f>P227-Table1[[#This Row],[Total cost]]</f>
        <v>625</v>
      </c>
    </row>
    <row r="228" spans="1:17" x14ac:dyDescent="0.45">
      <c r="A228" s="12" t="s">
        <v>272</v>
      </c>
      <c r="B228" s="12" t="s">
        <v>20</v>
      </c>
      <c r="C228" s="12" t="s">
        <v>21</v>
      </c>
      <c r="D228" s="13">
        <v>45573</v>
      </c>
      <c r="E228" s="13">
        <v>45582</v>
      </c>
      <c r="F228" s="12">
        <v>6</v>
      </c>
      <c r="G228" s="12">
        <v>273</v>
      </c>
      <c r="H228" s="12" t="s">
        <v>27</v>
      </c>
      <c r="I228" s="12" t="s">
        <v>548</v>
      </c>
      <c r="J228" s="12" t="s">
        <v>45</v>
      </c>
      <c r="K228" s="14" t="str">
        <f>TEXT('Retail Store Sales'!$D228,"yyyy")</f>
        <v>2024</v>
      </c>
      <c r="L228" s="11" t="str">
        <f>TEXT('Retail Store Sales'!$D228,"mmm")</f>
        <v>Oct</v>
      </c>
      <c r="M228" s="12" t="str">
        <f>TEXT('Retail Store Sales'!$D228,"dddd")</f>
        <v>Tuesday</v>
      </c>
      <c r="N228" s="23">
        <f t="shared" si="3"/>
        <v>9</v>
      </c>
      <c r="O228" s="16">
        <f>ROUND('Retail Store Sales'!$F228*'Retail Store Sales'!$G228*_xlfn.XLOOKUP('Retail Store Sales'!$C228,Table2[Product Name],Table2[Cost Percentage],0),0)</f>
        <v>1229</v>
      </c>
      <c r="P228" s="12">
        <f>'Retail Store Sales'!$F228*'Retail Store Sales'!$G228</f>
        <v>1638</v>
      </c>
      <c r="Q228" s="12">
        <f>P228-Table1[[#This Row],[Total cost]]</f>
        <v>409</v>
      </c>
    </row>
    <row r="229" spans="1:17" x14ac:dyDescent="0.45">
      <c r="A229" s="16" t="s">
        <v>273</v>
      </c>
      <c r="B229" s="16" t="s">
        <v>20</v>
      </c>
      <c r="C229" s="16" t="s">
        <v>51</v>
      </c>
      <c r="D229" s="17">
        <v>45620</v>
      </c>
      <c r="E229" s="17">
        <v>45623</v>
      </c>
      <c r="F229" s="16">
        <v>1</v>
      </c>
      <c r="G229" s="16">
        <v>546</v>
      </c>
      <c r="H229" s="16" t="s">
        <v>27</v>
      </c>
      <c r="I229" s="16" t="s">
        <v>550</v>
      </c>
      <c r="J229" s="16" t="s">
        <v>28</v>
      </c>
      <c r="K229" s="18" t="str">
        <f>TEXT('Retail Store Sales'!$D229,"yyyy")</f>
        <v>2024</v>
      </c>
      <c r="L229" s="15" t="str">
        <f>TEXT('Retail Store Sales'!$D229,"mmm")</f>
        <v>Nov</v>
      </c>
      <c r="M229" s="16" t="str">
        <f>TEXT('Retail Store Sales'!$D229,"dddd")</f>
        <v>Sunday</v>
      </c>
      <c r="N229" s="24">
        <f t="shared" si="3"/>
        <v>3</v>
      </c>
      <c r="O229" s="16">
        <f>ROUND('Retail Store Sales'!$F229*'Retail Store Sales'!$G229*_xlfn.XLOOKUP('Retail Store Sales'!$C229,Table2[Product Name],Table2[Cost Percentage],0),0)</f>
        <v>382</v>
      </c>
      <c r="P229" s="16">
        <f>'Retail Store Sales'!$F229*'Retail Store Sales'!$G229</f>
        <v>546</v>
      </c>
      <c r="Q229" s="12">
        <f>P229-Table1[[#This Row],[Total cost]]</f>
        <v>164</v>
      </c>
    </row>
    <row r="230" spans="1:17" x14ac:dyDescent="0.45">
      <c r="A230" s="12" t="s">
        <v>274</v>
      </c>
      <c r="B230" s="12" t="s">
        <v>11</v>
      </c>
      <c r="C230" s="12" t="s">
        <v>12</v>
      </c>
      <c r="D230" s="13">
        <v>45503</v>
      </c>
      <c r="E230" s="13">
        <v>45514</v>
      </c>
      <c r="F230" s="12">
        <v>3</v>
      </c>
      <c r="G230" s="12">
        <v>872</v>
      </c>
      <c r="H230" s="12" t="s">
        <v>13</v>
      </c>
      <c r="I230" s="12" t="s">
        <v>32</v>
      </c>
      <c r="J230" s="12" t="s">
        <v>28</v>
      </c>
      <c r="K230" s="14" t="str">
        <f>TEXT('Retail Store Sales'!$D230,"yyyy")</f>
        <v>2024</v>
      </c>
      <c r="L230" s="11" t="str">
        <f>TEXT('Retail Store Sales'!$D230,"mmm")</f>
        <v>Jul</v>
      </c>
      <c r="M230" s="12" t="str">
        <f>TEXT('Retail Store Sales'!$D230,"dddd")</f>
        <v>Tuesday</v>
      </c>
      <c r="N230" s="23">
        <f t="shared" si="3"/>
        <v>11</v>
      </c>
      <c r="O230" s="16">
        <f>ROUND('Retail Store Sales'!$F230*'Retail Store Sales'!$G230*_xlfn.XLOOKUP('Retail Store Sales'!$C230,Table2[Product Name],Table2[Cost Percentage],0),0)</f>
        <v>1962</v>
      </c>
      <c r="P230" s="12">
        <f>'Retail Store Sales'!$F230*'Retail Store Sales'!$G230</f>
        <v>2616</v>
      </c>
      <c r="Q230" s="12">
        <f>P230-Table1[[#This Row],[Total cost]]</f>
        <v>654</v>
      </c>
    </row>
    <row r="231" spans="1:17" x14ac:dyDescent="0.45">
      <c r="A231" s="16" t="s">
        <v>275</v>
      </c>
      <c r="B231" s="16" t="s">
        <v>20</v>
      </c>
      <c r="C231" s="16" t="s">
        <v>39</v>
      </c>
      <c r="D231" s="17">
        <v>45403</v>
      </c>
      <c r="E231" s="17">
        <v>45410</v>
      </c>
      <c r="F231" s="16">
        <v>9</v>
      </c>
      <c r="G231" s="16">
        <v>476</v>
      </c>
      <c r="H231" s="16" t="s">
        <v>27</v>
      </c>
      <c r="I231" s="16" t="s">
        <v>546</v>
      </c>
      <c r="J231" s="16" t="s">
        <v>45</v>
      </c>
      <c r="K231" s="18" t="str">
        <f>TEXT('Retail Store Sales'!$D231,"yyyy")</f>
        <v>2024</v>
      </c>
      <c r="L231" s="15" t="str">
        <f>TEXT('Retail Store Sales'!$D231,"mmm")</f>
        <v>Apr</v>
      </c>
      <c r="M231" s="16" t="str">
        <f>TEXT('Retail Store Sales'!$D231,"dddd")</f>
        <v>Sunday</v>
      </c>
      <c r="N231" s="24">
        <f t="shared" si="3"/>
        <v>7</v>
      </c>
      <c r="O231" s="16">
        <f>ROUND('Retail Store Sales'!$F231*'Retail Store Sales'!$G231*_xlfn.XLOOKUP('Retail Store Sales'!$C231,Table2[Product Name],Table2[Cost Percentage],0),0)</f>
        <v>2785</v>
      </c>
      <c r="P231" s="16">
        <f>'Retail Store Sales'!$F231*'Retail Store Sales'!$G231</f>
        <v>4284</v>
      </c>
      <c r="Q231" s="12">
        <f>P231-Table1[[#This Row],[Total cost]]</f>
        <v>1499</v>
      </c>
    </row>
    <row r="232" spans="1:17" x14ac:dyDescent="0.45">
      <c r="A232" s="12" t="s">
        <v>276</v>
      </c>
      <c r="B232" s="12" t="s">
        <v>16</v>
      </c>
      <c r="C232" s="12" t="s">
        <v>43</v>
      </c>
      <c r="D232" s="13">
        <v>45629</v>
      </c>
      <c r="E232" s="13">
        <v>45638</v>
      </c>
      <c r="F232" s="12">
        <v>8</v>
      </c>
      <c r="G232" s="12">
        <v>26</v>
      </c>
      <c r="H232" s="12" t="s">
        <v>27</v>
      </c>
      <c r="I232" s="12" t="s">
        <v>550</v>
      </c>
      <c r="J232" s="12" t="s">
        <v>28</v>
      </c>
      <c r="K232" s="14" t="str">
        <f>TEXT('Retail Store Sales'!$D232,"yyyy")</f>
        <v>2024</v>
      </c>
      <c r="L232" s="11" t="str">
        <f>TEXT('Retail Store Sales'!$D232,"mmm")</f>
        <v>Dec</v>
      </c>
      <c r="M232" s="12" t="str">
        <f>TEXT('Retail Store Sales'!$D232,"dddd")</f>
        <v>Tuesday</v>
      </c>
      <c r="N232" s="23">
        <f t="shared" si="3"/>
        <v>9</v>
      </c>
      <c r="O232" s="16">
        <f>ROUND('Retail Store Sales'!$F232*'Retail Store Sales'!$G232*_xlfn.XLOOKUP('Retail Store Sales'!$C232,Table2[Product Name],Table2[Cost Percentage],0),0)</f>
        <v>125</v>
      </c>
      <c r="P232" s="12">
        <f>'Retail Store Sales'!$F232*'Retail Store Sales'!$G232</f>
        <v>208</v>
      </c>
      <c r="Q232" s="12">
        <f>P232-Table1[[#This Row],[Total cost]]</f>
        <v>83</v>
      </c>
    </row>
    <row r="233" spans="1:17" x14ac:dyDescent="0.45">
      <c r="A233" s="16" t="s">
        <v>277</v>
      </c>
      <c r="B233" s="16" t="s">
        <v>11</v>
      </c>
      <c r="C233" s="16" t="s">
        <v>35</v>
      </c>
      <c r="D233" s="17">
        <v>45649</v>
      </c>
      <c r="E233" s="17">
        <v>45662</v>
      </c>
      <c r="F233" s="16">
        <v>7</v>
      </c>
      <c r="G233" s="16">
        <v>835</v>
      </c>
      <c r="H233" s="16" t="s">
        <v>13</v>
      </c>
      <c r="I233" s="16" t="s">
        <v>550</v>
      </c>
      <c r="J233" s="16" t="s">
        <v>45</v>
      </c>
      <c r="K233" s="18" t="str">
        <f>TEXT('Retail Store Sales'!$D233,"yyyy")</f>
        <v>2024</v>
      </c>
      <c r="L233" s="15" t="str">
        <f>TEXT('Retail Store Sales'!$D233,"mmm")</f>
        <v>Dec</v>
      </c>
      <c r="M233" s="16" t="str">
        <f>TEXT('Retail Store Sales'!$D233,"dddd")</f>
        <v>Monday</v>
      </c>
      <c r="N233" s="24">
        <f t="shared" si="3"/>
        <v>13</v>
      </c>
      <c r="O233" s="16">
        <f>ROUND('Retail Store Sales'!$F233*'Retail Store Sales'!$G233*_xlfn.XLOOKUP('Retail Store Sales'!$C233,Table2[Product Name],Table2[Cost Percentage],0),0)</f>
        <v>4676</v>
      </c>
      <c r="P233" s="16">
        <f>'Retail Store Sales'!$F233*'Retail Store Sales'!$G233</f>
        <v>5845</v>
      </c>
      <c r="Q233" s="12">
        <f>P233-Table1[[#This Row],[Total cost]]</f>
        <v>1169</v>
      </c>
    </row>
    <row r="234" spans="1:17" x14ac:dyDescent="0.45">
      <c r="A234" s="12" t="s">
        <v>278</v>
      </c>
      <c r="B234" s="12" t="s">
        <v>30</v>
      </c>
      <c r="C234" s="12" t="s">
        <v>49</v>
      </c>
      <c r="D234" s="13">
        <v>45332</v>
      </c>
      <c r="E234" s="13">
        <v>45345</v>
      </c>
      <c r="F234" s="12">
        <v>6</v>
      </c>
      <c r="G234" s="12">
        <v>992</v>
      </c>
      <c r="H234" s="12" t="s">
        <v>27</v>
      </c>
      <c r="I234" s="12" t="s">
        <v>549</v>
      </c>
      <c r="J234" s="12" t="s">
        <v>14</v>
      </c>
      <c r="K234" s="14" t="str">
        <f>TEXT('Retail Store Sales'!$D234,"yyyy")</f>
        <v>2024</v>
      </c>
      <c r="L234" s="11" t="str">
        <f>TEXT('Retail Store Sales'!$D234,"mmm")</f>
        <v>Feb</v>
      </c>
      <c r="M234" s="12" t="str">
        <f>TEXT('Retail Store Sales'!$D234,"dddd")</f>
        <v>Saturday</v>
      </c>
      <c r="N234" s="23">
        <f t="shared" si="3"/>
        <v>13</v>
      </c>
      <c r="O234" s="16">
        <f>ROUND('Retail Store Sales'!$F234*'Retail Store Sales'!$G234*_xlfn.XLOOKUP('Retail Store Sales'!$C234,Table2[Product Name],Table2[Cost Percentage],0),0)</f>
        <v>4166</v>
      </c>
      <c r="P234" s="12">
        <f>'Retail Store Sales'!$F234*'Retail Store Sales'!$G234</f>
        <v>5952</v>
      </c>
      <c r="Q234" s="12">
        <f>P234-Table1[[#This Row],[Total cost]]</f>
        <v>1786</v>
      </c>
    </row>
    <row r="235" spans="1:17" x14ac:dyDescent="0.45">
      <c r="A235" s="16" t="s">
        <v>279</v>
      </c>
      <c r="B235" s="16" t="s">
        <v>20</v>
      </c>
      <c r="C235" s="16" t="s">
        <v>53</v>
      </c>
      <c r="D235" s="17">
        <v>45445</v>
      </c>
      <c r="E235" s="17">
        <v>45454</v>
      </c>
      <c r="F235" s="16">
        <v>2</v>
      </c>
      <c r="G235" s="16">
        <v>679</v>
      </c>
      <c r="H235" s="16" t="s">
        <v>13</v>
      </c>
      <c r="I235" s="16" t="s">
        <v>548</v>
      </c>
      <c r="J235" s="16" t="s">
        <v>14</v>
      </c>
      <c r="K235" s="18" t="str">
        <f>TEXT('Retail Store Sales'!$D235,"yyyy")</f>
        <v>2024</v>
      </c>
      <c r="L235" s="15" t="str">
        <f>TEXT('Retail Store Sales'!$D235,"mmm")</f>
        <v>Jun</v>
      </c>
      <c r="M235" s="16" t="str">
        <f>TEXT('Retail Store Sales'!$D235,"dddd")</f>
        <v>Sunday</v>
      </c>
      <c r="N235" s="24">
        <f t="shared" si="3"/>
        <v>9</v>
      </c>
      <c r="O235" s="16">
        <f>ROUND('Retail Store Sales'!$F235*'Retail Store Sales'!$G235*_xlfn.XLOOKUP('Retail Store Sales'!$C235,Table2[Product Name],Table2[Cost Percentage],0),0)</f>
        <v>951</v>
      </c>
      <c r="P235" s="16">
        <f>'Retail Store Sales'!$F235*'Retail Store Sales'!$G235</f>
        <v>1358</v>
      </c>
      <c r="Q235" s="12">
        <f>P235-Table1[[#This Row],[Total cost]]</f>
        <v>407</v>
      </c>
    </row>
    <row r="236" spans="1:17" x14ac:dyDescent="0.45">
      <c r="A236" s="12" t="s">
        <v>280</v>
      </c>
      <c r="B236" s="12" t="s">
        <v>23</v>
      </c>
      <c r="C236" s="12" t="s">
        <v>37</v>
      </c>
      <c r="D236" s="13">
        <v>45485</v>
      </c>
      <c r="E236" s="13">
        <v>45498</v>
      </c>
      <c r="F236" s="12">
        <v>9</v>
      </c>
      <c r="G236" s="12">
        <v>497</v>
      </c>
      <c r="H236" s="12" t="s">
        <v>27</v>
      </c>
      <c r="I236" s="12" t="s">
        <v>550</v>
      </c>
      <c r="J236" s="12" t="s">
        <v>45</v>
      </c>
      <c r="K236" s="14" t="str">
        <f>TEXT('Retail Store Sales'!$D236,"yyyy")</f>
        <v>2024</v>
      </c>
      <c r="L236" s="11" t="str">
        <f>TEXT('Retail Store Sales'!$D236,"mmm")</f>
        <v>Jul</v>
      </c>
      <c r="M236" s="12" t="str">
        <f>TEXT('Retail Store Sales'!$D236,"dddd")</f>
        <v>Friday</v>
      </c>
      <c r="N236" s="23">
        <f t="shared" si="3"/>
        <v>13</v>
      </c>
      <c r="O236" s="16">
        <f>ROUND('Retail Store Sales'!$F236*'Retail Store Sales'!$G236*_xlfn.XLOOKUP('Retail Store Sales'!$C236,Table2[Product Name],Table2[Cost Percentage],0),0)</f>
        <v>2237</v>
      </c>
      <c r="P236" s="12">
        <f>'Retail Store Sales'!$F236*'Retail Store Sales'!$G236</f>
        <v>4473</v>
      </c>
      <c r="Q236" s="12">
        <f>P236-Table1[[#This Row],[Total cost]]</f>
        <v>2236</v>
      </c>
    </row>
    <row r="237" spans="1:17" x14ac:dyDescent="0.45">
      <c r="A237" s="16" t="s">
        <v>281</v>
      </c>
      <c r="B237" s="16" t="s">
        <v>20</v>
      </c>
      <c r="C237" s="16" t="s">
        <v>39</v>
      </c>
      <c r="D237" s="17">
        <v>45547</v>
      </c>
      <c r="E237" s="17">
        <v>45555</v>
      </c>
      <c r="F237" s="16">
        <v>7</v>
      </c>
      <c r="G237" s="16">
        <v>670</v>
      </c>
      <c r="H237" s="16" t="s">
        <v>27</v>
      </c>
      <c r="I237" s="16" t="s">
        <v>548</v>
      </c>
      <c r="J237" s="16" t="s">
        <v>45</v>
      </c>
      <c r="K237" s="18" t="str">
        <f>TEXT('Retail Store Sales'!$D237,"yyyy")</f>
        <v>2024</v>
      </c>
      <c r="L237" s="15" t="str">
        <f>TEXT('Retail Store Sales'!$D237,"mmm")</f>
        <v>Sep</v>
      </c>
      <c r="M237" s="16" t="str">
        <f>TEXT('Retail Store Sales'!$D237,"dddd")</f>
        <v>Thursday</v>
      </c>
      <c r="N237" s="24">
        <f t="shared" si="3"/>
        <v>8</v>
      </c>
      <c r="O237" s="16">
        <f>ROUND('Retail Store Sales'!$F237*'Retail Store Sales'!$G237*_xlfn.XLOOKUP('Retail Store Sales'!$C237,Table2[Product Name],Table2[Cost Percentage],0),0)</f>
        <v>3049</v>
      </c>
      <c r="P237" s="16">
        <f>'Retail Store Sales'!$F237*'Retail Store Sales'!$G237</f>
        <v>4690</v>
      </c>
      <c r="Q237" s="12">
        <f>P237-Table1[[#This Row],[Total cost]]</f>
        <v>1641</v>
      </c>
    </row>
    <row r="238" spans="1:17" x14ac:dyDescent="0.45">
      <c r="A238" s="12" t="s">
        <v>282</v>
      </c>
      <c r="B238" s="12" t="s">
        <v>30</v>
      </c>
      <c r="C238" s="12" t="s">
        <v>75</v>
      </c>
      <c r="D238" s="13">
        <v>45330</v>
      </c>
      <c r="E238" s="13">
        <v>45343</v>
      </c>
      <c r="F238" s="12">
        <v>5</v>
      </c>
      <c r="G238" s="12">
        <v>930</v>
      </c>
      <c r="H238" s="12" t="s">
        <v>27</v>
      </c>
      <c r="I238" s="12" t="s">
        <v>32</v>
      </c>
      <c r="J238" s="12" t="s">
        <v>18</v>
      </c>
      <c r="K238" s="14" t="str">
        <f>TEXT('Retail Store Sales'!$D238,"yyyy")</f>
        <v>2024</v>
      </c>
      <c r="L238" s="11" t="str">
        <f>TEXT('Retail Store Sales'!$D238,"mmm")</f>
        <v>Feb</v>
      </c>
      <c r="M238" s="12" t="str">
        <f>TEXT('Retail Store Sales'!$D238,"dddd")</f>
        <v>Thursday</v>
      </c>
      <c r="N238" s="23">
        <f t="shared" si="3"/>
        <v>13</v>
      </c>
      <c r="O238" s="16">
        <f>ROUND('Retail Store Sales'!$F238*'Retail Store Sales'!$G238*_xlfn.XLOOKUP('Retail Store Sales'!$C238,Table2[Product Name],Table2[Cost Percentage],0),0)</f>
        <v>3488</v>
      </c>
      <c r="P238" s="12">
        <f>'Retail Store Sales'!$F238*'Retail Store Sales'!$G238</f>
        <v>4650</v>
      </c>
      <c r="Q238" s="12">
        <f>P238-Table1[[#This Row],[Total cost]]</f>
        <v>1162</v>
      </c>
    </row>
    <row r="239" spans="1:17" x14ac:dyDescent="0.45">
      <c r="A239" s="16" t="s">
        <v>283</v>
      </c>
      <c r="B239" s="16" t="s">
        <v>11</v>
      </c>
      <c r="C239" s="16" t="s">
        <v>57</v>
      </c>
      <c r="D239" s="17">
        <v>45453</v>
      </c>
      <c r="E239" s="17">
        <v>45462</v>
      </c>
      <c r="F239" s="16">
        <v>1</v>
      </c>
      <c r="G239" s="16">
        <v>994</v>
      </c>
      <c r="H239" s="16" t="s">
        <v>13</v>
      </c>
      <c r="I239" s="16" t="s">
        <v>550</v>
      </c>
      <c r="J239" s="16" t="s">
        <v>14</v>
      </c>
      <c r="K239" s="18" t="str">
        <f>TEXT('Retail Store Sales'!$D239,"yyyy")</f>
        <v>2024</v>
      </c>
      <c r="L239" s="15" t="str">
        <f>TEXT('Retail Store Sales'!$D239,"mmm")</f>
        <v>Jun</v>
      </c>
      <c r="M239" s="16" t="str">
        <f>TEXT('Retail Store Sales'!$D239,"dddd")</f>
        <v>Monday</v>
      </c>
      <c r="N239" s="24">
        <f t="shared" si="3"/>
        <v>9</v>
      </c>
      <c r="O239" s="16">
        <f>ROUND('Retail Store Sales'!$F239*'Retail Store Sales'!$G239*_xlfn.XLOOKUP('Retail Store Sales'!$C239,Table2[Product Name],Table2[Cost Percentage],0),0)</f>
        <v>845</v>
      </c>
      <c r="P239" s="16">
        <f>'Retail Store Sales'!$F239*'Retail Store Sales'!$G239</f>
        <v>994</v>
      </c>
      <c r="Q239" s="12">
        <f>P239-Table1[[#This Row],[Total cost]]</f>
        <v>149</v>
      </c>
    </row>
    <row r="240" spans="1:17" x14ac:dyDescent="0.45">
      <c r="A240" s="12" t="s">
        <v>284</v>
      </c>
      <c r="B240" s="12" t="s">
        <v>16</v>
      </c>
      <c r="C240" s="12" t="s">
        <v>55</v>
      </c>
      <c r="D240" s="13">
        <v>45488</v>
      </c>
      <c r="E240" s="13">
        <v>45501</v>
      </c>
      <c r="F240" s="12">
        <v>3</v>
      </c>
      <c r="G240" s="12">
        <v>819</v>
      </c>
      <c r="H240" s="12" t="s">
        <v>27</v>
      </c>
      <c r="I240" s="12" t="s">
        <v>32</v>
      </c>
      <c r="J240" s="12" t="s">
        <v>14</v>
      </c>
      <c r="K240" s="14" t="str">
        <f>TEXT('Retail Store Sales'!$D240,"yyyy")</f>
        <v>2024</v>
      </c>
      <c r="L240" s="11" t="str">
        <f>TEXT('Retail Store Sales'!$D240,"mmm")</f>
        <v>Jul</v>
      </c>
      <c r="M240" s="12" t="str">
        <f>TEXT('Retail Store Sales'!$D240,"dddd")</f>
        <v>Monday</v>
      </c>
      <c r="N240" s="23">
        <f t="shared" si="3"/>
        <v>13</v>
      </c>
      <c r="O240" s="16">
        <f>ROUND('Retail Store Sales'!$F240*'Retail Store Sales'!$G240*_xlfn.XLOOKUP('Retail Store Sales'!$C240,Table2[Product Name],Table2[Cost Percentage],0),0)</f>
        <v>1351</v>
      </c>
      <c r="P240" s="12">
        <f>'Retail Store Sales'!$F240*'Retail Store Sales'!$G240</f>
        <v>2457</v>
      </c>
      <c r="Q240" s="12">
        <f>P240-Table1[[#This Row],[Total cost]]</f>
        <v>1106</v>
      </c>
    </row>
    <row r="241" spans="1:17" x14ac:dyDescent="0.45">
      <c r="A241" s="16" t="s">
        <v>285</v>
      </c>
      <c r="B241" s="16" t="s">
        <v>16</v>
      </c>
      <c r="C241" s="16" t="s">
        <v>59</v>
      </c>
      <c r="D241" s="17">
        <v>45596</v>
      </c>
      <c r="E241" s="17">
        <v>45610</v>
      </c>
      <c r="F241" s="16">
        <v>7</v>
      </c>
      <c r="G241" s="16">
        <v>802</v>
      </c>
      <c r="H241" s="16" t="s">
        <v>27</v>
      </c>
      <c r="I241" s="16" t="s">
        <v>546</v>
      </c>
      <c r="J241" s="16" t="s">
        <v>18</v>
      </c>
      <c r="K241" s="18" t="str">
        <f>TEXT('Retail Store Sales'!$D241,"yyyy")</f>
        <v>2024</v>
      </c>
      <c r="L241" s="15" t="str">
        <f>TEXT('Retail Store Sales'!$D241,"mmm")</f>
        <v>Oct</v>
      </c>
      <c r="M241" s="16" t="str">
        <f>TEXT('Retail Store Sales'!$D241,"dddd")</f>
        <v>Thursday</v>
      </c>
      <c r="N241" s="24">
        <f t="shared" si="3"/>
        <v>14</v>
      </c>
      <c r="O241" s="16">
        <f>ROUND('Retail Store Sales'!$F241*'Retail Store Sales'!$G241*_xlfn.XLOOKUP('Retail Store Sales'!$C241,Table2[Product Name],Table2[Cost Percentage],0),0)</f>
        <v>3649</v>
      </c>
      <c r="P241" s="16">
        <f>'Retail Store Sales'!$F241*'Retail Store Sales'!$G241</f>
        <v>5614</v>
      </c>
      <c r="Q241" s="12">
        <f>P241-Table1[[#This Row],[Total cost]]</f>
        <v>1965</v>
      </c>
    </row>
    <row r="242" spans="1:17" x14ac:dyDescent="0.45">
      <c r="A242" s="12" t="s">
        <v>286</v>
      </c>
      <c r="B242" s="12" t="s">
        <v>20</v>
      </c>
      <c r="C242" s="12" t="s">
        <v>39</v>
      </c>
      <c r="D242" s="13">
        <v>45334</v>
      </c>
      <c r="E242" s="13">
        <v>45345</v>
      </c>
      <c r="F242" s="12">
        <v>5</v>
      </c>
      <c r="G242" s="12">
        <v>167</v>
      </c>
      <c r="H242" s="12" t="s">
        <v>27</v>
      </c>
      <c r="I242" s="12" t="s">
        <v>549</v>
      </c>
      <c r="J242" s="12" t="s">
        <v>28</v>
      </c>
      <c r="K242" s="14" t="str">
        <f>TEXT('Retail Store Sales'!$D242,"yyyy")</f>
        <v>2024</v>
      </c>
      <c r="L242" s="11" t="str">
        <f>TEXT('Retail Store Sales'!$D242,"mmm")</f>
        <v>Feb</v>
      </c>
      <c r="M242" s="12" t="str">
        <f>TEXT('Retail Store Sales'!$D242,"dddd")</f>
        <v>Monday</v>
      </c>
      <c r="N242" s="23">
        <f t="shared" si="3"/>
        <v>11</v>
      </c>
      <c r="O242" s="16">
        <f>ROUND('Retail Store Sales'!$F242*'Retail Store Sales'!$G242*_xlfn.XLOOKUP('Retail Store Sales'!$C242,Table2[Product Name],Table2[Cost Percentage],0),0)</f>
        <v>543</v>
      </c>
      <c r="P242" s="12">
        <f>'Retail Store Sales'!$F242*'Retail Store Sales'!$G242</f>
        <v>835</v>
      </c>
      <c r="Q242" s="12">
        <f>P242-Table1[[#This Row],[Total cost]]</f>
        <v>292</v>
      </c>
    </row>
    <row r="243" spans="1:17" x14ac:dyDescent="0.45">
      <c r="A243" s="16" t="s">
        <v>287</v>
      </c>
      <c r="B243" s="16" t="s">
        <v>16</v>
      </c>
      <c r="C243" s="16" t="s">
        <v>17</v>
      </c>
      <c r="D243" s="17">
        <v>45597</v>
      </c>
      <c r="E243" s="17">
        <v>45602</v>
      </c>
      <c r="F243" s="16">
        <v>10</v>
      </c>
      <c r="G243" s="16">
        <v>813</v>
      </c>
      <c r="H243" s="16" t="s">
        <v>13</v>
      </c>
      <c r="I243" s="16" t="s">
        <v>546</v>
      </c>
      <c r="J243" s="16" t="s">
        <v>14</v>
      </c>
      <c r="K243" s="18" t="str">
        <f>TEXT('Retail Store Sales'!$D243,"yyyy")</f>
        <v>2024</v>
      </c>
      <c r="L243" s="15" t="str">
        <f>TEXT('Retail Store Sales'!$D243,"mmm")</f>
        <v>Nov</v>
      </c>
      <c r="M243" s="16" t="str">
        <f>TEXT('Retail Store Sales'!$D243,"dddd")</f>
        <v>Friday</v>
      </c>
      <c r="N243" s="24">
        <f t="shared" si="3"/>
        <v>5</v>
      </c>
      <c r="O243" s="16">
        <f>ROUND('Retail Store Sales'!$F243*'Retail Store Sales'!$G243*_xlfn.XLOOKUP('Retail Store Sales'!$C243,Table2[Product Name],Table2[Cost Percentage],0),0)</f>
        <v>4065</v>
      </c>
      <c r="P243" s="16">
        <f>'Retail Store Sales'!$F243*'Retail Store Sales'!$G243</f>
        <v>8130</v>
      </c>
      <c r="Q243" s="12">
        <f>P243-Table1[[#This Row],[Total cost]]</f>
        <v>4065</v>
      </c>
    </row>
    <row r="244" spans="1:17" x14ac:dyDescent="0.45">
      <c r="A244" s="12" t="s">
        <v>288</v>
      </c>
      <c r="B244" s="12" t="s">
        <v>30</v>
      </c>
      <c r="C244" s="12" t="s">
        <v>49</v>
      </c>
      <c r="D244" s="13">
        <v>45490</v>
      </c>
      <c r="E244" s="13">
        <v>45496</v>
      </c>
      <c r="F244" s="12">
        <v>2</v>
      </c>
      <c r="G244" s="12">
        <v>752</v>
      </c>
      <c r="H244" s="12" t="s">
        <v>27</v>
      </c>
      <c r="I244" s="12" t="s">
        <v>32</v>
      </c>
      <c r="J244" s="12" t="s">
        <v>18</v>
      </c>
      <c r="K244" s="14" t="str">
        <f>TEXT('Retail Store Sales'!$D244,"yyyy")</f>
        <v>2024</v>
      </c>
      <c r="L244" s="11" t="str">
        <f>TEXT('Retail Store Sales'!$D244,"mmm")</f>
        <v>Jul</v>
      </c>
      <c r="M244" s="12" t="str">
        <f>TEXT('Retail Store Sales'!$D244,"dddd")</f>
        <v>Wednesday</v>
      </c>
      <c r="N244" s="23">
        <f t="shared" si="3"/>
        <v>6</v>
      </c>
      <c r="O244" s="16">
        <f>ROUND('Retail Store Sales'!$F244*'Retail Store Sales'!$G244*_xlfn.XLOOKUP('Retail Store Sales'!$C244,Table2[Product Name],Table2[Cost Percentage],0),0)</f>
        <v>1053</v>
      </c>
      <c r="P244" s="12">
        <f>'Retail Store Sales'!$F244*'Retail Store Sales'!$G244</f>
        <v>1504</v>
      </c>
      <c r="Q244" s="12">
        <f>P244-Table1[[#This Row],[Total cost]]</f>
        <v>451</v>
      </c>
    </row>
    <row r="245" spans="1:17" x14ac:dyDescent="0.45">
      <c r="A245" s="16" t="s">
        <v>289</v>
      </c>
      <c r="B245" s="16" t="s">
        <v>30</v>
      </c>
      <c r="C245" s="16" t="s">
        <v>49</v>
      </c>
      <c r="D245" s="17">
        <v>45331</v>
      </c>
      <c r="E245" s="17">
        <v>45335</v>
      </c>
      <c r="F245" s="16">
        <v>6</v>
      </c>
      <c r="G245" s="16">
        <v>267</v>
      </c>
      <c r="H245" s="16" t="s">
        <v>27</v>
      </c>
      <c r="I245" s="16" t="s">
        <v>547</v>
      </c>
      <c r="J245" s="16" t="s">
        <v>28</v>
      </c>
      <c r="K245" s="18" t="str">
        <f>TEXT('Retail Store Sales'!$D245,"yyyy")</f>
        <v>2024</v>
      </c>
      <c r="L245" s="15" t="str">
        <f>TEXT('Retail Store Sales'!$D245,"mmm")</f>
        <v>Feb</v>
      </c>
      <c r="M245" s="16" t="str">
        <f>TEXT('Retail Store Sales'!$D245,"dddd")</f>
        <v>Friday</v>
      </c>
      <c r="N245" s="24">
        <f t="shared" si="3"/>
        <v>4</v>
      </c>
      <c r="O245" s="16">
        <f>ROUND('Retail Store Sales'!$F245*'Retail Store Sales'!$G245*_xlfn.XLOOKUP('Retail Store Sales'!$C245,Table2[Product Name],Table2[Cost Percentage],0),0)</f>
        <v>1121</v>
      </c>
      <c r="P245" s="16">
        <f>'Retail Store Sales'!$F245*'Retail Store Sales'!$G245</f>
        <v>1602</v>
      </c>
      <c r="Q245" s="12">
        <f>P245-Table1[[#This Row],[Total cost]]</f>
        <v>481</v>
      </c>
    </row>
    <row r="246" spans="1:17" x14ac:dyDescent="0.45">
      <c r="A246" s="12" t="s">
        <v>290</v>
      </c>
      <c r="B246" s="12" t="s">
        <v>30</v>
      </c>
      <c r="C246" s="12" t="s">
        <v>31</v>
      </c>
      <c r="D246" s="13">
        <v>45486</v>
      </c>
      <c r="E246" s="13">
        <v>45492</v>
      </c>
      <c r="F246" s="12">
        <v>6</v>
      </c>
      <c r="G246" s="12">
        <v>460</v>
      </c>
      <c r="H246" s="12" t="s">
        <v>27</v>
      </c>
      <c r="I246" s="12" t="s">
        <v>546</v>
      </c>
      <c r="J246" s="12" t="s">
        <v>14</v>
      </c>
      <c r="K246" s="14" t="str">
        <f>TEXT('Retail Store Sales'!$D246,"yyyy")</f>
        <v>2024</v>
      </c>
      <c r="L246" s="11" t="str">
        <f>TEXT('Retail Store Sales'!$D246,"mmm")</f>
        <v>Jul</v>
      </c>
      <c r="M246" s="12" t="str">
        <f>TEXT('Retail Store Sales'!$D246,"dddd")</f>
        <v>Saturday</v>
      </c>
      <c r="N246" s="23">
        <f t="shared" si="3"/>
        <v>6</v>
      </c>
      <c r="O246" s="16">
        <f>ROUND('Retail Store Sales'!$F246*'Retail Store Sales'!$G246*_xlfn.XLOOKUP('Retail Store Sales'!$C246,Table2[Product Name],Table2[Cost Percentage],0),0)</f>
        <v>2070</v>
      </c>
      <c r="P246" s="12">
        <f>'Retail Store Sales'!$F246*'Retail Store Sales'!$G246</f>
        <v>2760</v>
      </c>
      <c r="Q246" s="12">
        <f>P246-Table1[[#This Row],[Total cost]]</f>
        <v>690</v>
      </c>
    </row>
    <row r="247" spans="1:17" x14ac:dyDescent="0.45">
      <c r="A247" s="16" t="s">
        <v>291</v>
      </c>
      <c r="B247" s="16" t="s">
        <v>30</v>
      </c>
      <c r="C247" s="16" t="s">
        <v>41</v>
      </c>
      <c r="D247" s="17">
        <v>45495</v>
      </c>
      <c r="E247" s="17">
        <v>45498</v>
      </c>
      <c r="F247" s="16">
        <v>6</v>
      </c>
      <c r="G247" s="16">
        <v>308</v>
      </c>
      <c r="H247" s="16" t="s">
        <v>27</v>
      </c>
      <c r="I247" s="16" t="s">
        <v>551</v>
      </c>
      <c r="J247" s="16" t="s">
        <v>28</v>
      </c>
      <c r="K247" s="18" t="str">
        <f>TEXT('Retail Store Sales'!$D247,"yyyy")</f>
        <v>2024</v>
      </c>
      <c r="L247" s="15" t="str">
        <f>TEXT('Retail Store Sales'!$D247,"mmm")</f>
        <v>Jul</v>
      </c>
      <c r="M247" s="16" t="str">
        <f>TEXT('Retail Store Sales'!$D247,"dddd")</f>
        <v>Monday</v>
      </c>
      <c r="N247" s="24">
        <f t="shared" si="3"/>
        <v>3</v>
      </c>
      <c r="O247" s="16">
        <f>ROUND('Retail Store Sales'!$F247*'Retail Store Sales'!$G247*_xlfn.XLOOKUP('Retail Store Sales'!$C247,Table2[Product Name],Table2[Cost Percentage],0),0)</f>
        <v>1201</v>
      </c>
      <c r="P247" s="16">
        <f>'Retail Store Sales'!$F247*'Retail Store Sales'!$G247</f>
        <v>1848</v>
      </c>
      <c r="Q247" s="12">
        <f>P247-Table1[[#This Row],[Total cost]]</f>
        <v>647</v>
      </c>
    </row>
    <row r="248" spans="1:17" x14ac:dyDescent="0.45">
      <c r="A248" s="12" t="s">
        <v>292</v>
      </c>
      <c r="B248" s="12" t="s">
        <v>11</v>
      </c>
      <c r="C248" s="12" t="s">
        <v>35</v>
      </c>
      <c r="D248" s="13">
        <v>45394</v>
      </c>
      <c r="E248" s="13">
        <v>45403</v>
      </c>
      <c r="F248" s="12">
        <v>10</v>
      </c>
      <c r="G248" s="12">
        <v>568</v>
      </c>
      <c r="H248" s="12" t="s">
        <v>13</v>
      </c>
      <c r="I248" s="12" t="s">
        <v>547</v>
      </c>
      <c r="J248" s="12" t="s">
        <v>45</v>
      </c>
      <c r="K248" s="14" t="str">
        <f>TEXT('Retail Store Sales'!$D248,"yyyy")</f>
        <v>2024</v>
      </c>
      <c r="L248" s="11" t="str">
        <f>TEXT('Retail Store Sales'!$D248,"mmm")</f>
        <v>Apr</v>
      </c>
      <c r="M248" s="12" t="str">
        <f>TEXT('Retail Store Sales'!$D248,"dddd")</f>
        <v>Friday</v>
      </c>
      <c r="N248" s="23">
        <f t="shared" si="3"/>
        <v>9</v>
      </c>
      <c r="O248" s="16">
        <f>ROUND('Retail Store Sales'!$F248*'Retail Store Sales'!$G248*_xlfn.XLOOKUP('Retail Store Sales'!$C248,Table2[Product Name],Table2[Cost Percentage],0),0)</f>
        <v>4544</v>
      </c>
      <c r="P248" s="12">
        <f>'Retail Store Sales'!$F248*'Retail Store Sales'!$G248</f>
        <v>5680</v>
      </c>
      <c r="Q248" s="12">
        <f>P248-Table1[[#This Row],[Total cost]]</f>
        <v>1136</v>
      </c>
    </row>
    <row r="249" spans="1:17" x14ac:dyDescent="0.45">
      <c r="A249" s="16" t="s">
        <v>293</v>
      </c>
      <c r="B249" s="16" t="s">
        <v>23</v>
      </c>
      <c r="C249" s="16" t="s">
        <v>99</v>
      </c>
      <c r="D249" s="17">
        <v>45616</v>
      </c>
      <c r="E249" s="17">
        <v>45638</v>
      </c>
      <c r="F249" s="16">
        <v>5</v>
      </c>
      <c r="G249" s="16">
        <v>257</v>
      </c>
      <c r="H249" s="16" t="s">
        <v>27</v>
      </c>
      <c r="I249" s="16" t="s">
        <v>546</v>
      </c>
      <c r="J249" s="16" t="s">
        <v>45</v>
      </c>
      <c r="K249" s="18" t="str">
        <f>TEXT('Retail Store Sales'!$D249,"yyyy")</f>
        <v>2024</v>
      </c>
      <c r="L249" s="15" t="str">
        <f>TEXT('Retail Store Sales'!$D249,"mmm")</f>
        <v>Nov</v>
      </c>
      <c r="M249" s="16" t="str">
        <f>TEXT('Retail Store Sales'!$D249,"dddd")</f>
        <v>Wednesday</v>
      </c>
      <c r="N249" s="24">
        <f t="shared" si="3"/>
        <v>22</v>
      </c>
      <c r="O249" s="16">
        <f>ROUND('Retail Store Sales'!$F249*'Retail Store Sales'!$G249*_xlfn.XLOOKUP('Retail Store Sales'!$C249,Table2[Product Name],Table2[Cost Percentage],0),0)</f>
        <v>771</v>
      </c>
      <c r="P249" s="16">
        <f>'Retail Store Sales'!$F249*'Retail Store Sales'!$G249</f>
        <v>1285</v>
      </c>
      <c r="Q249" s="12">
        <f>P249-Table1[[#This Row],[Total cost]]</f>
        <v>514</v>
      </c>
    </row>
    <row r="250" spans="1:17" x14ac:dyDescent="0.45">
      <c r="A250" s="12" t="s">
        <v>294</v>
      </c>
      <c r="B250" s="12" t="s">
        <v>16</v>
      </c>
      <c r="C250" s="12" t="s">
        <v>59</v>
      </c>
      <c r="D250" s="13">
        <v>45646</v>
      </c>
      <c r="E250" s="13">
        <v>45654</v>
      </c>
      <c r="F250" s="12">
        <v>7</v>
      </c>
      <c r="G250" s="12">
        <v>566</v>
      </c>
      <c r="H250" s="12" t="s">
        <v>27</v>
      </c>
      <c r="I250" s="12" t="s">
        <v>547</v>
      </c>
      <c r="J250" s="12" t="s">
        <v>14</v>
      </c>
      <c r="K250" s="14" t="str">
        <f>TEXT('Retail Store Sales'!$D250,"yyyy")</f>
        <v>2024</v>
      </c>
      <c r="L250" s="11" t="str">
        <f>TEXT('Retail Store Sales'!$D250,"mmm")</f>
        <v>Dec</v>
      </c>
      <c r="M250" s="12" t="str">
        <f>TEXT('Retail Store Sales'!$D250,"dddd")</f>
        <v>Friday</v>
      </c>
      <c r="N250" s="23">
        <f t="shared" si="3"/>
        <v>8</v>
      </c>
      <c r="O250" s="16">
        <f>ROUND('Retail Store Sales'!$F250*'Retail Store Sales'!$G250*_xlfn.XLOOKUP('Retail Store Sales'!$C250,Table2[Product Name],Table2[Cost Percentage],0),0)</f>
        <v>2575</v>
      </c>
      <c r="P250" s="12">
        <f>'Retail Store Sales'!$F250*'Retail Store Sales'!$G250</f>
        <v>3962</v>
      </c>
      <c r="Q250" s="12">
        <f>P250-Table1[[#This Row],[Total cost]]</f>
        <v>1387</v>
      </c>
    </row>
    <row r="251" spans="1:17" x14ac:dyDescent="0.45">
      <c r="A251" s="16" t="s">
        <v>295</v>
      </c>
      <c r="B251" s="16" t="s">
        <v>16</v>
      </c>
      <c r="C251" s="16" t="s">
        <v>59</v>
      </c>
      <c r="D251" s="17">
        <v>45618</v>
      </c>
      <c r="E251" s="17">
        <v>45631</v>
      </c>
      <c r="F251" s="16">
        <v>2</v>
      </c>
      <c r="G251" s="16">
        <v>121</v>
      </c>
      <c r="H251" s="16" t="s">
        <v>27</v>
      </c>
      <c r="I251" s="16" t="s">
        <v>548</v>
      </c>
      <c r="J251" s="16" t="s">
        <v>45</v>
      </c>
      <c r="K251" s="18" t="str">
        <f>TEXT('Retail Store Sales'!$D251,"yyyy")</f>
        <v>2024</v>
      </c>
      <c r="L251" s="15" t="str">
        <f>TEXT('Retail Store Sales'!$D251,"mmm")</f>
        <v>Nov</v>
      </c>
      <c r="M251" s="16" t="str">
        <f>TEXT('Retail Store Sales'!$D251,"dddd")</f>
        <v>Friday</v>
      </c>
      <c r="N251" s="24">
        <f t="shared" si="3"/>
        <v>13</v>
      </c>
      <c r="O251" s="16">
        <f>ROUND('Retail Store Sales'!$F251*'Retail Store Sales'!$G251*_xlfn.XLOOKUP('Retail Store Sales'!$C251,Table2[Product Name],Table2[Cost Percentage],0),0)</f>
        <v>157</v>
      </c>
      <c r="P251" s="16">
        <f>'Retail Store Sales'!$F251*'Retail Store Sales'!$G251</f>
        <v>242</v>
      </c>
      <c r="Q251" s="12">
        <f>P251-Table1[[#This Row],[Total cost]]</f>
        <v>85</v>
      </c>
    </row>
    <row r="252" spans="1:17" x14ac:dyDescent="0.45">
      <c r="A252" s="12" t="s">
        <v>296</v>
      </c>
      <c r="B252" s="12" t="s">
        <v>23</v>
      </c>
      <c r="C252" s="12" t="s">
        <v>114</v>
      </c>
      <c r="D252" s="13">
        <v>45297</v>
      </c>
      <c r="E252" s="13">
        <v>45305</v>
      </c>
      <c r="F252" s="12">
        <v>2</v>
      </c>
      <c r="G252" s="12">
        <v>274</v>
      </c>
      <c r="H252" s="12" t="s">
        <v>27</v>
      </c>
      <c r="I252" s="12" t="s">
        <v>547</v>
      </c>
      <c r="J252" s="12" t="s">
        <v>18</v>
      </c>
      <c r="K252" s="14" t="str">
        <f>TEXT('Retail Store Sales'!$D252,"yyyy")</f>
        <v>2024</v>
      </c>
      <c r="L252" s="11" t="str">
        <f>TEXT('Retail Store Sales'!$D252,"mmm")</f>
        <v>Jan</v>
      </c>
      <c r="M252" s="12" t="str">
        <f>TEXT('Retail Store Sales'!$D252,"dddd")</f>
        <v>Saturday</v>
      </c>
      <c r="N252" s="23">
        <f t="shared" si="3"/>
        <v>8</v>
      </c>
      <c r="O252" s="16">
        <f>ROUND('Retail Store Sales'!$F252*'Retail Store Sales'!$G252*_xlfn.XLOOKUP('Retail Store Sales'!$C252,Table2[Product Name],Table2[Cost Percentage],0),0)</f>
        <v>329</v>
      </c>
      <c r="P252" s="12">
        <f>'Retail Store Sales'!$F252*'Retail Store Sales'!$G252</f>
        <v>548</v>
      </c>
      <c r="Q252" s="12">
        <f>P252-Table1[[#This Row],[Total cost]]</f>
        <v>219</v>
      </c>
    </row>
    <row r="253" spans="1:17" x14ac:dyDescent="0.45">
      <c r="A253" s="16" t="s">
        <v>297</v>
      </c>
      <c r="B253" s="16" t="s">
        <v>11</v>
      </c>
      <c r="C253" s="16" t="s">
        <v>26</v>
      </c>
      <c r="D253" s="17">
        <v>45648</v>
      </c>
      <c r="E253" s="17">
        <v>45656</v>
      </c>
      <c r="F253" s="16">
        <v>8</v>
      </c>
      <c r="G253" s="16">
        <v>336</v>
      </c>
      <c r="H253" s="16" t="s">
        <v>13</v>
      </c>
      <c r="I253" s="16" t="s">
        <v>547</v>
      </c>
      <c r="J253" s="16" t="s">
        <v>18</v>
      </c>
      <c r="K253" s="18" t="str">
        <f>TEXT('Retail Store Sales'!$D253,"yyyy")</f>
        <v>2024</v>
      </c>
      <c r="L253" s="15" t="str">
        <f>TEXT('Retail Store Sales'!$D253,"mmm")</f>
        <v>Dec</v>
      </c>
      <c r="M253" s="16" t="str">
        <f>TEXT('Retail Store Sales'!$D253,"dddd")</f>
        <v>Sunday</v>
      </c>
      <c r="N253" s="24">
        <f t="shared" si="3"/>
        <v>8</v>
      </c>
      <c r="O253" s="16">
        <f>ROUND('Retail Store Sales'!$F253*'Retail Store Sales'!$G253*_xlfn.XLOOKUP('Retail Store Sales'!$C253,Table2[Product Name],Table2[Cost Percentage],0),0)</f>
        <v>1747</v>
      </c>
      <c r="P253" s="16">
        <f>'Retail Store Sales'!$F253*'Retail Store Sales'!$G253</f>
        <v>2688</v>
      </c>
      <c r="Q253" s="12">
        <f>P253-Table1[[#This Row],[Total cost]]</f>
        <v>941</v>
      </c>
    </row>
    <row r="254" spans="1:17" x14ac:dyDescent="0.45">
      <c r="A254" s="12" t="s">
        <v>298</v>
      </c>
      <c r="B254" s="12" t="s">
        <v>11</v>
      </c>
      <c r="C254" s="12" t="s">
        <v>12</v>
      </c>
      <c r="D254" s="13">
        <v>45467</v>
      </c>
      <c r="E254" s="13">
        <v>45472</v>
      </c>
      <c r="F254" s="12">
        <v>2</v>
      </c>
      <c r="G254" s="12">
        <v>703</v>
      </c>
      <c r="H254" s="12" t="s">
        <v>27</v>
      </c>
      <c r="I254" s="12" t="s">
        <v>548</v>
      </c>
      <c r="J254" s="12" t="s">
        <v>28</v>
      </c>
      <c r="K254" s="14" t="str">
        <f>TEXT('Retail Store Sales'!$D254,"yyyy")</f>
        <v>2024</v>
      </c>
      <c r="L254" s="11" t="str">
        <f>TEXT('Retail Store Sales'!$D254,"mmm")</f>
        <v>Jun</v>
      </c>
      <c r="M254" s="12" t="str">
        <f>TEXT('Retail Store Sales'!$D254,"dddd")</f>
        <v>Monday</v>
      </c>
      <c r="N254" s="23">
        <f t="shared" si="3"/>
        <v>5</v>
      </c>
      <c r="O254" s="16">
        <f>ROUND('Retail Store Sales'!$F254*'Retail Store Sales'!$G254*_xlfn.XLOOKUP('Retail Store Sales'!$C254,Table2[Product Name],Table2[Cost Percentage],0),0)</f>
        <v>1055</v>
      </c>
      <c r="P254" s="12">
        <f>'Retail Store Sales'!$F254*'Retail Store Sales'!$G254</f>
        <v>1406</v>
      </c>
      <c r="Q254" s="12">
        <f>P254-Table1[[#This Row],[Total cost]]</f>
        <v>351</v>
      </c>
    </row>
    <row r="255" spans="1:17" x14ac:dyDescent="0.45">
      <c r="A255" s="16" t="s">
        <v>299</v>
      </c>
      <c r="B255" s="16" t="s">
        <v>11</v>
      </c>
      <c r="C255" s="16" t="s">
        <v>35</v>
      </c>
      <c r="D255" s="17">
        <v>45393</v>
      </c>
      <c r="E255" s="17">
        <v>45403</v>
      </c>
      <c r="F255" s="16">
        <v>8</v>
      </c>
      <c r="G255" s="16">
        <v>616</v>
      </c>
      <c r="H255" s="16" t="s">
        <v>13</v>
      </c>
      <c r="I255" s="16" t="s">
        <v>549</v>
      </c>
      <c r="J255" s="16" t="s">
        <v>28</v>
      </c>
      <c r="K255" s="18" t="str">
        <f>TEXT('Retail Store Sales'!$D255,"yyyy")</f>
        <v>2024</v>
      </c>
      <c r="L255" s="15" t="str">
        <f>TEXT('Retail Store Sales'!$D255,"mmm")</f>
        <v>Apr</v>
      </c>
      <c r="M255" s="16" t="str">
        <f>TEXT('Retail Store Sales'!$D255,"dddd")</f>
        <v>Thursday</v>
      </c>
      <c r="N255" s="24">
        <f t="shared" si="3"/>
        <v>10</v>
      </c>
      <c r="O255" s="16">
        <f>ROUND('Retail Store Sales'!$F255*'Retail Store Sales'!$G255*_xlfn.XLOOKUP('Retail Store Sales'!$C255,Table2[Product Name],Table2[Cost Percentage],0),0)</f>
        <v>3942</v>
      </c>
      <c r="P255" s="16">
        <f>'Retail Store Sales'!$F255*'Retail Store Sales'!$G255</f>
        <v>4928</v>
      </c>
      <c r="Q255" s="12">
        <f>P255-Table1[[#This Row],[Total cost]]</f>
        <v>986</v>
      </c>
    </row>
    <row r="256" spans="1:17" x14ac:dyDescent="0.45">
      <c r="A256" s="12" t="s">
        <v>300</v>
      </c>
      <c r="B256" s="12" t="s">
        <v>20</v>
      </c>
      <c r="C256" s="12" t="s">
        <v>53</v>
      </c>
      <c r="D256" s="13">
        <v>45434</v>
      </c>
      <c r="E256" s="13">
        <v>45448</v>
      </c>
      <c r="F256" s="12">
        <v>2</v>
      </c>
      <c r="G256" s="12">
        <v>601</v>
      </c>
      <c r="H256" s="12" t="s">
        <v>13</v>
      </c>
      <c r="I256" s="12" t="s">
        <v>547</v>
      </c>
      <c r="J256" s="12" t="s">
        <v>18</v>
      </c>
      <c r="K256" s="14" t="str">
        <f>TEXT('Retail Store Sales'!$D256,"yyyy")</f>
        <v>2024</v>
      </c>
      <c r="L256" s="11" t="str">
        <f>TEXT('Retail Store Sales'!$D256,"mmm")</f>
        <v>May</v>
      </c>
      <c r="M256" s="12" t="str">
        <f>TEXT('Retail Store Sales'!$D256,"dddd")</f>
        <v>Wednesday</v>
      </c>
      <c r="N256" s="23">
        <f t="shared" si="3"/>
        <v>14</v>
      </c>
      <c r="O256" s="16">
        <f>ROUND('Retail Store Sales'!$F256*'Retail Store Sales'!$G256*_xlfn.XLOOKUP('Retail Store Sales'!$C256,Table2[Product Name],Table2[Cost Percentage],0),0)</f>
        <v>841</v>
      </c>
      <c r="P256" s="12">
        <f>'Retail Store Sales'!$F256*'Retail Store Sales'!$G256</f>
        <v>1202</v>
      </c>
      <c r="Q256" s="12">
        <f>P256-Table1[[#This Row],[Total cost]]</f>
        <v>361</v>
      </c>
    </row>
    <row r="257" spans="1:17" x14ac:dyDescent="0.45">
      <c r="A257" s="16" t="s">
        <v>301</v>
      </c>
      <c r="B257" s="16" t="s">
        <v>30</v>
      </c>
      <c r="C257" s="16" t="s">
        <v>78</v>
      </c>
      <c r="D257" s="17">
        <v>45392</v>
      </c>
      <c r="E257" s="17">
        <v>45402</v>
      </c>
      <c r="F257" s="16">
        <v>8</v>
      </c>
      <c r="G257" s="16">
        <v>126</v>
      </c>
      <c r="H257" s="16" t="s">
        <v>27</v>
      </c>
      <c r="I257" s="16" t="s">
        <v>546</v>
      </c>
      <c r="J257" s="16" t="s">
        <v>14</v>
      </c>
      <c r="K257" s="18" t="str">
        <f>TEXT('Retail Store Sales'!$D257,"yyyy")</f>
        <v>2024</v>
      </c>
      <c r="L257" s="15" t="str">
        <f>TEXT('Retail Store Sales'!$D257,"mmm")</f>
        <v>Apr</v>
      </c>
      <c r="M257" s="16" t="str">
        <f>TEXT('Retail Store Sales'!$D257,"dddd")</f>
        <v>Wednesday</v>
      </c>
      <c r="N257" s="24">
        <f t="shared" si="3"/>
        <v>10</v>
      </c>
      <c r="O257" s="16">
        <f>ROUND('Retail Store Sales'!$F257*'Retail Store Sales'!$G257*_xlfn.XLOOKUP('Retail Store Sales'!$C257,Table2[Product Name],Table2[Cost Percentage],0),0)</f>
        <v>655</v>
      </c>
      <c r="P257" s="16">
        <f>'Retail Store Sales'!$F257*'Retail Store Sales'!$G257</f>
        <v>1008</v>
      </c>
      <c r="Q257" s="12">
        <f>P257-Table1[[#This Row],[Total cost]]</f>
        <v>353</v>
      </c>
    </row>
    <row r="258" spans="1:17" x14ac:dyDescent="0.45">
      <c r="A258" s="12" t="s">
        <v>302</v>
      </c>
      <c r="B258" s="12" t="s">
        <v>30</v>
      </c>
      <c r="C258" s="12" t="s">
        <v>49</v>
      </c>
      <c r="D258" s="13">
        <v>45608</v>
      </c>
      <c r="E258" s="13">
        <v>45620</v>
      </c>
      <c r="F258" s="12">
        <v>3</v>
      </c>
      <c r="G258" s="12">
        <v>843</v>
      </c>
      <c r="H258" s="12" t="s">
        <v>27</v>
      </c>
      <c r="I258" s="12" t="s">
        <v>551</v>
      </c>
      <c r="J258" s="12" t="s">
        <v>18</v>
      </c>
      <c r="K258" s="14" t="str">
        <f>TEXT('Retail Store Sales'!$D258,"yyyy")</f>
        <v>2024</v>
      </c>
      <c r="L258" s="11" t="str">
        <f>TEXT('Retail Store Sales'!$D258,"mmm")</f>
        <v>Nov</v>
      </c>
      <c r="M258" s="12" t="str">
        <f>TEXT('Retail Store Sales'!$D258,"dddd")</f>
        <v>Tuesday</v>
      </c>
      <c r="N258" s="23">
        <f t="shared" ref="N258:N321" si="4">DATEDIF(D258,E258,"D")</f>
        <v>12</v>
      </c>
      <c r="O258" s="16">
        <f>ROUND('Retail Store Sales'!$F258*'Retail Store Sales'!$G258*_xlfn.XLOOKUP('Retail Store Sales'!$C258,Table2[Product Name],Table2[Cost Percentage],0),0)</f>
        <v>1770</v>
      </c>
      <c r="P258" s="12">
        <f>'Retail Store Sales'!$F258*'Retail Store Sales'!$G258</f>
        <v>2529</v>
      </c>
      <c r="Q258" s="12">
        <f>P258-Table1[[#This Row],[Total cost]]</f>
        <v>759</v>
      </c>
    </row>
    <row r="259" spans="1:17" x14ac:dyDescent="0.45">
      <c r="A259" s="16" t="s">
        <v>303</v>
      </c>
      <c r="B259" s="16" t="s">
        <v>11</v>
      </c>
      <c r="C259" s="16" t="s">
        <v>57</v>
      </c>
      <c r="D259" s="17">
        <v>45483</v>
      </c>
      <c r="E259" s="17">
        <v>45487</v>
      </c>
      <c r="F259" s="16">
        <v>3</v>
      </c>
      <c r="G259" s="16">
        <v>533</v>
      </c>
      <c r="H259" s="16" t="s">
        <v>27</v>
      </c>
      <c r="I259" s="16" t="s">
        <v>549</v>
      </c>
      <c r="J259" s="16" t="s">
        <v>18</v>
      </c>
      <c r="K259" s="18" t="str">
        <f>TEXT('Retail Store Sales'!$D259,"yyyy")</f>
        <v>2024</v>
      </c>
      <c r="L259" s="15" t="str">
        <f>TEXT('Retail Store Sales'!$D259,"mmm")</f>
        <v>Jul</v>
      </c>
      <c r="M259" s="16" t="str">
        <f>TEXT('Retail Store Sales'!$D259,"dddd")</f>
        <v>Wednesday</v>
      </c>
      <c r="N259" s="24">
        <f t="shared" si="4"/>
        <v>4</v>
      </c>
      <c r="O259" s="16">
        <f>ROUND('Retail Store Sales'!$F259*'Retail Store Sales'!$G259*_xlfn.XLOOKUP('Retail Store Sales'!$C259,Table2[Product Name],Table2[Cost Percentage],0),0)</f>
        <v>1359</v>
      </c>
      <c r="P259" s="16">
        <f>'Retail Store Sales'!$F259*'Retail Store Sales'!$G259</f>
        <v>1599</v>
      </c>
      <c r="Q259" s="12">
        <f>P259-Table1[[#This Row],[Total cost]]</f>
        <v>240</v>
      </c>
    </row>
    <row r="260" spans="1:17" x14ac:dyDescent="0.45">
      <c r="A260" s="12" t="s">
        <v>304</v>
      </c>
      <c r="B260" s="12" t="s">
        <v>20</v>
      </c>
      <c r="C260" s="12" t="s">
        <v>51</v>
      </c>
      <c r="D260" s="13">
        <v>45488</v>
      </c>
      <c r="E260" s="13">
        <v>45500</v>
      </c>
      <c r="F260" s="12">
        <v>7</v>
      </c>
      <c r="G260" s="12">
        <v>200</v>
      </c>
      <c r="H260" s="12" t="s">
        <v>27</v>
      </c>
      <c r="I260" s="12" t="s">
        <v>549</v>
      </c>
      <c r="J260" s="12" t="s">
        <v>45</v>
      </c>
      <c r="K260" s="14" t="str">
        <f>TEXT('Retail Store Sales'!$D260,"yyyy")</f>
        <v>2024</v>
      </c>
      <c r="L260" s="11" t="str">
        <f>TEXT('Retail Store Sales'!$D260,"mmm")</f>
        <v>Jul</v>
      </c>
      <c r="M260" s="12" t="str">
        <f>TEXT('Retail Store Sales'!$D260,"dddd")</f>
        <v>Monday</v>
      </c>
      <c r="N260" s="23">
        <f t="shared" si="4"/>
        <v>12</v>
      </c>
      <c r="O260" s="16">
        <f>ROUND('Retail Store Sales'!$F260*'Retail Store Sales'!$G260*_xlfn.XLOOKUP('Retail Store Sales'!$C260,Table2[Product Name],Table2[Cost Percentage],0),0)</f>
        <v>980</v>
      </c>
      <c r="P260" s="12">
        <f>'Retail Store Sales'!$F260*'Retail Store Sales'!$G260</f>
        <v>1400</v>
      </c>
      <c r="Q260" s="12">
        <f>P260-Table1[[#This Row],[Total cost]]</f>
        <v>420</v>
      </c>
    </row>
    <row r="261" spans="1:17" x14ac:dyDescent="0.45">
      <c r="A261" s="16" t="s">
        <v>305</v>
      </c>
      <c r="B261" s="16" t="s">
        <v>23</v>
      </c>
      <c r="C261" s="16" t="s">
        <v>69</v>
      </c>
      <c r="D261" s="17">
        <v>45319</v>
      </c>
      <c r="E261" s="17">
        <v>45329</v>
      </c>
      <c r="F261" s="16">
        <v>6</v>
      </c>
      <c r="G261" s="16">
        <v>984</v>
      </c>
      <c r="H261" s="16" t="s">
        <v>13</v>
      </c>
      <c r="I261" s="16" t="s">
        <v>547</v>
      </c>
      <c r="J261" s="16" t="s">
        <v>45</v>
      </c>
      <c r="K261" s="18" t="str">
        <f>TEXT('Retail Store Sales'!$D261,"yyyy")</f>
        <v>2024</v>
      </c>
      <c r="L261" s="15" t="str">
        <f>TEXT('Retail Store Sales'!$D261,"mmm")</f>
        <v>Jan</v>
      </c>
      <c r="M261" s="16" t="str">
        <f>TEXT('Retail Store Sales'!$D261,"dddd")</f>
        <v>Sunday</v>
      </c>
      <c r="N261" s="24">
        <f t="shared" si="4"/>
        <v>10</v>
      </c>
      <c r="O261" s="16">
        <f>ROUND('Retail Store Sales'!$F261*'Retail Store Sales'!$G261*_xlfn.XLOOKUP('Retail Store Sales'!$C261,Table2[Product Name],Table2[Cost Percentage],0),0)</f>
        <v>3247</v>
      </c>
      <c r="P261" s="16">
        <f>'Retail Store Sales'!$F261*'Retail Store Sales'!$G261</f>
        <v>5904</v>
      </c>
      <c r="Q261" s="12">
        <f>P261-Table1[[#This Row],[Total cost]]</f>
        <v>2657</v>
      </c>
    </row>
    <row r="262" spans="1:17" x14ac:dyDescent="0.45">
      <c r="A262" s="12" t="s">
        <v>306</v>
      </c>
      <c r="B262" s="12" t="s">
        <v>20</v>
      </c>
      <c r="C262" s="12" t="s">
        <v>21</v>
      </c>
      <c r="D262" s="13">
        <v>45579</v>
      </c>
      <c r="E262" s="13">
        <v>45593</v>
      </c>
      <c r="F262" s="12">
        <v>9</v>
      </c>
      <c r="G262" s="12">
        <v>678</v>
      </c>
      <c r="H262" s="12" t="s">
        <v>27</v>
      </c>
      <c r="I262" s="12" t="s">
        <v>549</v>
      </c>
      <c r="J262" s="12" t="s">
        <v>45</v>
      </c>
      <c r="K262" s="14" t="str">
        <f>TEXT('Retail Store Sales'!$D262,"yyyy")</f>
        <v>2024</v>
      </c>
      <c r="L262" s="11" t="str">
        <f>TEXT('Retail Store Sales'!$D262,"mmm")</f>
        <v>Oct</v>
      </c>
      <c r="M262" s="12" t="str">
        <f>TEXT('Retail Store Sales'!$D262,"dddd")</f>
        <v>Monday</v>
      </c>
      <c r="N262" s="23">
        <f t="shared" si="4"/>
        <v>14</v>
      </c>
      <c r="O262" s="16">
        <f>ROUND('Retail Store Sales'!$F262*'Retail Store Sales'!$G262*_xlfn.XLOOKUP('Retail Store Sales'!$C262,Table2[Product Name],Table2[Cost Percentage],0),0)</f>
        <v>4577</v>
      </c>
      <c r="P262" s="12">
        <f>'Retail Store Sales'!$F262*'Retail Store Sales'!$G262</f>
        <v>6102</v>
      </c>
      <c r="Q262" s="12">
        <f>P262-Table1[[#This Row],[Total cost]]</f>
        <v>1525</v>
      </c>
    </row>
    <row r="263" spans="1:17" x14ac:dyDescent="0.45">
      <c r="A263" s="16" t="s">
        <v>307</v>
      </c>
      <c r="B263" s="16" t="s">
        <v>23</v>
      </c>
      <c r="C263" s="16" t="s">
        <v>37</v>
      </c>
      <c r="D263" s="17">
        <v>45655</v>
      </c>
      <c r="E263" s="17">
        <v>45659</v>
      </c>
      <c r="F263" s="16">
        <v>8</v>
      </c>
      <c r="G263" s="16">
        <v>510</v>
      </c>
      <c r="H263" s="16" t="s">
        <v>27</v>
      </c>
      <c r="I263" s="16" t="s">
        <v>547</v>
      </c>
      <c r="J263" s="16" t="s">
        <v>14</v>
      </c>
      <c r="K263" s="18" t="str">
        <f>TEXT('Retail Store Sales'!$D263,"yyyy")</f>
        <v>2024</v>
      </c>
      <c r="L263" s="15" t="str">
        <f>TEXT('Retail Store Sales'!$D263,"mmm")</f>
        <v>Dec</v>
      </c>
      <c r="M263" s="16" t="str">
        <f>TEXT('Retail Store Sales'!$D263,"dddd")</f>
        <v>Sunday</v>
      </c>
      <c r="N263" s="24">
        <f t="shared" si="4"/>
        <v>4</v>
      </c>
      <c r="O263" s="16">
        <f>ROUND('Retail Store Sales'!$F263*'Retail Store Sales'!$G263*_xlfn.XLOOKUP('Retail Store Sales'!$C263,Table2[Product Name],Table2[Cost Percentage],0),0)</f>
        <v>2040</v>
      </c>
      <c r="P263" s="16">
        <f>'Retail Store Sales'!$F263*'Retail Store Sales'!$G263</f>
        <v>4080</v>
      </c>
      <c r="Q263" s="12">
        <f>P263-Table1[[#This Row],[Total cost]]</f>
        <v>2040</v>
      </c>
    </row>
    <row r="264" spans="1:17" x14ac:dyDescent="0.45">
      <c r="A264" s="12" t="s">
        <v>308</v>
      </c>
      <c r="B264" s="12" t="s">
        <v>20</v>
      </c>
      <c r="C264" s="12" t="s">
        <v>21</v>
      </c>
      <c r="D264" s="13">
        <v>45581</v>
      </c>
      <c r="E264" s="13">
        <v>45594</v>
      </c>
      <c r="F264" s="12">
        <v>8</v>
      </c>
      <c r="G264" s="12">
        <v>572</v>
      </c>
      <c r="H264" s="12" t="s">
        <v>27</v>
      </c>
      <c r="I264" s="12" t="s">
        <v>551</v>
      </c>
      <c r="J264" s="12" t="s">
        <v>45</v>
      </c>
      <c r="K264" s="14" t="str">
        <f>TEXT('Retail Store Sales'!$D264,"yyyy")</f>
        <v>2024</v>
      </c>
      <c r="L264" s="11" t="str">
        <f>TEXT('Retail Store Sales'!$D264,"mmm")</f>
        <v>Oct</v>
      </c>
      <c r="M264" s="12" t="str">
        <f>TEXT('Retail Store Sales'!$D264,"dddd")</f>
        <v>Wednesday</v>
      </c>
      <c r="N264" s="23">
        <f t="shared" si="4"/>
        <v>13</v>
      </c>
      <c r="O264" s="16">
        <f>ROUND('Retail Store Sales'!$F264*'Retail Store Sales'!$G264*_xlfn.XLOOKUP('Retail Store Sales'!$C264,Table2[Product Name],Table2[Cost Percentage],0),0)</f>
        <v>3432</v>
      </c>
      <c r="P264" s="12">
        <f>'Retail Store Sales'!$F264*'Retail Store Sales'!$G264</f>
        <v>4576</v>
      </c>
      <c r="Q264" s="12">
        <f>P264-Table1[[#This Row],[Total cost]]</f>
        <v>1144</v>
      </c>
    </row>
    <row r="265" spans="1:17" x14ac:dyDescent="0.45">
      <c r="A265" s="16" t="s">
        <v>309</v>
      </c>
      <c r="B265" s="16" t="s">
        <v>11</v>
      </c>
      <c r="C265" s="16" t="s">
        <v>95</v>
      </c>
      <c r="D265" s="17">
        <v>45570</v>
      </c>
      <c r="E265" s="17">
        <v>45574</v>
      </c>
      <c r="F265" s="16">
        <v>6</v>
      </c>
      <c r="G265" s="16">
        <v>565</v>
      </c>
      <c r="H265" s="16" t="s">
        <v>27</v>
      </c>
      <c r="I265" s="16" t="s">
        <v>548</v>
      </c>
      <c r="J265" s="16" t="s">
        <v>45</v>
      </c>
      <c r="K265" s="18" t="str">
        <f>TEXT('Retail Store Sales'!$D265,"yyyy")</f>
        <v>2024</v>
      </c>
      <c r="L265" s="15" t="str">
        <f>TEXT('Retail Store Sales'!$D265,"mmm")</f>
        <v>Oct</v>
      </c>
      <c r="M265" s="16" t="str">
        <f>TEXT('Retail Store Sales'!$D265,"dddd")</f>
        <v>Saturday</v>
      </c>
      <c r="N265" s="24">
        <f t="shared" si="4"/>
        <v>4</v>
      </c>
      <c r="O265" s="16">
        <f>ROUND('Retail Store Sales'!$F265*'Retail Store Sales'!$G265*_xlfn.XLOOKUP('Retail Store Sales'!$C265,Table2[Product Name],Table2[Cost Percentage],0),0)</f>
        <v>2373</v>
      </c>
      <c r="P265" s="16">
        <f>'Retail Store Sales'!$F265*'Retail Store Sales'!$G265</f>
        <v>3390</v>
      </c>
      <c r="Q265" s="12">
        <f>P265-Table1[[#This Row],[Total cost]]</f>
        <v>1017</v>
      </c>
    </row>
    <row r="266" spans="1:17" x14ac:dyDescent="0.45">
      <c r="A266" s="12" t="s">
        <v>310</v>
      </c>
      <c r="B266" s="12" t="s">
        <v>11</v>
      </c>
      <c r="C266" s="12" t="s">
        <v>57</v>
      </c>
      <c r="D266" s="13">
        <v>45399</v>
      </c>
      <c r="E266" s="13">
        <v>45406</v>
      </c>
      <c r="F266" s="12">
        <v>10</v>
      </c>
      <c r="G266" s="12">
        <v>715</v>
      </c>
      <c r="H266" s="12" t="s">
        <v>27</v>
      </c>
      <c r="I266" s="12" t="s">
        <v>546</v>
      </c>
      <c r="J266" s="12" t="s">
        <v>28</v>
      </c>
      <c r="K266" s="14" t="str">
        <f>TEXT('Retail Store Sales'!$D266,"yyyy")</f>
        <v>2024</v>
      </c>
      <c r="L266" s="11" t="str">
        <f>TEXT('Retail Store Sales'!$D266,"mmm")</f>
        <v>Apr</v>
      </c>
      <c r="M266" s="12" t="str">
        <f>TEXT('Retail Store Sales'!$D266,"dddd")</f>
        <v>Wednesday</v>
      </c>
      <c r="N266" s="23">
        <f t="shared" si="4"/>
        <v>7</v>
      </c>
      <c r="O266" s="16">
        <f>ROUND('Retail Store Sales'!$F266*'Retail Store Sales'!$G266*_xlfn.XLOOKUP('Retail Store Sales'!$C266,Table2[Product Name],Table2[Cost Percentage],0),0)</f>
        <v>6078</v>
      </c>
      <c r="P266" s="12">
        <f>'Retail Store Sales'!$F266*'Retail Store Sales'!$G266</f>
        <v>7150</v>
      </c>
      <c r="Q266" s="12">
        <f>P266-Table1[[#This Row],[Total cost]]</f>
        <v>1072</v>
      </c>
    </row>
    <row r="267" spans="1:17" x14ac:dyDescent="0.45">
      <c r="A267" s="16" t="s">
        <v>311</v>
      </c>
      <c r="B267" s="16" t="s">
        <v>23</v>
      </c>
      <c r="C267" s="16" t="s">
        <v>99</v>
      </c>
      <c r="D267" s="17">
        <v>45607</v>
      </c>
      <c r="E267" s="17">
        <v>45620</v>
      </c>
      <c r="F267" s="16">
        <v>3</v>
      </c>
      <c r="G267" s="16">
        <v>813</v>
      </c>
      <c r="H267" s="16" t="s">
        <v>13</v>
      </c>
      <c r="I267" s="16" t="s">
        <v>547</v>
      </c>
      <c r="J267" s="16" t="s">
        <v>14</v>
      </c>
      <c r="K267" s="18" t="str">
        <f>TEXT('Retail Store Sales'!$D267,"yyyy")</f>
        <v>2024</v>
      </c>
      <c r="L267" s="15" t="str">
        <f>TEXT('Retail Store Sales'!$D267,"mmm")</f>
        <v>Nov</v>
      </c>
      <c r="M267" s="16" t="str">
        <f>TEXT('Retail Store Sales'!$D267,"dddd")</f>
        <v>Monday</v>
      </c>
      <c r="N267" s="24">
        <f t="shared" si="4"/>
        <v>13</v>
      </c>
      <c r="O267" s="16">
        <f>ROUND('Retail Store Sales'!$F267*'Retail Store Sales'!$G267*_xlfn.XLOOKUP('Retail Store Sales'!$C267,Table2[Product Name],Table2[Cost Percentage],0),0)</f>
        <v>1463</v>
      </c>
      <c r="P267" s="16">
        <f>'Retail Store Sales'!$F267*'Retail Store Sales'!$G267</f>
        <v>2439</v>
      </c>
      <c r="Q267" s="12">
        <f>P267-Table1[[#This Row],[Total cost]]</f>
        <v>976</v>
      </c>
    </row>
    <row r="268" spans="1:17" x14ac:dyDescent="0.45">
      <c r="A268" s="12" t="s">
        <v>312</v>
      </c>
      <c r="B268" s="12" t="s">
        <v>30</v>
      </c>
      <c r="C268" s="12" t="s">
        <v>78</v>
      </c>
      <c r="D268" s="13">
        <v>45585</v>
      </c>
      <c r="E268" s="13">
        <v>45596</v>
      </c>
      <c r="F268" s="12">
        <v>5</v>
      </c>
      <c r="G268" s="12">
        <v>985</v>
      </c>
      <c r="H268" s="12" t="s">
        <v>27</v>
      </c>
      <c r="I268" s="12" t="s">
        <v>548</v>
      </c>
      <c r="J268" s="12" t="s">
        <v>45</v>
      </c>
      <c r="K268" s="14" t="str">
        <f>TEXT('Retail Store Sales'!$D268,"yyyy")</f>
        <v>2024</v>
      </c>
      <c r="L268" s="11" t="str">
        <f>TEXT('Retail Store Sales'!$D268,"mmm")</f>
        <v>Oct</v>
      </c>
      <c r="M268" s="12" t="str">
        <f>TEXT('Retail Store Sales'!$D268,"dddd")</f>
        <v>Sunday</v>
      </c>
      <c r="N268" s="23">
        <f t="shared" si="4"/>
        <v>11</v>
      </c>
      <c r="O268" s="16">
        <f>ROUND('Retail Store Sales'!$F268*'Retail Store Sales'!$G268*_xlfn.XLOOKUP('Retail Store Sales'!$C268,Table2[Product Name],Table2[Cost Percentage],0),0)</f>
        <v>3201</v>
      </c>
      <c r="P268" s="12">
        <f>'Retail Store Sales'!$F268*'Retail Store Sales'!$G268</f>
        <v>4925</v>
      </c>
      <c r="Q268" s="12">
        <f>P268-Table1[[#This Row],[Total cost]]</f>
        <v>1724</v>
      </c>
    </row>
    <row r="269" spans="1:17" x14ac:dyDescent="0.45">
      <c r="A269" s="16" t="s">
        <v>313</v>
      </c>
      <c r="B269" s="16" t="s">
        <v>11</v>
      </c>
      <c r="C269" s="16" t="s">
        <v>57</v>
      </c>
      <c r="D269" s="17">
        <v>45502</v>
      </c>
      <c r="E269" s="17">
        <v>45508</v>
      </c>
      <c r="F269" s="16">
        <v>1</v>
      </c>
      <c r="G269" s="16">
        <v>293</v>
      </c>
      <c r="H269" s="16" t="s">
        <v>27</v>
      </c>
      <c r="I269" s="16" t="s">
        <v>548</v>
      </c>
      <c r="J269" s="16" t="s">
        <v>18</v>
      </c>
      <c r="K269" s="18" t="str">
        <f>TEXT('Retail Store Sales'!$D269,"yyyy")</f>
        <v>2024</v>
      </c>
      <c r="L269" s="15" t="str">
        <f>TEXT('Retail Store Sales'!$D269,"mmm")</f>
        <v>Jul</v>
      </c>
      <c r="M269" s="16" t="str">
        <f>TEXT('Retail Store Sales'!$D269,"dddd")</f>
        <v>Monday</v>
      </c>
      <c r="N269" s="24">
        <f t="shared" si="4"/>
        <v>6</v>
      </c>
      <c r="O269" s="16">
        <f>ROUND('Retail Store Sales'!$F269*'Retail Store Sales'!$G269*_xlfn.XLOOKUP('Retail Store Sales'!$C269,Table2[Product Name],Table2[Cost Percentage],0),0)</f>
        <v>249</v>
      </c>
      <c r="P269" s="16">
        <f>'Retail Store Sales'!$F269*'Retail Store Sales'!$G269</f>
        <v>293</v>
      </c>
      <c r="Q269" s="12">
        <f>P269-Table1[[#This Row],[Total cost]]</f>
        <v>44</v>
      </c>
    </row>
    <row r="270" spans="1:17" x14ac:dyDescent="0.45">
      <c r="A270" s="12" t="s">
        <v>314</v>
      </c>
      <c r="B270" s="12" t="s">
        <v>23</v>
      </c>
      <c r="C270" s="12" t="s">
        <v>24</v>
      </c>
      <c r="D270" s="13">
        <v>45589</v>
      </c>
      <c r="E270" s="13">
        <v>45595</v>
      </c>
      <c r="F270" s="12">
        <v>1</v>
      </c>
      <c r="G270" s="12">
        <v>899</v>
      </c>
      <c r="H270" s="12" t="s">
        <v>27</v>
      </c>
      <c r="I270" s="12" t="s">
        <v>548</v>
      </c>
      <c r="J270" s="12" t="s">
        <v>45</v>
      </c>
      <c r="K270" s="14" t="str">
        <f>TEXT('Retail Store Sales'!$D270,"yyyy")</f>
        <v>2024</v>
      </c>
      <c r="L270" s="11" t="str">
        <f>TEXT('Retail Store Sales'!$D270,"mmm")</f>
        <v>Oct</v>
      </c>
      <c r="M270" s="12" t="str">
        <f>TEXT('Retail Store Sales'!$D270,"dddd")</f>
        <v>Thursday</v>
      </c>
      <c r="N270" s="23">
        <f t="shared" si="4"/>
        <v>6</v>
      </c>
      <c r="O270" s="16">
        <f>ROUND('Retail Store Sales'!$F270*'Retail Store Sales'!$G270*_xlfn.XLOOKUP('Retail Store Sales'!$C270,Table2[Product Name],Table2[Cost Percentage],0),0)</f>
        <v>494</v>
      </c>
      <c r="P270" s="12">
        <f>'Retail Store Sales'!$F270*'Retail Store Sales'!$G270</f>
        <v>899</v>
      </c>
      <c r="Q270" s="12">
        <f>P270-Table1[[#This Row],[Total cost]]</f>
        <v>405</v>
      </c>
    </row>
    <row r="271" spans="1:17" x14ac:dyDescent="0.45">
      <c r="A271" s="16" t="s">
        <v>315</v>
      </c>
      <c r="B271" s="16" t="s">
        <v>23</v>
      </c>
      <c r="C271" s="16" t="s">
        <v>24</v>
      </c>
      <c r="D271" s="17">
        <v>45324</v>
      </c>
      <c r="E271" s="17">
        <v>45333</v>
      </c>
      <c r="F271" s="16">
        <v>9</v>
      </c>
      <c r="G271" s="16">
        <v>417</v>
      </c>
      <c r="H271" s="16" t="s">
        <v>13</v>
      </c>
      <c r="I271" s="16" t="s">
        <v>547</v>
      </c>
      <c r="J271" s="16" t="s">
        <v>45</v>
      </c>
      <c r="K271" s="18" t="str">
        <f>TEXT('Retail Store Sales'!$D271,"yyyy")</f>
        <v>2024</v>
      </c>
      <c r="L271" s="15" t="str">
        <f>TEXT('Retail Store Sales'!$D271,"mmm")</f>
        <v>Feb</v>
      </c>
      <c r="M271" s="16" t="str">
        <f>TEXT('Retail Store Sales'!$D271,"dddd")</f>
        <v>Friday</v>
      </c>
      <c r="N271" s="24">
        <f t="shared" si="4"/>
        <v>9</v>
      </c>
      <c r="O271" s="16">
        <f>ROUND('Retail Store Sales'!$F271*'Retail Store Sales'!$G271*_xlfn.XLOOKUP('Retail Store Sales'!$C271,Table2[Product Name],Table2[Cost Percentage],0),0)</f>
        <v>2064</v>
      </c>
      <c r="P271" s="16">
        <f>'Retail Store Sales'!$F271*'Retail Store Sales'!$G271</f>
        <v>3753</v>
      </c>
      <c r="Q271" s="12">
        <f>P271-Table1[[#This Row],[Total cost]]</f>
        <v>1689</v>
      </c>
    </row>
    <row r="272" spans="1:17" x14ac:dyDescent="0.45">
      <c r="A272" s="12" t="s">
        <v>316</v>
      </c>
      <c r="B272" s="12" t="s">
        <v>23</v>
      </c>
      <c r="C272" s="12" t="s">
        <v>24</v>
      </c>
      <c r="D272" s="13">
        <v>45457</v>
      </c>
      <c r="E272" s="13">
        <v>45461</v>
      </c>
      <c r="F272" s="12">
        <v>5</v>
      </c>
      <c r="G272" s="12">
        <v>355</v>
      </c>
      <c r="H272" s="12" t="s">
        <v>13</v>
      </c>
      <c r="I272" s="12" t="s">
        <v>551</v>
      </c>
      <c r="J272" s="12" t="s">
        <v>45</v>
      </c>
      <c r="K272" s="14" t="str">
        <f>TEXT('Retail Store Sales'!$D272,"yyyy")</f>
        <v>2024</v>
      </c>
      <c r="L272" s="11" t="str">
        <f>TEXT('Retail Store Sales'!$D272,"mmm")</f>
        <v>Jun</v>
      </c>
      <c r="M272" s="12" t="str">
        <f>TEXT('Retail Store Sales'!$D272,"dddd")</f>
        <v>Friday</v>
      </c>
      <c r="N272" s="23">
        <f t="shared" si="4"/>
        <v>4</v>
      </c>
      <c r="O272" s="16">
        <f>ROUND('Retail Store Sales'!$F272*'Retail Store Sales'!$G272*_xlfn.XLOOKUP('Retail Store Sales'!$C272,Table2[Product Name],Table2[Cost Percentage],0),0)</f>
        <v>976</v>
      </c>
      <c r="P272" s="12">
        <f>'Retail Store Sales'!$F272*'Retail Store Sales'!$G272</f>
        <v>1775</v>
      </c>
      <c r="Q272" s="12">
        <f>P272-Table1[[#This Row],[Total cost]]</f>
        <v>799</v>
      </c>
    </row>
    <row r="273" spans="1:17" x14ac:dyDescent="0.45">
      <c r="A273" s="16" t="s">
        <v>317</v>
      </c>
      <c r="B273" s="16" t="s">
        <v>16</v>
      </c>
      <c r="C273" s="16" t="s">
        <v>43</v>
      </c>
      <c r="D273" s="17">
        <v>45467</v>
      </c>
      <c r="E273" s="17">
        <v>45471</v>
      </c>
      <c r="F273" s="16">
        <v>1</v>
      </c>
      <c r="G273" s="16">
        <v>57</v>
      </c>
      <c r="H273" s="16" t="s">
        <v>13</v>
      </c>
      <c r="I273" s="16" t="s">
        <v>547</v>
      </c>
      <c r="J273" s="16" t="s">
        <v>28</v>
      </c>
      <c r="K273" s="18" t="str">
        <f>TEXT('Retail Store Sales'!$D273,"yyyy")</f>
        <v>2024</v>
      </c>
      <c r="L273" s="15" t="str">
        <f>TEXT('Retail Store Sales'!$D273,"mmm")</f>
        <v>Jun</v>
      </c>
      <c r="M273" s="16" t="str">
        <f>TEXT('Retail Store Sales'!$D273,"dddd")</f>
        <v>Monday</v>
      </c>
      <c r="N273" s="24">
        <f t="shared" si="4"/>
        <v>4</v>
      </c>
      <c r="O273" s="16">
        <f>ROUND('Retail Store Sales'!$F273*'Retail Store Sales'!$G273*_xlfn.XLOOKUP('Retail Store Sales'!$C273,Table2[Product Name],Table2[Cost Percentage],0),0)</f>
        <v>34</v>
      </c>
      <c r="P273" s="16">
        <f>'Retail Store Sales'!$F273*'Retail Store Sales'!$G273</f>
        <v>57</v>
      </c>
      <c r="Q273" s="12">
        <f>P273-Table1[[#This Row],[Total cost]]</f>
        <v>23</v>
      </c>
    </row>
    <row r="274" spans="1:17" x14ac:dyDescent="0.45">
      <c r="A274" s="12" t="s">
        <v>318</v>
      </c>
      <c r="B274" s="12" t="s">
        <v>11</v>
      </c>
      <c r="C274" s="12" t="s">
        <v>57</v>
      </c>
      <c r="D274" s="13">
        <v>45517</v>
      </c>
      <c r="E274" s="13">
        <v>45529</v>
      </c>
      <c r="F274" s="12">
        <v>8</v>
      </c>
      <c r="G274" s="12">
        <v>10</v>
      </c>
      <c r="H274" s="12" t="s">
        <v>27</v>
      </c>
      <c r="I274" s="12" t="s">
        <v>549</v>
      </c>
      <c r="J274" s="12" t="s">
        <v>18</v>
      </c>
      <c r="K274" s="14" t="str">
        <f>TEXT('Retail Store Sales'!$D274,"yyyy")</f>
        <v>2024</v>
      </c>
      <c r="L274" s="11" t="str">
        <f>TEXT('Retail Store Sales'!$D274,"mmm")</f>
        <v>Aug</v>
      </c>
      <c r="M274" s="12" t="str">
        <f>TEXT('Retail Store Sales'!$D274,"dddd")</f>
        <v>Tuesday</v>
      </c>
      <c r="N274" s="23">
        <f t="shared" si="4"/>
        <v>12</v>
      </c>
      <c r="O274" s="16">
        <f>ROUND('Retail Store Sales'!$F274*'Retail Store Sales'!$G274*_xlfn.XLOOKUP('Retail Store Sales'!$C274,Table2[Product Name],Table2[Cost Percentage],0),0)</f>
        <v>68</v>
      </c>
      <c r="P274" s="12">
        <f>'Retail Store Sales'!$F274*'Retail Store Sales'!$G274</f>
        <v>80</v>
      </c>
      <c r="Q274" s="12">
        <f>P274-Table1[[#This Row],[Total cost]]</f>
        <v>12</v>
      </c>
    </row>
    <row r="275" spans="1:17" x14ac:dyDescent="0.45">
      <c r="A275" s="16" t="s">
        <v>319</v>
      </c>
      <c r="B275" s="16" t="s">
        <v>11</v>
      </c>
      <c r="C275" s="16" t="s">
        <v>95</v>
      </c>
      <c r="D275" s="17">
        <v>45632</v>
      </c>
      <c r="E275" s="17">
        <v>45639</v>
      </c>
      <c r="F275" s="16">
        <v>3</v>
      </c>
      <c r="G275" s="16">
        <v>63</v>
      </c>
      <c r="H275" s="16" t="s">
        <v>27</v>
      </c>
      <c r="I275" s="16" t="s">
        <v>549</v>
      </c>
      <c r="J275" s="16" t="s">
        <v>18</v>
      </c>
      <c r="K275" s="18" t="str">
        <f>TEXT('Retail Store Sales'!$D275,"yyyy")</f>
        <v>2024</v>
      </c>
      <c r="L275" s="15" t="str">
        <f>TEXT('Retail Store Sales'!$D275,"mmm")</f>
        <v>Dec</v>
      </c>
      <c r="M275" s="16" t="str">
        <f>TEXT('Retail Store Sales'!$D275,"dddd")</f>
        <v>Friday</v>
      </c>
      <c r="N275" s="24">
        <f t="shared" si="4"/>
        <v>7</v>
      </c>
      <c r="O275" s="16">
        <f>ROUND('Retail Store Sales'!$F275*'Retail Store Sales'!$G275*_xlfn.XLOOKUP('Retail Store Sales'!$C275,Table2[Product Name],Table2[Cost Percentage],0),0)</f>
        <v>132</v>
      </c>
      <c r="P275" s="16">
        <f>'Retail Store Sales'!$F275*'Retail Store Sales'!$G275</f>
        <v>189</v>
      </c>
      <c r="Q275" s="12">
        <f>P275-Table1[[#This Row],[Total cost]]</f>
        <v>57</v>
      </c>
    </row>
    <row r="276" spans="1:17" x14ac:dyDescent="0.45">
      <c r="A276" s="12" t="s">
        <v>320</v>
      </c>
      <c r="B276" s="12" t="s">
        <v>20</v>
      </c>
      <c r="C276" s="12" t="s">
        <v>21</v>
      </c>
      <c r="D276" s="13">
        <v>45627</v>
      </c>
      <c r="E276" s="13">
        <v>45636</v>
      </c>
      <c r="F276" s="12">
        <v>2</v>
      </c>
      <c r="G276" s="12">
        <v>730</v>
      </c>
      <c r="H276" s="12" t="s">
        <v>13</v>
      </c>
      <c r="I276" s="12" t="s">
        <v>547</v>
      </c>
      <c r="J276" s="12" t="s">
        <v>18</v>
      </c>
      <c r="K276" s="14" t="str">
        <f>TEXT('Retail Store Sales'!$D276,"yyyy")</f>
        <v>2024</v>
      </c>
      <c r="L276" s="11" t="str">
        <f>TEXT('Retail Store Sales'!$D276,"mmm")</f>
        <v>Dec</v>
      </c>
      <c r="M276" s="12" t="str">
        <f>TEXT('Retail Store Sales'!$D276,"dddd")</f>
        <v>Sunday</v>
      </c>
      <c r="N276" s="23">
        <f t="shared" si="4"/>
        <v>9</v>
      </c>
      <c r="O276" s="16">
        <f>ROUND('Retail Store Sales'!$F276*'Retail Store Sales'!$G276*_xlfn.XLOOKUP('Retail Store Sales'!$C276,Table2[Product Name],Table2[Cost Percentage],0),0)</f>
        <v>1095</v>
      </c>
      <c r="P276" s="12">
        <f>'Retail Store Sales'!$F276*'Retail Store Sales'!$G276</f>
        <v>1460</v>
      </c>
      <c r="Q276" s="12">
        <f>P276-Table1[[#This Row],[Total cost]]</f>
        <v>365</v>
      </c>
    </row>
    <row r="277" spans="1:17" x14ac:dyDescent="0.45">
      <c r="A277" s="16" t="s">
        <v>321</v>
      </c>
      <c r="B277" s="16" t="s">
        <v>23</v>
      </c>
      <c r="C277" s="16" t="s">
        <v>114</v>
      </c>
      <c r="D277" s="17">
        <v>45359</v>
      </c>
      <c r="E277" s="17">
        <v>45366</v>
      </c>
      <c r="F277" s="16">
        <v>10</v>
      </c>
      <c r="G277" s="16">
        <v>241</v>
      </c>
      <c r="H277" s="16" t="s">
        <v>13</v>
      </c>
      <c r="I277" s="16" t="s">
        <v>551</v>
      </c>
      <c r="J277" s="16" t="s">
        <v>18</v>
      </c>
      <c r="K277" s="18" t="str">
        <f>TEXT('Retail Store Sales'!$D277,"yyyy")</f>
        <v>2024</v>
      </c>
      <c r="L277" s="15" t="str">
        <f>TEXT('Retail Store Sales'!$D277,"mmm")</f>
        <v>Mar</v>
      </c>
      <c r="M277" s="16" t="str">
        <f>TEXT('Retail Store Sales'!$D277,"dddd")</f>
        <v>Friday</v>
      </c>
      <c r="N277" s="24">
        <f t="shared" si="4"/>
        <v>7</v>
      </c>
      <c r="O277" s="16">
        <f>ROUND('Retail Store Sales'!$F277*'Retail Store Sales'!$G277*_xlfn.XLOOKUP('Retail Store Sales'!$C277,Table2[Product Name],Table2[Cost Percentage],0),0)</f>
        <v>1446</v>
      </c>
      <c r="P277" s="16">
        <f>'Retail Store Sales'!$F277*'Retail Store Sales'!$G277</f>
        <v>2410</v>
      </c>
      <c r="Q277" s="12">
        <f>P277-Table1[[#This Row],[Total cost]]</f>
        <v>964</v>
      </c>
    </row>
    <row r="278" spans="1:17" x14ac:dyDescent="0.45">
      <c r="A278" s="12" t="s">
        <v>322</v>
      </c>
      <c r="B278" s="12" t="s">
        <v>11</v>
      </c>
      <c r="C278" s="12" t="s">
        <v>95</v>
      </c>
      <c r="D278" s="13">
        <v>45353</v>
      </c>
      <c r="E278" s="13">
        <v>45366</v>
      </c>
      <c r="F278" s="12">
        <v>7</v>
      </c>
      <c r="G278" s="12">
        <v>720</v>
      </c>
      <c r="H278" s="12" t="s">
        <v>13</v>
      </c>
      <c r="I278" s="12" t="s">
        <v>547</v>
      </c>
      <c r="J278" s="12" t="s">
        <v>18</v>
      </c>
      <c r="K278" s="14" t="str">
        <f>TEXT('Retail Store Sales'!$D278,"yyyy")</f>
        <v>2024</v>
      </c>
      <c r="L278" s="11" t="str">
        <f>TEXT('Retail Store Sales'!$D278,"mmm")</f>
        <v>Mar</v>
      </c>
      <c r="M278" s="12" t="str">
        <f>TEXT('Retail Store Sales'!$D278,"dddd")</f>
        <v>Saturday</v>
      </c>
      <c r="N278" s="23">
        <f t="shared" si="4"/>
        <v>13</v>
      </c>
      <c r="O278" s="16">
        <f>ROUND('Retail Store Sales'!$F278*'Retail Store Sales'!$G278*_xlfn.XLOOKUP('Retail Store Sales'!$C278,Table2[Product Name],Table2[Cost Percentage],0),0)</f>
        <v>3528</v>
      </c>
      <c r="P278" s="12">
        <f>'Retail Store Sales'!$F278*'Retail Store Sales'!$G278</f>
        <v>5040</v>
      </c>
      <c r="Q278" s="12">
        <f>P278-Table1[[#This Row],[Total cost]]</f>
        <v>1512</v>
      </c>
    </row>
    <row r="279" spans="1:17" x14ac:dyDescent="0.45">
      <c r="A279" s="16" t="s">
        <v>323</v>
      </c>
      <c r="B279" s="16" t="s">
        <v>20</v>
      </c>
      <c r="C279" s="16" t="s">
        <v>21</v>
      </c>
      <c r="D279" s="17">
        <v>45360</v>
      </c>
      <c r="E279" s="17">
        <v>45371</v>
      </c>
      <c r="F279" s="16">
        <v>3</v>
      </c>
      <c r="G279" s="16">
        <v>80</v>
      </c>
      <c r="H279" s="16" t="s">
        <v>13</v>
      </c>
      <c r="I279" s="16" t="s">
        <v>551</v>
      </c>
      <c r="J279" s="16" t="s">
        <v>45</v>
      </c>
      <c r="K279" s="18" t="str">
        <f>TEXT('Retail Store Sales'!$D279,"yyyy")</f>
        <v>2024</v>
      </c>
      <c r="L279" s="15" t="str">
        <f>TEXT('Retail Store Sales'!$D279,"mmm")</f>
        <v>Mar</v>
      </c>
      <c r="M279" s="16" t="str">
        <f>TEXT('Retail Store Sales'!$D279,"dddd")</f>
        <v>Saturday</v>
      </c>
      <c r="N279" s="24">
        <f t="shared" si="4"/>
        <v>11</v>
      </c>
      <c r="O279" s="16">
        <f>ROUND('Retail Store Sales'!$F279*'Retail Store Sales'!$G279*_xlfn.XLOOKUP('Retail Store Sales'!$C279,Table2[Product Name],Table2[Cost Percentage],0),0)</f>
        <v>180</v>
      </c>
      <c r="P279" s="16">
        <f>'Retail Store Sales'!$F279*'Retail Store Sales'!$G279</f>
        <v>240</v>
      </c>
      <c r="Q279" s="12">
        <f>P279-Table1[[#This Row],[Total cost]]</f>
        <v>60</v>
      </c>
    </row>
    <row r="280" spans="1:17" x14ac:dyDescent="0.45">
      <c r="A280" s="12" t="s">
        <v>324</v>
      </c>
      <c r="B280" s="12" t="s">
        <v>16</v>
      </c>
      <c r="C280" s="12" t="s">
        <v>43</v>
      </c>
      <c r="D280" s="13">
        <v>45403</v>
      </c>
      <c r="E280" s="13">
        <v>45409</v>
      </c>
      <c r="F280" s="12">
        <v>2</v>
      </c>
      <c r="G280" s="12">
        <v>928</v>
      </c>
      <c r="H280" s="12" t="s">
        <v>13</v>
      </c>
      <c r="I280" s="12" t="s">
        <v>547</v>
      </c>
      <c r="J280" s="12" t="s">
        <v>14</v>
      </c>
      <c r="K280" s="14" t="str">
        <f>TEXT('Retail Store Sales'!$D280,"yyyy")</f>
        <v>2024</v>
      </c>
      <c r="L280" s="11" t="str">
        <f>TEXT('Retail Store Sales'!$D280,"mmm")</f>
        <v>Apr</v>
      </c>
      <c r="M280" s="12" t="str">
        <f>TEXT('Retail Store Sales'!$D280,"dddd")</f>
        <v>Sunday</v>
      </c>
      <c r="N280" s="23">
        <f t="shared" si="4"/>
        <v>6</v>
      </c>
      <c r="O280" s="16">
        <f>ROUND('Retail Store Sales'!$F280*'Retail Store Sales'!$G280*_xlfn.XLOOKUP('Retail Store Sales'!$C280,Table2[Product Name],Table2[Cost Percentage],0),0)</f>
        <v>1114</v>
      </c>
      <c r="P280" s="12">
        <f>'Retail Store Sales'!$F280*'Retail Store Sales'!$G280</f>
        <v>1856</v>
      </c>
      <c r="Q280" s="12">
        <f>P280-Table1[[#This Row],[Total cost]]</f>
        <v>742</v>
      </c>
    </row>
    <row r="281" spans="1:17" x14ac:dyDescent="0.45">
      <c r="A281" s="16" t="s">
        <v>325</v>
      </c>
      <c r="B281" s="16" t="s">
        <v>16</v>
      </c>
      <c r="C281" s="16" t="s">
        <v>43</v>
      </c>
      <c r="D281" s="17">
        <v>45471</v>
      </c>
      <c r="E281" s="17">
        <v>45484</v>
      </c>
      <c r="F281" s="16">
        <v>7</v>
      </c>
      <c r="G281" s="16">
        <v>332</v>
      </c>
      <c r="H281" s="16" t="s">
        <v>13</v>
      </c>
      <c r="I281" s="16" t="s">
        <v>548</v>
      </c>
      <c r="J281" s="16" t="s">
        <v>45</v>
      </c>
      <c r="K281" s="18" t="str">
        <f>TEXT('Retail Store Sales'!$D281,"yyyy")</f>
        <v>2024</v>
      </c>
      <c r="L281" s="15" t="str">
        <f>TEXT('Retail Store Sales'!$D281,"mmm")</f>
        <v>Jun</v>
      </c>
      <c r="M281" s="16" t="str">
        <f>TEXT('Retail Store Sales'!$D281,"dddd")</f>
        <v>Friday</v>
      </c>
      <c r="N281" s="24">
        <f t="shared" si="4"/>
        <v>13</v>
      </c>
      <c r="O281" s="16">
        <f>ROUND('Retail Store Sales'!$F281*'Retail Store Sales'!$G281*_xlfn.XLOOKUP('Retail Store Sales'!$C281,Table2[Product Name],Table2[Cost Percentage],0),0)</f>
        <v>1394</v>
      </c>
      <c r="P281" s="16">
        <f>'Retail Store Sales'!$F281*'Retail Store Sales'!$G281</f>
        <v>2324</v>
      </c>
      <c r="Q281" s="12">
        <f>P281-Table1[[#This Row],[Total cost]]</f>
        <v>930</v>
      </c>
    </row>
    <row r="282" spans="1:17" x14ac:dyDescent="0.45">
      <c r="A282" s="12" t="s">
        <v>326</v>
      </c>
      <c r="B282" s="12" t="s">
        <v>11</v>
      </c>
      <c r="C282" s="12" t="s">
        <v>95</v>
      </c>
      <c r="D282" s="13">
        <v>45397</v>
      </c>
      <c r="E282" s="13">
        <v>45400</v>
      </c>
      <c r="F282" s="12">
        <v>9</v>
      </c>
      <c r="G282" s="12">
        <v>631</v>
      </c>
      <c r="H282" s="12" t="s">
        <v>27</v>
      </c>
      <c r="I282" s="12" t="s">
        <v>551</v>
      </c>
      <c r="J282" s="12" t="s">
        <v>18</v>
      </c>
      <c r="K282" s="14" t="str">
        <f>TEXT('Retail Store Sales'!$D282,"yyyy")</f>
        <v>2024</v>
      </c>
      <c r="L282" s="11" t="str">
        <f>TEXT('Retail Store Sales'!$D282,"mmm")</f>
        <v>Apr</v>
      </c>
      <c r="M282" s="12" t="str">
        <f>TEXT('Retail Store Sales'!$D282,"dddd")</f>
        <v>Monday</v>
      </c>
      <c r="N282" s="23">
        <f t="shared" si="4"/>
        <v>3</v>
      </c>
      <c r="O282" s="16">
        <f>ROUND('Retail Store Sales'!$F282*'Retail Store Sales'!$G282*_xlfn.XLOOKUP('Retail Store Sales'!$C282,Table2[Product Name],Table2[Cost Percentage],0),0)</f>
        <v>3975</v>
      </c>
      <c r="P282" s="12">
        <f>'Retail Store Sales'!$F282*'Retail Store Sales'!$G282</f>
        <v>5679</v>
      </c>
      <c r="Q282" s="12">
        <f>P282-Table1[[#This Row],[Total cost]]</f>
        <v>1704</v>
      </c>
    </row>
    <row r="283" spans="1:17" x14ac:dyDescent="0.45">
      <c r="A283" s="16" t="s">
        <v>327</v>
      </c>
      <c r="B283" s="16" t="s">
        <v>23</v>
      </c>
      <c r="C283" s="16" t="s">
        <v>114</v>
      </c>
      <c r="D283" s="17">
        <v>45415</v>
      </c>
      <c r="E283" s="17">
        <v>45419</v>
      </c>
      <c r="F283" s="16">
        <v>8</v>
      </c>
      <c r="G283" s="16">
        <v>663</v>
      </c>
      <c r="H283" s="16" t="s">
        <v>27</v>
      </c>
      <c r="I283" s="16" t="s">
        <v>551</v>
      </c>
      <c r="J283" s="16" t="s">
        <v>28</v>
      </c>
      <c r="K283" s="18" t="str">
        <f>TEXT('Retail Store Sales'!$D283,"yyyy")</f>
        <v>2024</v>
      </c>
      <c r="L283" s="15" t="str">
        <f>TEXT('Retail Store Sales'!$D283,"mmm")</f>
        <v>May</v>
      </c>
      <c r="M283" s="16" t="str">
        <f>TEXT('Retail Store Sales'!$D283,"dddd")</f>
        <v>Friday</v>
      </c>
      <c r="N283" s="24">
        <f t="shared" si="4"/>
        <v>4</v>
      </c>
      <c r="O283" s="16">
        <f>ROUND('Retail Store Sales'!$F283*'Retail Store Sales'!$G283*_xlfn.XLOOKUP('Retail Store Sales'!$C283,Table2[Product Name],Table2[Cost Percentage],0),0)</f>
        <v>3182</v>
      </c>
      <c r="P283" s="16">
        <f>'Retail Store Sales'!$F283*'Retail Store Sales'!$G283</f>
        <v>5304</v>
      </c>
      <c r="Q283" s="12">
        <f>P283-Table1[[#This Row],[Total cost]]</f>
        <v>2122</v>
      </c>
    </row>
    <row r="284" spans="1:17" x14ac:dyDescent="0.45">
      <c r="A284" s="12" t="s">
        <v>328</v>
      </c>
      <c r="B284" s="12" t="s">
        <v>30</v>
      </c>
      <c r="C284" s="12" t="s">
        <v>31</v>
      </c>
      <c r="D284" s="13">
        <v>45641</v>
      </c>
      <c r="E284" s="13">
        <v>45646</v>
      </c>
      <c r="F284" s="12">
        <v>3</v>
      </c>
      <c r="G284" s="12">
        <v>791</v>
      </c>
      <c r="H284" s="12" t="s">
        <v>13</v>
      </c>
      <c r="I284" s="12" t="s">
        <v>549</v>
      </c>
      <c r="J284" s="12" t="s">
        <v>14</v>
      </c>
      <c r="K284" s="14" t="str">
        <f>TEXT('Retail Store Sales'!$D284,"yyyy")</f>
        <v>2024</v>
      </c>
      <c r="L284" s="11" t="str">
        <f>TEXT('Retail Store Sales'!$D284,"mmm")</f>
        <v>Dec</v>
      </c>
      <c r="M284" s="12" t="str">
        <f>TEXT('Retail Store Sales'!$D284,"dddd")</f>
        <v>Sunday</v>
      </c>
      <c r="N284" s="23">
        <f t="shared" si="4"/>
        <v>5</v>
      </c>
      <c r="O284" s="16">
        <f>ROUND('Retail Store Sales'!$F284*'Retail Store Sales'!$G284*_xlfn.XLOOKUP('Retail Store Sales'!$C284,Table2[Product Name],Table2[Cost Percentage],0),0)</f>
        <v>1780</v>
      </c>
      <c r="P284" s="12">
        <f>'Retail Store Sales'!$F284*'Retail Store Sales'!$G284</f>
        <v>2373</v>
      </c>
      <c r="Q284" s="12">
        <f>P284-Table1[[#This Row],[Total cost]]</f>
        <v>593</v>
      </c>
    </row>
    <row r="285" spans="1:17" x14ac:dyDescent="0.45">
      <c r="A285" s="16" t="s">
        <v>329</v>
      </c>
      <c r="B285" s="16" t="s">
        <v>16</v>
      </c>
      <c r="C285" s="16" t="s">
        <v>55</v>
      </c>
      <c r="D285" s="17">
        <v>45613</v>
      </c>
      <c r="E285" s="17">
        <v>45616</v>
      </c>
      <c r="F285" s="16">
        <v>9</v>
      </c>
      <c r="G285" s="16">
        <v>795</v>
      </c>
      <c r="H285" s="16" t="s">
        <v>27</v>
      </c>
      <c r="I285" s="16" t="s">
        <v>549</v>
      </c>
      <c r="J285" s="16" t="s">
        <v>45</v>
      </c>
      <c r="K285" s="18" t="str">
        <f>TEXT('Retail Store Sales'!$D285,"yyyy")</f>
        <v>2024</v>
      </c>
      <c r="L285" s="15" t="str">
        <f>TEXT('Retail Store Sales'!$D285,"mmm")</f>
        <v>Nov</v>
      </c>
      <c r="M285" s="16" t="str">
        <f>TEXT('Retail Store Sales'!$D285,"dddd")</f>
        <v>Sunday</v>
      </c>
      <c r="N285" s="24">
        <f t="shared" si="4"/>
        <v>3</v>
      </c>
      <c r="O285" s="16">
        <f>ROUND('Retail Store Sales'!$F285*'Retail Store Sales'!$G285*_xlfn.XLOOKUP('Retail Store Sales'!$C285,Table2[Product Name],Table2[Cost Percentage],0),0)</f>
        <v>3935</v>
      </c>
      <c r="P285" s="16">
        <f>'Retail Store Sales'!$F285*'Retail Store Sales'!$G285</f>
        <v>7155</v>
      </c>
      <c r="Q285" s="12">
        <f>P285-Table1[[#This Row],[Total cost]]</f>
        <v>3220</v>
      </c>
    </row>
    <row r="286" spans="1:17" x14ac:dyDescent="0.45">
      <c r="A286" s="12" t="s">
        <v>330</v>
      </c>
      <c r="B286" s="12" t="s">
        <v>11</v>
      </c>
      <c r="C286" s="12" t="s">
        <v>95</v>
      </c>
      <c r="D286" s="13">
        <v>45332</v>
      </c>
      <c r="E286" s="13">
        <v>45346</v>
      </c>
      <c r="F286" s="12">
        <v>9</v>
      </c>
      <c r="G286" s="12">
        <v>953</v>
      </c>
      <c r="H286" s="12" t="s">
        <v>27</v>
      </c>
      <c r="I286" s="12" t="s">
        <v>547</v>
      </c>
      <c r="J286" s="12" t="s">
        <v>28</v>
      </c>
      <c r="K286" s="14" t="str">
        <f>TEXT('Retail Store Sales'!$D286,"yyyy")</f>
        <v>2024</v>
      </c>
      <c r="L286" s="11" t="str">
        <f>TEXT('Retail Store Sales'!$D286,"mmm")</f>
        <v>Feb</v>
      </c>
      <c r="M286" s="12" t="str">
        <f>TEXT('Retail Store Sales'!$D286,"dddd")</f>
        <v>Saturday</v>
      </c>
      <c r="N286" s="23">
        <f t="shared" si="4"/>
        <v>14</v>
      </c>
      <c r="O286" s="16">
        <f>ROUND('Retail Store Sales'!$F286*'Retail Store Sales'!$G286*_xlfn.XLOOKUP('Retail Store Sales'!$C286,Table2[Product Name],Table2[Cost Percentage],0),0)</f>
        <v>6004</v>
      </c>
      <c r="P286" s="12">
        <f>'Retail Store Sales'!$F286*'Retail Store Sales'!$G286</f>
        <v>8577</v>
      </c>
      <c r="Q286" s="12">
        <f>P286-Table1[[#This Row],[Total cost]]</f>
        <v>2573</v>
      </c>
    </row>
    <row r="287" spans="1:17" x14ac:dyDescent="0.45">
      <c r="A287" s="16" t="s">
        <v>331</v>
      </c>
      <c r="B287" s="16" t="s">
        <v>30</v>
      </c>
      <c r="C287" s="16" t="s">
        <v>49</v>
      </c>
      <c r="D287" s="17">
        <v>45592</v>
      </c>
      <c r="E287" s="17">
        <v>45606</v>
      </c>
      <c r="F287" s="16">
        <v>2</v>
      </c>
      <c r="G287" s="16">
        <v>327</v>
      </c>
      <c r="H287" s="16" t="s">
        <v>27</v>
      </c>
      <c r="I287" s="16" t="s">
        <v>551</v>
      </c>
      <c r="J287" s="16" t="s">
        <v>28</v>
      </c>
      <c r="K287" s="18" t="str">
        <f>TEXT('Retail Store Sales'!$D287,"yyyy")</f>
        <v>2024</v>
      </c>
      <c r="L287" s="15" t="str">
        <f>TEXT('Retail Store Sales'!$D287,"mmm")</f>
        <v>Oct</v>
      </c>
      <c r="M287" s="16" t="str">
        <f>TEXT('Retail Store Sales'!$D287,"dddd")</f>
        <v>Sunday</v>
      </c>
      <c r="N287" s="24">
        <f t="shared" si="4"/>
        <v>14</v>
      </c>
      <c r="O287" s="16">
        <f>ROUND('Retail Store Sales'!$F287*'Retail Store Sales'!$G287*_xlfn.XLOOKUP('Retail Store Sales'!$C287,Table2[Product Name],Table2[Cost Percentage],0),0)</f>
        <v>458</v>
      </c>
      <c r="P287" s="16">
        <f>'Retail Store Sales'!$F287*'Retail Store Sales'!$G287</f>
        <v>654</v>
      </c>
      <c r="Q287" s="12">
        <f>P287-Table1[[#This Row],[Total cost]]</f>
        <v>196</v>
      </c>
    </row>
    <row r="288" spans="1:17" x14ac:dyDescent="0.45">
      <c r="A288" s="12" t="s">
        <v>332</v>
      </c>
      <c r="B288" s="12" t="s">
        <v>16</v>
      </c>
      <c r="C288" s="12" t="s">
        <v>59</v>
      </c>
      <c r="D288" s="13">
        <v>45320</v>
      </c>
      <c r="E288" s="13">
        <v>45324</v>
      </c>
      <c r="F288" s="12">
        <v>5</v>
      </c>
      <c r="G288" s="12">
        <v>692</v>
      </c>
      <c r="H288" s="12" t="s">
        <v>13</v>
      </c>
      <c r="I288" s="12" t="s">
        <v>551</v>
      </c>
      <c r="J288" s="12" t="s">
        <v>18</v>
      </c>
      <c r="K288" s="14" t="str">
        <f>TEXT('Retail Store Sales'!$D288,"yyyy")</f>
        <v>2024</v>
      </c>
      <c r="L288" s="11" t="str">
        <f>TEXT('Retail Store Sales'!$D288,"mmm")</f>
        <v>Jan</v>
      </c>
      <c r="M288" s="12" t="str">
        <f>TEXT('Retail Store Sales'!$D288,"dddd")</f>
        <v>Monday</v>
      </c>
      <c r="N288" s="23">
        <f t="shared" si="4"/>
        <v>4</v>
      </c>
      <c r="O288" s="16">
        <f>ROUND('Retail Store Sales'!$F288*'Retail Store Sales'!$G288*_xlfn.XLOOKUP('Retail Store Sales'!$C288,Table2[Product Name],Table2[Cost Percentage],0),0)</f>
        <v>2249</v>
      </c>
      <c r="P288" s="12">
        <f>'Retail Store Sales'!$F288*'Retail Store Sales'!$G288</f>
        <v>3460</v>
      </c>
      <c r="Q288" s="12">
        <f>P288-Table1[[#This Row],[Total cost]]</f>
        <v>1211</v>
      </c>
    </row>
    <row r="289" spans="1:17" x14ac:dyDescent="0.45">
      <c r="A289" s="16" t="s">
        <v>333</v>
      </c>
      <c r="B289" s="16" t="s">
        <v>11</v>
      </c>
      <c r="C289" s="16" t="s">
        <v>57</v>
      </c>
      <c r="D289" s="17">
        <v>45651</v>
      </c>
      <c r="E289" s="17">
        <v>45658</v>
      </c>
      <c r="F289" s="16">
        <v>1</v>
      </c>
      <c r="G289" s="16">
        <v>177</v>
      </c>
      <c r="H289" s="16" t="s">
        <v>27</v>
      </c>
      <c r="I289" s="16" t="s">
        <v>549</v>
      </c>
      <c r="J289" s="16" t="s">
        <v>18</v>
      </c>
      <c r="K289" s="18" t="str">
        <f>TEXT('Retail Store Sales'!$D289,"yyyy")</f>
        <v>2024</v>
      </c>
      <c r="L289" s="15" t="str">
        <f>TEXT('Retail Store Sales'!$D289,"mmm")</f>
        <v>Dec</v>
      </c>
      <c r="M289" s="16" t="str">
        <f>TEXT('Retail Store Sales'!$D289,"dddd")</f>
        <v>Wednesday</v>
      </c>
      <c r="N289" s="24">
        <f t="shared" si="4"/>
        <v>7</v>
      </c>
      <c r="O289" s="16">
        <f>ROUND('Retail Store Sales'!$F289*'Retail Store Sales'!$G289*_xlfn.XLOOKUP('Retail Store Sales'!$C289,Table2[Product Name],Table2[Cost Percentage],0),0)</f>
        <v>150</v>
      </c>
      <c r="P289" s="16">
        <f>'Retail Store Sales'!$F289*'Retail Store Sales'!$G289</f>
        <v>177</v>
      </c>
      <c r="Q289" s="12">
        <f>P289-Table1[[#This Row],[Total cost]]</f>
        <v>27</v>
      </c>
    </row>
    <row r="290" spans="1:17" x14ac:dyDescent="0.45">
      <c r="A290" s="12" t="s">
        <v>334</v>
      </c>
      <c r="B290" s="12" t="s">
        <v>16</v>
      </c>
      <c r="C290" s="12" t="s">
        <v>55</v>
      </c>
      <c r="D290" s="13">
        <v>45377</v>
      </c>
      <c r="E290" s="13">
        <v>45390</v>
      </c>
      <c r="F290" s="12">
        <v>6</v>
      </c>
      <c r="G290" s="12">
        <v>139</v>
      </c>
      <c r="H290" s="12" t="s">
        <v>27</v>
      </c>
      <c r="I290" s="12" t="s">
        <v>551</v>
      </c>
      <c r="J290" s="12" t="s">
        <v>45</v>
      </c>
      <c r="K290" s="14" t="str">
        <f>TEXT('Retail Store Sales'!$D290,"yyyy")</f>
        <v>2024</v>
      </c>
      <c r="L290" s="11" t="str">
        <f>TEXT('Retail Store Sales'!$D290,"mmm")</f>
        <v>Mar</v>
      </c>
      <c r="M290" s="12" t="str">
        <f>TEXT('Retail Store Sales'!$D290,"dddd")</f>
        <v>Tuesday</v>
      </c>
      <c r="N290" s="23">
        <f t="shared" si="4"/>
        <v>13</v>
      </c>
      <c r="O290" s="16">
        <f>ROUND('Retail Store Sales'!$F290*'Retail Store Sales'!$G290*_xlfn.XLOOKUP('Retail Store Sales'!$C290,Table2[Product Name],Table2[Cost Percentage],0),0)</f>
        <v>459</v>
      </c>
      <c r="P290" s="12">
        <f>'Retail Store Sales'!$F290*'Retail Store Sales'!$G290</f>
        <v>834</v>
      </c>
      <c r="Q290" s="12">
        <f>P290-Table1[[#This Row],[Total cost]]</f>
        <v>375</v>
      </c>
    </row>
    <row r="291" spans="1:17" x14ac:dyDescent="0.45">
      <c r="A291" s="16" t="s">
        <v>335</v>
      </c>
      <c r="B291" s="16" t="s">
        <v>16</v>
      </c>
      <c r="C291" s="16" t="s">
        <v>63</v>
      </c>
      <c r="D291" s="17">
        <v>45480</v>
      </c>
      <c r="E291" s="17">
        <v>45490</v>
      </c>
      <c r="F291" s="16">
        <v>3</v>
      </c>
      <c r="G291" s="16">
        <v>271</v>
      </c>
      <c r="H291" s="16" t="s">
        <v>27</v>
      </c>
      <c r="I291" s="16" t="s">
        <v>548</v>
      </c>
      <c r="J291" s="16" t="s">
        <v>14</v>
      </c>
      <c r="K291" s="18" t="str">
        <f>TEXT('Retail Store Sales'!$D291,"yyyy")</f>
        <v>2024</v>
      </c>
      <c r="L291" s="15" t="str">
        <f>TEXT('Retail Store Sales'!$D291,"mmm")</f>
        <v>Jul</v>
      </c>
      <c r="M291" s="16" t="str">
        <f>TEXT('Retail Store Sales'!$D291,"dddd")</f>
        <v>Sunday</v>
      </c>
      <c r="N291" s="24">
        <f t="shared" si="4"/>
        <v>10</v>
      </c>
      <c r="O291" s="16">
        <f>ROUND('Retail Store Sales'!$F291*'Retail Store Sales'!$G291*_xlfn.XLOOKUP('Retail Store Sales'!$C291,Table2[Product Name],Table2[Cost Percentage],0),0)</f>
        <v>407</v>
      </c>
      <c r="P291" s="16">
        <f>'Retail Store Sales'!$F291*'Retail Store Sales'!$G291</f>
        <v>813</v>
      </c>
      <c r="Q291" s="12">
        <f>P291-Table1[[#This Row],[Total cost]]</f>
        <v>406</v>
      </c>
    </row>
    <row r="292" spans="1:17" x14ac:dyDescent="0.45">
      <c r="A292" s="12" t="s">
        <v>336</v>
      </c>
      <c r="B292" s="12" t="s">
        <v>11</v>
      </c>
      <c r="C292" s="12" t="s">
        <v>57</v>
      </c>
      <c r="D292" s="13">
        <v>45552</v>
      </c>
      <c r="E292" s="13">
        <v>45555</v>
      </c>
      <c r="F292" s="12">
        <v>1</v>
      </c>
      <c r="G292" s="12">
        <v>55</v>
      </c>
      <c r="H292" s="12" t="s">
        <v>13</v>
      </c>
      <c r="I292" s="12" t="s">
        <v>548</v>
      </c>
      <c r="J292" s="12" t="s">
        <v>45</v>
      </c>
      <c r="K292" s="14" t="str">
        <f>TEXT('Retail Store Sales'!$D292,"yyyy")</f>
        <v>2024</v>
      </c>
      <c r="L292" s="11" t="str">
        <f>TEXT('Retail Store Sales'!$D292,"mmm")</f>
        <v>Sep</v>
      </c>
      <c r="M292" s="12" t="str">
        <f>TEXT('Retail Store Sales'!$D292,"dddd")</f>
        <v>Tuesday</v>
      </c>
      <c r="N292" s="23">
        <f t="shared" si="4"/>
        <v>3</v>
      </c>
      <c r="O292" s="16">
        <f>ROUND('Retail Store Sales'!$F292*'Retail Store Sales'!$G292*_xlfn.XLOOKUP('Retail Store Sales'!$C292,Table2[Product Name],Table2[Cost Percentage],0),0)</f>
        <v>47</v>
      </c>
      <c r="P292" s="12">
        <f>'Retail Store Sales'!$F292*'Retail Store Sales'!$G292</f>
        <v>55</v>
      </c>
      <c r="Q292" s="12">
        <f>P292-Table1[[#This Row],[Total cost]]</f>
        <v>8</v>
      </c>
    </row>
    <row r="293" spans="1:17" x14ac:dyDescent="0.45">
      <c r="A293" s="16" t="s">
        <v>337</v>
      </c>
      <c r="B293" s="16" t="s">
        <v>11</v>
      </c>
      <c r="C293" s="16" t="s">
        <v>26</v>
      </c>
      <c r="D293" s="17">
        <v>45478</v>
      </c>
      <c r="E293" s="17">
        <v>45491</v>
      </c>
      <c r="F293" s="16">
        <v>7</v>
      </c>
      <c r="G293" s="16">
        <v>952</v>
      </c>
      <c r="H293" s="16" t="s">
        <v>13</v>
      </c>
      <c r="I293" s="16" t="s">
        <v>547</v>
      </c>
      <c r="J293" s="16" t="s">
        <v>14</v>
      </c>
      <c r="K293" s="18" t="str">
        <f>TEXT('Retail Store Sales'!$D293,"yyyy")</f>
        <v>2024</v>
      </c>
      <c r="L293" s="15" t="str">
        <f>TEXT('Retail Store Sales'!$D293,"mmm")</f>
        <v>Jul</v>
      </c>
      <c r="M293" s="16" t="str">
        <f>TEXT('Retail Store Sales'!$D293,"dddd")</f>
        <v>Friday</v>
      </c>
      <c r="N293" s="24">
        <f t="shared" si="4"/>
        <v>13</v>
      </c>
      <c r="O293" s="16">
        <f>ROUND('Retail Store Sales'!$F293*'Retail Store Sales'!$G293*_xlfn.XLOOKUP('Retail Store Sales'!$C293,Table2[Product Name],Table2[Cost Percentage],0),0)</f>
        <v>4332</v>
      </c>
      <c r="P293" s="16">
        <f>'Retail Store Sales'!$F293*'Retail Store Sales'!$G293</f>
        <v>6664</v>
      </c>
      <c r="Q293" s="12">
        <f>P293-Table1[[#This Row],[Total cost]]</f>
        <v>2332</v>
      </c>
    </row>
    <row r="294" spans="1:17" x14ac:dyDescent="0.45">
      <c r="A294" s="12" t="s">
        <v>338</v>
      </c>
      <c r="B294" s="12" t="s">
        <v>11</v>
      </c>
      <c r="C294" s="12" t="s">
        <v>35</v>
      </c>
      <c r="D294" s="13">
        <v>45482</v>
      </c>
      <c r="E294" s="13">
        <v>45488</v>
      </c>
      <c r="F294" s="12">
        <v>2</v>
      </c>
      <c r="G294" s="12">
        <v>524</v>
      </c>
      <c r="H294" s="12" t="s">
        <v>13</v>
      </c>
      <c r="I294" s="12" t="s">
        <v>551</v>
      </c>
      <c r="J294" s="12" t="s">
        <v>18</v>
      </c>
      <c r="K294" s="14" t="str">
        <f>TEXT('Retail Store Sales'!$D294,"yyyy")</f>
        <v>2024</v>
      </c>
      <c r="L294" s="11" t="str">
        <f>TEXT('Retail Store Sales'!$D294,"mmm")</f>
        <v>Jul</v>
      </c>
      <c r="M294" s="12" t="str">
        <f>TEXT('Retail Store Sales'!$D294,"dddd")</f>
        <v>Tuesday</v>
      </c>
      <c r="N294" s="23">
        <f t="shared" si="4"/>
        <v>6</v>
      </c>
      <c r="O294" s="16">
        <f>ROUND('Retail Store Sales'!$F294*'Retail Store Sales'!$G294*_xlfn.XLOOKUP('Retail Store Sales'!$C294,Table2[Product Name],Table2[Cost Percentage],0),0)</f>
        <v>838</v>
      </c>
      <c r="P294" s="12">
        <f>'Retail Store Sales'!$F294*'Retail Store Sales'!$G294</f>
        <v>1048</v>
      </c>
      <c r="Q294" s="12">
        <f>P294-Table1[[#This Row],[Total cost]]</f>
        <v>210</v>
      </c>
    </row>
    <row r="295" spans="1:17" x14ac:dyDescent="0.45">
      <c r="A295" s="16" t="s">
        <v>339</v>
      </c>
      <c r="B295" s="16" t="s">
        <v>20</v>
      </c>
      <c r="C295" s="16" t="s">
        <v>51</v>
      </c>
      <c r="D295" s="17">
        <v>45417</v>
      </c>
      <c r="E295" s="17">
        <v>45421</v>
      </c>
      <c r="F295" s="16">
        <v>3</v>
      </c>
      <c r="G295" s="16">
        <v>16</v>
      </c>
      <c r="H295" s="16" t="s">
        <v>13</v>
      </c>
      <c r="I295" s="16" t="s">
        <v>549</v>
      </c>
      <c r="J295" s="16" t="s">
        <v>28</v>
      </c>
      <c r="K295" s="18" t="str">
        <f>TEXT('Retail Store Sales'!$D295,"yyyy")</f>
        <v>2024</v>
      </c>
      <c r="L295" s="15" t="str">
        <f>TEXT('Retail Store Sales'!$D295,"mmm")</f>
        <v>May</v>
      </c>
      <c r="M295" s="16" t="str">
        <f>TEXT('Retail Store Sales'!$D295,"dddd")</f>
        <v>Sunday</v>
      </c>
      <c r="N295" s="24">
        <f t="shared" si="4"/>
        <v>4</v>
      </c>
      <c r="O295" s="16">
        <f>ROUND('Retail Store Sales'!$F295*'Retail Store Sales'!$G295*_xlfn.XLOOKUP('Retail Store Sales'!$C295,Table2[Product Name],Table2[Cost Percentage],0),0)</f>
        <v>34</v>
      </c>
      <c r="P295" s="16">
        <f>'Retail Store Sales'!$F295*'Retail Store Sales'!$G295</f>
        <v>48</v>
      </c>
      <c r="Q295" s="12">
        <f>P295-Table1[[#This Row],[Total cost]]</f>
        <v>14</v>
      </c>
    </row>
    <row r="296" spans="1:17" x14ac:dyDescent="0.45">
      <c r="A296" s="12" t="s">
        <v>340</v>
      </c>
      <c r="B296" s="12" t="s">
        <v>16</v>
      </c>
      <c r="C296" s="12" t="s">
        <v>55</v>
      </c>
      <c r="D296" s="13">
        <v>45617</v>
      </c>
      <c r="E296" s="13">
        <v>45621</v>
      </c>
      <c r="F296" s="12">
        <v>1</v>
      </c>
      <c r="G296" s="12">
        <v>983</v>
      </c>
      <c r="H296" s="12" t="s">
        <v>27</v>
      </c>
      <c r="I296" s="12" t="s">
        <v>546</v>
      </c>
      <c r="J296" s="12" t="s">
        <v>18</v>
      </c>
      <c r="K296" s="14" t="str">
        <f>TEXT('Retail Store Sales'!$D296,"yyyy")</f>
        <v>2024</v>
      </c>
      <c r="L296" s="11" t="str">
        <f>TEXT('Retail Store Sales'!$D296,"mmm")</f>
        <v>Nov</v>
      </c>
      <c r="M296" s="12" t="str">
        <f>TEXT('Retail Store Sales'!$D296,"dddd")</f>
        <v>Thursday</v>
      </c>
      <c r="N296" s="23">
        <f t="shared" si="4"/>
        <v>4</v>
      </c>
      <c r="O296" s="16">
        <f>ROUND('Retail Store Sales'!$F296*'Retail Store Sales'!$G296*_xlfn.XLOOKUP('Retail Store Sales'!$C296,Table2[Product Name],Table2[Cost Percentage],0),0)</f>
        <v>541</v>
      </c>
      <c r="P296" s="12">
        <f>'Retail Store Sales'!$F296*'Retail Store Sales'!$G296</f>
        <v>983</v>
      </c>
      <c r="Q296" s="12">
        <f>P296-Table1[[#This Row],[Total cost]]</f>
        <v>442</v>
      </c>
    </row>
    <row r="297" spans="1:17" x14ac:dyDescent="0.45">
      <c r="A297" s="16" t="s">
        <v>341</v>
      </c>
      <c r="B297" s="16" t="s">
        <v>11</v>
      </c>
      <c r="C297" s="16" t="s">
        <v>57</v>
      </c>
      <c r="D297" s="17">
        <v>45646</v>
      </c>
      <c r="E297" s="17">
        <v>45657</v>
      </c>
      <c r="F297" s="16">
        <v>5</v>
      </c>
      <c r="G297" s="16">
        <v>105</v>
      </c>
      <c r="H297" s="16" t="s">
        <v>27</v>
      </c>
      <c r="I297" s="16" t="s">
        <v>547</v>
      </c>
      <c r="J297" s="16" t="s">
        <v>28</v>
      </c>
      <c r="K297" s="18" t="str">
        <f>TEXT('Retail Store Sales'!$D297,"yyyy")</f>
        <v>2024</v>
      </c>
      <c r="L297" s="15" t="str">
        <f>TEXT('Retail Store Sales'!$D297,"mmm")</f>
        <v>Dec</v>
      </c>
      <c r="M297" s="16" t="str">
        <f>TEXT('Retail Store Sales'!$D297,"dddd")</f>
        <v>Friday</v>
      </c>
      <c r="N297" s="24">
        <f t="shared" si="4"/>
        <v>11</v>
      </c>
      <c r="O297" s="16">
        <f>ROUND('Retail Store Sales'!$F297*'Retail Store Sales'!$G297*_xlfn.XLOOKUP('Retail Store Sales'!$C297,Table2[Product Name],Table2[Cost Percentage],0),0)</f>
        <v>446</v>
      </c>
      <c r="P297" s="16">
        <f>'Retail Store Sales'!$F297*'Retail Store Sales'!$G297</f>
        <v>525</v>
      </c>
      <c r="Q297" s="12">
        <f>P297-Table1[[#This Row],[Total cost]]</f>
        <v>79</v>
      </c>
    </row>
    <row r="298" spans="1:17" x14ac:dyDescent="0.45">
      <c r="A298" s="12" t="s">
        <v>342</v>
      </c>
      <c r="B298" s="12" t="s">
        <v>23</v>
      </c>
      <c r="C298" s="12" t="s">
        <v>24</v>
      </c>
      <c r="D298" s="13">
        <v>45526</v>
      </c>
      <c r="E298" s="13">
        <v>45540</v>
      </c>
      <c r="F298" s="12">
        <v>2</v>
      </c>
      <c r="G298" s="12">
        <v>604</v>
      </c>
      <c r="H298" s="12" t="s">
        <v>13</v>
      </c>
      <c r="I298" s="12" t="s">
        <v>547</v>
      </c>
      <c r="J298" s="12" t="s">
        <v>14</v>
      </c>
      <c r="K298" s="14" t="str">
        <f>TEXT('Retail Store Sales'!$D298,"yyyy")</f>
        <v>2024</v>
      </c>
      <c r="L298" s="11" t="str">
        <f>TEXT('Retail Store Sales'!$D298,"mmm")</f>
        <v>Aug</v>
      </c>
      <c r="M298" s="12" t="str">
        <f>TEXT('Retail Store Sales'!$D298,"dddd")</f>
        <v>Thursday</v>
      </c>
      <c r="N298" s="23">
        <f t="shared" si="4"/>
        <v>14</v>
      </c>
      <c r="O298" s="16">
        <f>ROUND('Retail Store Sales'!$F298*'Retail Store Sales'!$G298*_xlfn.XLOOKUP('Retail Store Sales'!$C298,Table2[Product Name],Table2[Cost Percentage],0),0)</f>
        <v>664</v>
      </c>
      <c r="P298" s="12">
        <f>'Retail Store Sales'!$F298*'Retail Store Sales'!$G298</f>
        <v>1208</v>
      </c>
      <c r="Q298" s="12">
        <f>P298-Table1[[#This Row],[Total cost]]</f>
        <v>544</v>
      </c>
    </row>
    <row r="299" spans="1:17" x14ac:dyDescent="0.45">
      <c r="A299" s="16" t="s">
        <v>343</v>
      </c>
      <c r="B299" s="16" t="s">
        <v>23</v>
      </c>
      <c r="C299" s="16" t="s">
        <v>114</v>
      </c>
      <c r="D299" s="17">
        <v>45595</v>
      </c>
      <c r="E299" s="17">
        <v>45605</v>
      </c>
      <c r="F299" s="16">
        <v>10</v>
      </c>
      <c r="G299" s="16">
        <v>73</v>
      </c>
      <c r="H299" s="16" t="s">
        <v>13</v>
      </c>
      <c r="I299" s="16" t="s">
        <v>549</v>
      </c>
      <c r="J299" s="16" t="s">
        <v>18</v>
      </c>
      <c r="K299" s="18" t="str">
        <f>TEXT('Retail Store Sales'!$D299,"yyyy")</f>
        <v>2024</v>
      </c>
      <c r="L299" s="15" t="str">
        <f>TEXT('Retail Store Sales'!$D299,"mmm")</f>
        <v>Oct</v>
      </c>
      <c r="M299" s="16" t="str">
        <f>TEXT('Retail Store Sales'!$D299,"dddd")</f>
        <v>Wednesday</v>
      </c>
      <c r="N299" s="24">
        <f t="shared" si="4"/>
        <v>10</v>
      </c>
      <c r="O299" s="16">
        <f>ROUND('Retail Store Sales'!$F299*'Retail Store Sales'!$G299*_xlfn.XLOOKUP('Retail Store Sales'!$C299,Table2[Product Name],Table2[Cost Percentage],0),0)</f>
        <v>438</v>
      </c>
      <c r="P299" s="16">
        <f>'Retail Store Sales'!$F299*'Retail Store Sales'!$G299</f>
        <v>730</v>
      </c>
      <c r="Q299" s="12">
        <f>P299-Table1[[#This Row],[Total cost]]</f>
        <v>292</v>
      </c>
    </row>
    <row r="300" spans="1:17" x14ac:dyDescent="0.45">
      <c r="A300" s="12" t="s">
        <v>344</v>
      </c>
      <c r="B300" s="12" t="s">
        <v>23</v>
      </c>
      <c r="C300" s="12" t="s">
        <v>24</v>
      </c>
      <c r="D300" s="13">
        <v>45411</v>
      </c>
      <c r="E300" s="13">
        <v>45426</v>
      </c>
      <c r="F300" s="12">
        <v>2</v>
      </c>
      <c r="G300" s="12">
        <v>976</v>
      </c>
      <c r="H300" s="12" t="s">
        <v>27</v>
      </c>
      <c r="I300" s="12" t="s">
        <v>547</v>
      </c>
      <c r="J300" s="12" t="s">
        <v>45</v>
      </c>
      <c r="K300" s="14" t="str">
        <f>TEXT('Retail Store Sales'!$D300,"yyyy")</f>
        <v>2024</v>
      </c>
      <c r="L300" s="11" t="str">
        <f>TEXT('Retail Store Sales'!$D300,"mmm")</f>
        <v>Apr</v>
      </c>
      <c r="M300" s="12" t="str">
        <f>TEXT('Retail Store Sales'!$D300,"dddd")</f>
        <v>Monday</v>
      </c>
      <c r="N300" s="23">
        <f t="shared" si="4"/>
        <v>15</v>
      </c>
      <c r="O300" s="16">
        <f>ROUND('Retail Store Sales'!$F300*'Retail Store Sales'!$G300*_xlfn.XLOOKUP('Retail Store Sales'!$C300,Table2[Product Name],Table2[Cost Percentage],0),0)</f>
        <v>1074</v>
      </c>
      <c r="P300" s="12">
        <f>'Retail Store Sales'!$F300*'Retail Store Sales'!$G300</f>
        <v>1952</v>
      </c>
      <c r="Q300" s="12">
        <f>P300-Table1[[#This Row],[Total cost]]</f>
        <v>878</v>
      </c>
    </row>
    <row r="301" spans="1:17" x14ac:dyDescent="0.45">
      <c r="A301" s="16" t="s">
        <v>345</v>
      </c>
      <c r="B301" s="16" t="s">
        <v>11</v>
      </c>
      <c r="C301" s="16" t="s">
        <v>12</v>
      </c>
      <c r="D301" s="17">
        <v>45372</v>
      </c>
      <c r="E301" s="17">
        <v>45375</v>
      </c>
      <c r="F301" s="16">
        <v>5</v>
      </c>
      <c r="G301" s="16">
        <v>856</v>
      </c>
      <c r="H301" s="16" t="s">
        <v>13</v>
      </c>
      <c r="I301" s="16" t="s">
        <v>551</v>
      </c>
      <c r="J301" s="16" t="s">
        <v>18</v>
      </c>
      <c r="K301" s="18" t="str">
        <f>TEXT('Retail Store Sales'!$D301,"yyyy")</f>
        <v>2024</v>
      </c>
      <c r="L301" s="15" t="str">
        <f>TEXT('Retail Store Sales'!$D301,"mmm")</f>
        <v>Mar</v>
      </c>
      <c r="M301" s="16" t="str">
        <f>TEXT('Retail Store Sales'!$D301,"dddd")</f>
        <v>Thursday</v>
      </c>
      <c r="N301" s="24">
        <f t="shared" si="4"/>
        <v>3</v>
      </c>
      <c r="O301" s="16">
        <f>ROUND('Retail Store Sales'!$F301*'Retail Store Sales'!$G301*_xlfn.XLOOKUP('Retail Store Sales'!$C301,Table2[Product Name],Table2[Cost Percentage],0),0)</f>
        <v>3210</v>
      </c>
      <c r="P301" s="16">
        <f>'Retail Store Sales'!$F301*'Retail Store Sales'!$G301</f>
        <v>4280</v>
      </c>
      <c r="Q301" s="12">
        <f>P301-Table1[[#This Row],[Total cost]]</f>
        <v>1070</v>
      </c>
    </row>
    <row r="302" spans="1:17" x14ac:dyDescent="0.45">
      <c r="A302" s="12" t="s">
        <v>346</v>
      </c>
      <c r="B302" s="12" t="s">
        <v>16</v>
      </c>
      <c r="C302" s="12" t="s">
        <v>17</v>
      </c>
      <c r="D302" s="13">
        <v>45638</v>
      </c>
      <c r="E302" s="13">
        <v>45651</v>
      </c>
      <c r="F302" s="12">
        <v>5</v>
      </c>
      <c r="G302" s="12">
        <v>276</v>
      </c>
      <c r="H302" s="12" t="s">
        <v>13</v>
      </c>
      <c r="I302" s="12" t="s">
        <v>548</v>
      </c>
      <c r="J302" s="12" t="s">
        <v>45</v>
      </c>
      <c r="K302" s="14" t="str">
        <f>TEXT('Retail Store Sales'!$D302,"yyyy")</f>
        <v>2024</v>
      </c>
      <c r="L302" s="11" t="str">
        <f>TEXT('Retail Store Sales'!$D302,"mmm")</f>
        <v>Dec</v>
      </c>
      <c r="M302" s="12" t="str">
        <f>TEXT('Retail Store Sales'!$D302,"dddd")</f>
        <v>Thursday</v>
      </c>
      <c r="N302" s="23">
        <f t="shared" si="4"/>
        <v>13</v>
      </c>
      <c r="O302" s="16">
        <f>ROUND('Retail Store Sales'!$F302*'Retail Store Sales'!$G302*_xlfn.XLOOKUP('Retail Store Sales'!$C302,Table2[Product Name],Table2[Cost Percentage],0),0)</f>
        <v>690</v>
      </c>
      <c r="P302" s="12">
        <f>'Retail Store Sales'!$F302*'Retail Store Sales'!$G302</f>
        <v>1380</v>
      </c>
      <c r="Q302" s="12">
        <f>P302-Table1[[#This Row],[Total cost]]</f>
        <v>690</v>
      </c>
    </row>
    <row r="303" spans="1:17" x14ac:dyDescent="0.45">
      <c r="A303" s="16" t="s">
        <v>347</v>
      </c>
      <c r="B303" s="16" t="s">
        <v>23</v>
      </c>
      <c r="C303" s="16" t="s">
        <v>37</v>
      </c>
      <c r="D303" s="17">
        <v>45576</v>
      </c>
      <c r="E303" s="17">
        <v>45588</v>
      </c>
      <c r="F303" s="16">
        <v>9</v>
      </c>
      <c r="G303" s="16">
        <v>265</v>
      </c>
      <c r="H303" s="16" t="s">
        <v>13</v>
      </c>
      <c r="I303" s="16" t="s">
        <v>547</v>
      </c>
      <c r="J303" s="16" t="s">
        <v>28</v>
      </c>
      <c r="K303" s="18" t="str">
        <f>TEXT('Retail Store Sales'!$D303,"yyyy")</f>
        <v>2024</v>
      </c>
      <c r="L303" s="15" t="str">
        <f>TEXT('Retail Store Sales'!$D303,"mmm")</f>
        <v>Oct</v>
      </c>
      <c r="M303" s="16" t="str">
        <f>TEXT('Retail Store Sales'!$D303,"dddd")</f>
        <v>Friday</v>
      </c>
      <c r="N303" s="24">
        <f t="shared" si="4"/>
        <v>12</v>
      </c>
      <c r="O303" s="16">
        <f>ROUND('Retail Store Sales'!$F303*'Retail Store Sales'!$G303*_xlfn.XLOOKUP('Retail Store Sales'!$C303,Table2[Product Name],Table2[Cost Percentage],0),0)</f>
        <v>1193</v>
      </c>
      <c r="P303" s="16">
        <f>'Retail Store Sales'!$F303*'Retail Store Sales'!$G303</f>
        <v>2385</v>
      </c>
      <c r="Q303" s="12">
        <f>P303-Table1[[#This Row],[Total cost]]</f>
        <v>1192</v>
      </c>
    </row>
    <row r="304" spans="1:17" x14ac:dyDescent="0.45">
      <c r="A304" s="12" t="s">
        <v>348</v>
      </c>
      <c r="B304" s="12" t="s">
        <v>20</v>
      </c>
      <c r="C304" s="12" t="s">
        <v>39</v>
      </c>
      <c r="D304" s="13">
        <v>45298</v>
      </c>
      <c r="E304" s="13">
        <v>45303</v>
      </c>
      <c r="F304" s="12">
        <v>1</v>
      </c>
      <c r="G304" s="12">
        <v>860</v>
      </c>
      <c r="H304" s="12" t="s">
        <v>13</v>
      </c>
      <c r="I304" s="12" t="s">
        <v>548</v>
      </c>
      <c r="J304" s="12" t="s">
        <v>18</v>
      </c>
      <c r="K304" s="14" t="str">
        <f>TEXT('Retail Store Sales'!$D304,"yyyy")</f>
        <v>2024</v>
      </c>
      <c r="L304" s="11" t="str">
        <f>TEXT('Retail Store Sales'!$D304,"mmm")</f>
        <v>Jan</v>
      </c>
      <c r="M304" s="12" t="str">
        <f>TEXT('Retail Store Sales'!$D304,"dddd")</f>
        <v>Sunday</v>
      </c>
      <c r="N304" s="23">
        <f t="shared" si="4"/>
        <v>5</v>
      </c>
      <c r="O304" s="16">
        <f>ROUND('Retail Store Sales'!$F304*'Retail Store Sales'!$G304*_xlfn.XLOOKUP('Retail Store Sales'!$C304,Table2[Product Name],Table2[Cost Percentage],0),0)</f>
        <v>559</v>
      </c>
      <c r="P304" s="12">
        <f>'Retail Store Sales'!$F304*'Retail Store Sales'!$G304</f>
        <v>860</v>
      </c>
      <c r="Q304" s="12">
        <f>P304-Table1[[#This Row],[Total cost]]</f>
        <v>301</v>
      </c>
    </row>
    <row r="305" spans="1:17" x14ac:dyDescent="0.45">
      <c r="A305" s="16" t="s">
        <v>349</v>
      </c>
      <c r="B305" s="16" t="s">
        <v>20</v>
      </c>
      <c r="C305" s="16" t="s">
        <v>21</v>
      </c>
      <c r="D305" s="17">
        <v>45482</v>
      </c>
      <c r="E305" s="17">
        <v>45493</v>
      </c>
      <c r="F305" s="16">
        <v>2</v>
      </c>
      <c r="G305" s="16">
        <v>606</v>
      </c>
      <c r="H305" s="16" t="s">
        <v>13</v>
      </c>
      <c r="I305" s="16" t="s">
        <v>551</v>
      </c>
      <c r="J305" s="16" t="s">
        <v>14</v>
      </c>
      <c r="K305" s="18" t="str">
        <f>TEXT('Retail Store Sales'!$D305,"yyyy")</f>
        <v>2024</v>
      </c>
      <c r="L305" s="15" t="str">
        <f>TEXT('Retail Store Sales'!$D305,"mmm")</f>
        <v>Jul</v>
      </c>
      <c r="M305" s="16" t="str">
        <f>TEXT('Retail Store Sales'!$D305,"dddd")</f>
        <v>Tuesday</v>
      </c>
      <c r="N305" s="24">
        <f t="shared" si="4"/>
        <v>11</v>
      </c>
      <c r="O305" s="16">
        <f>ROUND('Retail Store Sales'!$F305*'Retail Store Sales'!$G305*_xlfn.XLOOKUP('Retail Store Sales'!$C305,Table2[Product Name],Table2[Cost Percentage],0),0)</f>
        <v>909</v>
      </c>
      <c r="P305" s="16">
        <f>'Retail Store Sales'!$F305*'Retail Store Sales'!$G305</f>
        <v>1212</v>
      </c>
      <c r="Q305" s="12">
        <f>P305-Table1[[#This Row],[Total cost]]</f>
        <v>303</v>
      </c>
    </row>
    <row r="306" spans="1:17" x14ac:dyDescent="0.45">
      <c r="A306" s="12" t="s">
        <v>350</v>
      </c>
      <c r="B306" s="12" t="s">
        <v>11</v>
      </c>
      <c r="C306" s="12" t="s">
        <v>12</v>
      </c>
      <c r="D306" s="13">
        <v>45528</v>
      </c>
      <c r="E306" s="13">
        <v>45534</v>
      </c>
      <c r="F306" s="12">
        <v>1</v>
      </c>
      <c r="G306" s="12">
        <v>182</v>
      </c>
      <c r="H306" s="12" t="s">
        <v>27</v>
      </c>
      <c r="I306" s="12" t="s">
        <v>551</v>
      </c>
      <c r="J306" s="12" t="s">
        <v>18</v>
      </c>
      <c r="K306" s="14" t="str">
        <f>TEXT('Retail Store Sales'!$D306,"yyyy")</f>
        <v>2024</v>
      </c>
      <c r="L306" s="11" t="str">
        <f>TEXT('Retail Store Sales'!$D306,"mmm")</f>
        <v>Aug</v>
      </c>
      <c r="M306" s="12" t="str">
        <f>TEXT('Retail Store Sales'!$D306,"dddd")</f>
        <v>Saturday</v>
      </c>
      <c r="N306" s="23">
        <f t="shared" si="4"/>
        <v>6</v>
      </c>
      <c r="O306" s="16">
        <f>ROUND('Retail Store Sales'!$F306*'Retail Store Sales'!$G306*_xlfn.XLOOKUP('Retail Store Sales'!$C306,Table2[Product Name],Table2[Cost Percentage],0),0)</f>
        <v>137</v>
      </c>
      <c r="P306" s="12">
        <f>'Retail Store Sales'!$F306*'Retail Store Sales'!$G306</f>
        <v>182</v>
      </c>
      <c r="Q306" s="12">
        <f>P306-Table1[[#This Row],[Total cost]]</f>
        <v>45</v>
      </c>
    </row>
    <row r="307" spans="1:17" x14ac:dyDescent="0.45">
      <c r="A307" s="16" t="s">
        <v>351</v>
      </c>
      <c r="B307" s="16" t="s">
        <v>23</v>
      </c>
      <c r="C307" s="16" t="s">
        <v>24</v>
      </c>
      <c r="D307" s="17">
        <v>45826</v>
      </c>
      <c r="E307" s="17">
        <v>45836</v>
      </c>
      <c r="F307" s="16">
        <v>6</v>
      </c>
      <c r="G307" s="16">
        <v>973</v>
      </c>
      <c r="H307" s="16" t="s">
        <v>13</v>
      </c>
      <c r="I307" s="16" t="s">
        <v>548</v>
      </c>
      <c r="J307" s="16" t="s">
        <v>14</v>
      </c>
      <c r="K307" s="18" t="str">
        <f>TEXT('Retail Store Sales'!$D307,"yyyy")</f>
        <v>2025</v>
      </c>
      <c r="L307" s="15" t="str">
        <f>TEXT('Retail Store Sales'!$D307,"mmm")</f>
        <v>Jun</v>
      </c>
      <c r="M307" s="16" t="str">
        <f>TEXT('Retail Store Sales'!$D307,"dddd")</f>
        <v>Wednesday</v>
      </c>
      <c r="N307" s="24">
        <f t="shared" si="4"/>
        <v>10</v>
      </c>
      <c r="O307" s="16">
        <f>ROUND('Retail Store Sales'!$F307*'Retail Store Sales'!$G307*_xlfn.XLOOKUP('Retail Store Sales'!$C307,Table2[Product Name],Table2[Cost Percentage],0),0)</f>
        <v>3211</v>
      </c>
      <c r="P307" s="16">
        <f>'Retail Store Sales'!$F307*'Retail Store Sales'!$G307</f>
        <v>5838</v>
      </c>
      <c r="Q307" s="12">
        <f>P307-Table1[[#This Row],[Total cost]]</f>
        <v>2627</v>
      </c>
    </row>
    <row r="308" spans="1:17" x14ac:dyDescent="0.45">
      <c r="A308" s="12" t="s">
        <v>352</v>
      </c>
      <c r="B308" s="12" t="s">
        <v>23</v>
      </c>
      <c r="C308" s="12" t="s">
        <v>24</v>
      </c>
      <c r="D308" s="13">
        <v>45690</v>
      </c>
      <c r="E308" s="13">
        <v>45696</v>
      </c>
      <c r="F308" s="12">
        <v>2</v>
      </c>
      <c r="G308" s="12">
        <v>947</v>
      </c>
      <c r="H308" s="12" t="s">
        <v>13</v>
      </c>
      <c r="I308" s="12" t="s">
        <v>549</v>
      </c>
      <c r="J308" s="12" t="s">
        <v>14</v>
      </c>
      <c r="K308" s="14" t="str">
        <f>TEXT('Retail Store Sales'!$D308,"yyyy")</f>
        <v>2025</v>
      </c>
      <c r="L308" s="11" t="str">
        <f>TEXT('Retail Store Sales'!$D308,"mmm")</f>
        <v>Feb</v>
      </c>
      <c r="M308" s="12" t="str">
        <f>TEXT('Retail Store Sales'!$D308,"dddd")</f>
        <v>Sunday</v>
      </c>
      <c r="N308" s="23">
        <f t="shared" si="4"/>
        <v>6</v>
      </c>
      <c r="O308" s="16">
        <f>ROUND('Retail Store Sales'!$F308*'Retail Store Sales'!$G308*_xlfn.XLOOKUP('Retail Store Sales'!$C308,Table2[Product Name],Table2[Cost Percentage],0),0)</f>
        <v>1042</v>
      </c>
      <c r="P308" s="12">
        <f>'Retail Store Sales'!$F308*'Retail Store Sales'!$G308</f>
        <v>1894</v>
      </c>
      <c r="Q308" s="12">
        <f>P308-Table1[[#This Row],[Total cost]]</f>
        <v>852</v>
      </c>
    </row>
    <row r="309" spans="1:17" x14ac:dyDescent="0.45">
      <c r="A309" s="16" t="s">
        <v>353</v>
      </c>
      <c r="B309" s="16" t="s">
        <v>20</v>
      </c>
      <c r="C309" s="16" t="s">
        <v>21</v>
      </c>
      <c r="D309" s="17">
        <v>45665</v>
      </c>
      <c r="E309" s="17">
        <v>45678</v>
      </c>
      <c r="F309" s="16">
        <v>1</v>
      </c>
      <c r="G309" s="16">
        <v>713</v>
      </c>
      <c r="H309" s="16" t="s">
        <v>27</v>
      </c>
      <c r="I309" s="16" t="s">
        <v>549</v>
      </c>
      <c r="J309" s="16" t="s">
        <v>18</v>
      </c>
      <c r="K309" s="18" t="str">
        <f>TEXT('Retail Store Sales'!$D309,"yyyy")</f>
        <v>2025</v>
      </c>
      <c r="L309" s="15" t="str">
        <f>TEXT('Retail Store Sales'!$D309,"mmm")</f>
        <v>Jan</v>
      </c>
      <c r="M309" s="16" t="str">
        <f>TEXT('Retail Store Sales'!$D309,"dddd")</f>
        <v>Wednesday</v>
      </c>
      <c r="N309" s="24">
        <f t="shared" si="4"/>
        <v>13</v>
      </c>
      <c r="O309" s="16">
        <f>ROUND('Retail Store Sales'!$F309*'Retail Store Sales'!$G309*_xlfn.XLOOKUP('Retail Store Sales'!$C309,Table2[Product Name],Table2[Cost Percentage],0),0)</f>
        <v>535</v>
      </c>
      <c r="P309" s="16">
        <f>'Retail Store Sales'!$F309*'Retail Store Sales'!$G309</f>
        <v>713</v>
      </c>
      <c r="Q309" s="12">
        <f>P309-Table1[[#This Row],[Total cost]]</f>
        <v>178</v>
      </c>
    </row>
    <row r="310" spans="1:17" x14ac:dyDescent="0.45">
      <c r="A310" s="12" t="s">
        <v>354</v>
      </c>
      <c r="B310" s="12" t="s">
        <v>30</v>
      </c>
      <c r="C310" s="12" t="s">
        <v>41</v>
      </c>
      <c r="D310" s="13">
        <v>45811</v>
      </c>
      <c r="E310" s="13">
        <v>45819</v>
      </c>
      <c r="F310" s="12">
        <v>9</v>
      </c>
      <c r="G310" s="12">
        <v>692</v>
      </c>
      <c r="H310" s="12" t="s">
        <v>27</v>
      </c>
      <c r="I310" s="12" t="s">
        <v>548</v>
      </c>
      <c r="J310" s="12" t="s">
        <v>45</v>
      </c>
      <c r="K310" s="14" t="str">
        <f>TEXT('Retail Store Sales'!$D310,"yyyy")</f>
        <v>2025</v>
      </c>
      <c r="L310" s="11" t="str">
        <f>TEXT('Retail Store Sales'!$D310,"mmm")</f>
        <v>Jun</v>
      </c>
      <c r="M310" s="12" t="str">
        <f>TEXT('Retail Store Sales'!$D310,"dddd")</f>
        <v>Tuesday</v>
      </c>
      <c r="N310" s="23">
        <f t="shared" si="4"/>
        <v>8</v>
      </c>
      <c r="O310" s="16">
        <f>ROUND('Retail Store Sales'!$F310*'Retail Store Sales'!$G310*_xlfn.XLOOKUP('Retail Store Sales'!$C310,Table2[Product Name],Table2[Cost Percentage],0),0)</f>
        <v>4048</v>
      </c>
      <c r="P310" s="12">
        <f>'Retail Store Sales'!$F310*'Retail Store Sales'!$G310</f>
        <v>6228</v>
      </c>
      <c r="Q310" s="12">
        <f>P310-Table1[[#This Row],[Total cost]]</f>
        <v>2180</v>
      </c>
    </row>
    <row r="311" spans="1:17" x14ac:dyDescent="0.45">
      <c r="A311" s="16" t="s">
        <v>355</v>
      </c>
      <c r="B311" s="16" t="s">
        <v>16</v>
      </c>
      <c r="C311" s="16" t="s">
        <v>43</v>
      </c>
      <c r="D311" s="17">
        <v>45803</v>
      </c>
      <c r="E311" s="17">
        <v>45814</v>
      </c>
      <c r="F311" s="16">
        <v>7</v>
      </c>
      <c r="G311" s="16">
        <v>305</v>
      </c>
      <c r="H311" s="16" t="s">
        <v>27</v>
      </c>
      <c r="I311" s="16" t="s">
        <v>32</v>
      </c>
      <c r="J311" s="16" t="s">
        <v>14</v>
      </c>
      <c r="K311" s="18" t="str">
        <f>TEXT('Retail Store Sales'!$D311,"yyyy")</f>
        <v>2025</v>
      </c>
      <c r="L311" s="15" t="str">
        <f>TEXT('Retail Store Sales'!$D311,"mmm")</f>
        <v>May</v>
      </c>
      <c r="M311" s="16" t="str">
        <f>TEXT('Retail Store Sales'!$D311,"dddd")</f>
        <v>Monday</v>
      </c>
      <c r="N311" s="24">
        <f t="shared" si="4"/>
        <v>11</v>
      </c>
      <c r="O311" s="16">
        <f>ROUND('Retail Store Sales'!$F311*'Retail Store Sales'!$G311*_xlfn.XLOOKUP('Retail Store Sales'!$C311,Table2[Product Name],Table2[Cost Percentage],0),0)</f>
        <v>1281</v>
      </c>
      <c r="P311" s="16">
        <f>'Retail Store Sales'!$F311*'Retail Store Sales'!$G311</f>
        <v>2135</v>
      </c>
      <c r="Q311" s="12">
        <f>P311-Table1[[#This Row],[Total cost]]</f>
        <v>854</v>
      </c>
    </row>
    <row r="312" spans="1:17" x14ac:dyDescent="0.45">
      <c r="A312" s="12" t="s">
        <v>356</v>
      </c>
      <c r="B312" s="12" t="s">
        <v>11</v>
      </c>
      <c r="C312" s="12" t="s">
        <v>12</v>
      </c>
      <c r="D312" s="13">
        <v>45882</v>
      </c>
      <c r="E312" s="13">
        <v>45887</v>
      </c>
      <c r="F312" s="12">
        <v>7</v>
      </c>
      <c r="G312" s="12">
        <v>501</v>
      </c>
      <c r="H312" s="12" t="s">
        <v>27</v>
      </c>
      <c r="I312" s="12" t="s">
        <v>549</v>
      </c>
      <c r="J312" s="12" t="s">
        <v>45</v>
      </c>
      <c r="K312" s="14" t="str">
        <f>TEXT('Retail Store Sales'!$D312,"yyyy")</f>
        <v>2025</v>
      </c>
      <c r="L312" s="11" t="str">
        <f>TEXT('Retail Store Sales'!$D312,"mmm")</f>
        <v>Aug</v>
      </c>
      <c r="M312" s="12" t="str">
        <f>TEXT('Retail Store Sales'!$D312,"dddd")</f>
        <v>Wednesday</v>
      </c>
      <c r="N312" s="23">
        <f t="shared" si="4"/>
        <v>5</v>
      </c>
      <c r="O312" s="16">
        <f>ROUND('Retail Store Sales'!$F312*'Retail Store Sales'!$G312*_xlfn.XLOOKUP('Retail Store Sales'!$C312,Table2[Product Name],Table2[Cost Percentage],0),0)</f>
        <v>2630</v>
      </c>
      <c r="P312" s="12">
        <f>'Retail Store Sales'!$F312*'Retail Store Sales'!$G312</f>
        <v>3507</v>
      </c>
      <c r="Q312" s="12">
        <f>P312-Table1[[#This Row],[Total cost]]</f>
        <v>877</v>
      </c>
    </row>
    <row r="313" spans="1:17" x14ac:dyDescent="0.45">
      <c r="A313" s="16" t="s">
        <v>357</v>
      </c>
      <c r="B313" s="16" t="s">
        <v>23</v>
      </c>
      <c r="C313" s="16" t="s">
        <v>37</v>
      </c>
      <c r="D313" s="17">
        <v>45815</v>
      </c>
      <c r="E313" s="17">
        <v>45819</v>
      </c>
      <c r="F313" s="16">
        <v>8</v>
      </c>
      <c r="G313" s="16">
        <v>329</v>
      </c>
      <c r="H313" s="16" t="s">
        <v>13</v>
      </c>
      <c r="I313" s="16" t="s">
        <v>549</v>
      </c>
      <c r="J313" s="16" t="s">
        <v>14</v>
      </c>
      <c r="K313" s="18" t="str">
        <f>TEXT('Retail Store Sales'!$D313,"yyyy")</f>
        <v>2025</v>
      </c>
      <c r="L313" s="15" t="str">
        <f>TEXT('Retail Store Sales'!$D313,"mmm")</f>
        <v>Jun</v>
      </c>
      <c r="M313" s="16" t="str">
        <f>TEXT('Retail Store Sales'!$D313,"dddd")</f>
        <v>Saturday</v>
      </c>
      <c r="N313" s="24">
        <f t="shared" si="4"/>
        <v>4</v>
      </c>
      <c r="O313" s="16">
        <f>ROUND('Retail Store Sales'!$F313*'Retail Store Sales'!$G313*_xlfn.XLOOKUP('Retail Store Sales'!$C313,Table2[Product Name],Table2[Cost Percentage],0),0)</f>
        <v>1316</v>
      </c>
      <c r="P313" s="16">
        <f>'Retail Store Sales'!$F313*'Retail Store Sales'!$G313</f>
        <v>2632</v>
      </c>
      <c r="Q313" s="12">
        <f>P313-Table1[[#This Row],[Total cost]]</f>
        <v>1316</v>
      </c>
    </row>
    <row r="314" spans="1:17" x14ac:dyDescent="0.45">
      <c r="A314" s="12" t="s">
        <v>358</v>
      </c>
      <c r="B314" s="12" t="s">
        <v>20</v>
      </c>
      <c r="C314" s="12" t="s">
        <v>21</v>
      </c>
      <c r="D314" s="13">
        <v>45665</v>
      </c>
      <c r="E314" s="13">
        <v>45672</v>
      </c>
      <c r="F314" s="12">
        <v>9</v>
      </c>
      <c r="G314" s="12">
        <v>785</v>
      </c>
      <c r="H314" s="12" t="s">
        <v>13</v>
      </c>
      <c r="I314" s="12" t="s">
        <v>546</v>
      </c>
      <c r="J314" s="12" t="s">
        <v>45</v>
      </c>
      <c r="K314" s="14" t="str">
        <f>TEXT('Retail Store Sales'!$D314,"yyyy")</f>
        <v>2025</v>
      </c>
      <c r="L314" s="11" t="str">
        <f>TEXT('Retail Store Sales'!$D314,"mmm")</f>
        <v>Jan</v>
      </c>
      <c r="M314" s="12" t="str">
        <f>TEXT('Retail Store Sales'!$D314,"dddd")</f>
        <v>Wednesday</v>
      </c>
      <c r="N314" s="23">
        <f t="shared" si="4"/>
        <v>7</v>
      </c>
      <c r="O314" s="16">
        <f>ROUND('Retail Store Sales'!$F314*'Retail Store Sales'!$G314*_xlfn.XLOOKUP('Retail Store Sales'!$C314,Table2[Product Name],Table2[Cost Percentage],0),0)</f>
        <v>5299</v>
      </c>
      <c r="P314" s="12">
        <f>'Retail Store Sales'!$F314*'Retail Store Sales'!$G314</f>
        <v>7065</v>
      </c>
      <c r="Q314" s="12">
        <f>P314-Table1[[#This Row],[Total cost]]</f>
        <v>1766</v>
      </c>
    </row>
    <row r="315" spans="1:17" x14ac:dyDescent="0.45">
      <c r="A315" s="16" t="s">
        <v>359</v>
      </c>
      <c r="B315" s="16" t="s">
        <v>30</v>
      </c>
      <c r="C315" s="16" t="s">
        <v>75</v>
      </c>
      <c r="D315" s="17">
        <v>45902</v>
      </c>
      <c r="E315" s="17">
        <v>45916</v>
      </c>
      <c r="F315" s="16">
        <v>2</v>
      </c>
      <c r="G315" s="16">
        <v>530</v>
      </c>
      <c r="H315" s="16" t="s">
        <v>27</v>
      </c>
      <c r="I315" s="16" t="s">
        <v>549</v>
      </c>
      <c r="J315" s="16" t="s">
        <v>18</v>
      </c>
      <c r="K315" s="18" t="str">
        <f>TEXT('Retail Store Sales'!$D315,"yyyy")</f>
        <v>2025</v>
      </c>
      <c r="L315" s="15" t="str">
        <f>TEXT('Retail Store Sales'!$D315,"mmm")</f>
        <v>Sep</v>
      </c>
      <c r="M315" s="16" t="str">
        <f>TEXT('Retail Store Sales'!$D315,"dddd")</f>
        <v>Tuesday</v>
      </c>
      <c r="N315" s="24">
        <f t="shared" si="4"/>
        <v>14</v>
      </c>
      <c r="O315" s="16">
        <f>ROUND('Retail Store Sales'!$F315*'Retail Store Sales'!$G315*_xlfn.XLOOKUP('Retail Store Sales'!$C315,Table2[Product Name],Table2[Cost Percentage],0),0)</f>
        <v>795</v>
      </c>
      <c r="P315" s="16">
        <f>'Retail Store Sales'!$F315*'Retail Store Sales'!$G315</f>
        <v>1060</v>
      </c>
      <c r="Q315" s="12">
        <f>P315-Table1[[#This Row],[Total cost]]</f>
        <v>265</v>
      </c>
    </row>
    <row r="316" spans="1:17" x14ac:dyDescent="0.45">
      <c r="A316" s="12" t="s">
        <v>360</v>
      </c>
      <c r="B316" s="12" t="s">
        <v>30</v>
      </c>
      <c r="C316" s="12" t="s">
        <v>41</v>
      </c>
      <c r="D316" s="13">
        <v>45995</v>
      </c>
      <c r="E316" s="13">
        <v>46004</v>
      </c>
      <c r="F316" s="12">
        <v>3</v>
      </c>
      <c r="G316" s="12">
        <v>799</v>
      </c>
      <c r="H316" s="12" t="s">
        <v>13</v>
      </c>
      <c r="I316" s="12" t="s">
        <v>548</v>
      </c>
      <c r="J316" s="12" t="s">
        <v>45</v>
      </c>
      <c r="K316" s="14" t="str">
        <f>TEXT('Retail Store Sales'!$D316,"yyyy")</f>
        <v>2025</v>
      </c>
      <c r="L316" s="11" t="str">
        <f>TEXT('Retail Store Sales'!$D316,"mmm")</f>
        <v>Dec</v>
      </c>
      <c r="M316" s="12" t="str">
        <f>TEXT('Retail Store Sales'!$D316,"dddd")</f>
        <v>Thursday</v>
      </c>
      <c r="N316" s="23">
        <f t="shared" si="4"/>
        <v>9</v>
      </c>
      <c r="O316" s="16">
        <f>ROUND('Retail Store Sales'!$F316*'Retail Store Sales'!$G316*_xlfn.XLOOKUP('Retail Store Sales'!$C316,Table2[Product Name],Table2[Cost Percentage],0),0)</f>
        <v>1558</v>
      </c>
      <c r="P316" s="12">
        <f>'Retail Store Sales'!$F316*'Retail Store Sales'!$G316</f>
        <v>2397</v>
      </c>
      <c r="Q316" s="12">
        <f>P316-Table1[[#This Row],[Total cost]]</f>
        <v>839</v>
      </c>
    </row>
    <row r="317" spans="1:17" x14ac:dyDescent="0.45">
      <c r="A317" s="16" t="s">
        <v>361</v>
      </c>
      <c r="B317" s="16" t="s">
        <v>30</v>
      </c>
      <c r="C317" s="16" t="s">
        <v>75</v>
      </c>
      <c r="D317" s="17">
        <v>45851</v>
      </c>
      <c r="E317" s="17">
        <v>45856</v>
      </c>
      <c r="F317" s="16">
        <v>10</v>
      </c>
      <c r="G317" s="16">
        <v>974</v>
      </c>
      <c r="H317" s="16" t="s">
        <v>13</v>
      </c>
      <c r="I317" s="16" t="s">
        <v>549</v>
      </c>
      <c r="J317" s="16" t="s">
        <v>18</v>
      </c>
      <c r="K317" s="18" t="str">
        <f>TEXT('Retail Store Sales'!$D317,"yyyy")</f>
        <v>2025</v>
      </c>
      <c r="L317" s="15" t="str">
        <f>TEXT('Retail Store Sales'!$D317,"mmm")</f>
        <v>Jul</v>
      </c>
      <c r="M317" s="16" t="str">
        <f>TEXT('Retail Store Sales'!$D317,"dddd")</f>
        <v>Sunday</v>
      </c>
      <c r="N317" s="24">
        <f t="shared" si="4"/>
        <v>5</v>
      </c>
      <c r="O317" s="16">
        <f>ROUND('Retail Store Sales'!$F317*'Retail Store Sales'!$G317*_xlfn.XLOOKUP('Retail Store Sales'!$C317,Table2[Product Name],Table2[Cost Percentage],0),0)</f>
        <v>7305</v>
      </c>
      <c r="P317" s="16">
        <f>'Retail Store Sales'!$F317*'Retail Store Sales'!$G317</f>
        <v>9740</v>
      </c>
      <c r="Q317" s="12">
        <f>P317-Table1[[#This Row],[Total cost]]</f>
        <v>2435</v>
      </c>
    </row>
    <row r="318" spans="1:17" x14ac:dyDescent="0.45">
      <c r="A318" s="12" t="s">
        <v>362</v>
      </c>
      <c r="B318" s="12" t="s">
        <v>16</v>
      </c>
      <c r="C318" s="12" t="s">
        <v>63</v>
      </c>
      <c r="D318" s="13">
        <v>45835</v>
      </c>
      <c r="E318" s="13">
        <v>45840</v>
      </c>
      <c r="F318" s="12">
        <v>3</v>
      </c>
      <c r="G318" s="12">
        <v>179</v>
      </c>
      <c r="H318" s="12" t="s">
        <v>13</v>
      </c>
      <c r="I318" s="12" t="s">
        <v>548</v>
      </c>
      <c r="J318" s="12" t="s">
        <v>45</v>
      </c>
      <c r="K318" s="14" t="str">
        <f>TEXT('Retail Store Sales'!$D318,"yyyy")</f>
        <v>2025</v>
      </c>
      <c r="L318" s="11" t="str">
        <f>TEXT('Retail Store Sales'!$D318,"mmm")</f>
        <v>Jun</v>
      </c>
      <c r="M318" s="12" t="str">
        <f>TEXT('Retail Store Sales'!$D318,"dddd")</f>
        <v>Friday</v>
      </c>
      <c r="N318" s="23">
        <f t="shared" si="4"/>
        <v>5</v>
      </c>
      <c r="O318" s="16">
        <f>ROUND('Retail Store Sales'!$F318*'Retail Store Sales'!$G318*_xlfn.XLOOKUP('Retail Store Sales'!$C318,Table2[Product Name],Table2[Cost Percentage],0),0)</f>
        <v>269</v>
      </c>
      <c r="P318" s="12">
        <f>'Retail Store Sales'!$F318*'Retail Store Sales'!$G318</f>
        <v>537</v>
      </c>
      <c r="Q318" s="12">
        <f>P318-Table1[[#This Row],[Total cost]]</f>
        <v>268</v>
      </c>
    </row>
    <row r="319" spans="1:17" x14ac:dyDescent="0.45">
      <c r="A319" s="16" t="s">
        <v>363</v>
      </c>
      <c r="B319" s="16" t="s">
        <v>16</v>
      </c>
      <c r="C319" s="16" t="s">
        <v>63</v>
      </c>
      <c r="D319" s="17">
        <v>45725</v>
      </c>
      <c r="E319" s="17">
        <v>45730</v>
      </c>
      <c r="F319" s="16">
        <v>4</v>
      </c>
      <c r="G319" s="16">
        <v>49</v>
      </c>
      <c r="H319" s="16" t="s">
        <v>27</v>
      </c>
      <c r="I319" s="16" t="s">
        <v>546</v>
      </c>
      <c r="J319" s="16" t="s">
        <v>18</v>
      </c>
      <c r="K319" s="18" t="str">
        <f>TEXT('Retail Store Sales'!$D319,"yyyy")</f>
        <v>2025</v>
      </c>
      <c r="L319" s="15" t="str">
        <f>TEXT('Retail Store Sales'!$D319,"mmm")</f>
        <v>Mar</v>
      </c>
      <c r="M319" s="16" t="str">
        <f>TEXT('Retail Store Sales'!$D319,"dddd")</f>
        <v>Sunday</v>
      </c>
      <c r="N319" s="24">
        <f t="shared" si="4"/>
        <v>5</v>
      </c>
      <c r="O319" s="16">
        <f>ROUND('Retail Store Sales'!$F319*'Retail Store Sales'!$G319*_xlfn.XLOOKUP('Retail Store Sales'!$C319,Table2[Product Name],Table2[Cost Percentage],0),0)</f>
        <v>98</v>
      </c>
      <c r="P319" s="16">
        <f>'Retail Store Sales'!$F319*'Retail Store Sales'!$G319</f>
        <v>196</v>
      </c>
      <c r="Q319" s="12">
        <f>P319-Table1[[#This Row],[Total cost]]</f>
        <v>98</v>
      </c>
    </row>
    <row r="320" spans="1:17" x14ac:dyDescent="0.45">
      <c r="A320" s="12" t="s">
        <v>364</v>
      </c>
      <c r="B320" s="12" t="s">
        <v>23</v>
      </c>
      <c r="C320" s="12" t="s">
        <v>37</v>
      </c>
      <c r="D320" s="13">
        <v>45827</v>
      </c>
      <c r="E320" s="13">
        <v>45833</v>
      </c>
      <c r="F320" s="12">
        <v>7</v>
      </c>
      <c r="G320" s="12">
        <v>409</v>
      </c>
      <c r="H320" s="12" t="s">
        <v>13</v>
      </c>
      <c r="I320" s="12" t="s">
        <v>32</v>
      </c>
      <c r="J320" s="12" t="s">
        <v>28</v>
      </c>
      <c r="K320" s="14" t="str">
        <f>TEXT('Retail Store Sales'!$D320,"yyyy")</f>
        <v>2025</v>
      </c>
      <c r="L320" s="11" t="str">
        <f>TEXT('Retail Store Sales'!$D320,"mmm")</f>
        <v>Jun</v>
      </c>
      <c r="M320" s="12" t="str">
        <f>TEXT('Retail Store Sales'!$D320,"dddd")</f>
        <v>Thursday</v>
      </c>
      <c r="N320" s="23">
        <f t="shared" si="4"/>
        <v>6</v>
      </c>
      <c r="O320" s="16">
        <f>ROUND('Retail Store Sales'!$F320*'Retail Store Sales'!$G320*_xlfn.XLOOKUP('Retail Store Sales'!$C320,Table2[Product Name],Table2[Cost Percentage],0),0)</f>
        <v>1432</v>
      </c>
      <c r="P320" s="12">
        <f>'Retail Store Sales'!$F320*'Retail Store Sales'!$G320</f>
        <v>2863</v>
      </c>
      <c r="Q320" s="12">
        <f>P320-Table1[[#This Row],[Total cost]]</f>
        <v>1431</v>
      </c>
    </row>
    <row r="321" spans="1:17" x14ac:dyDescent="0.45">
      <c r="A321" s="16" t="s">
        <v>365</v>
      </c>
      <c r="B321" s="16" t="s">
        <v>30</v>
      </c>
      <c r="C321" s="16" t="s">
        <v>41</v>
      </c>
      <c r="D321" s="17">
        <v>45978</v>
      </c>
      <c r="E321" s="17">
        <v>45984</v>
      </c>
      <c r="F321" s="16">
        <v>4</v>
      </c>
      <c r="G321" s="16">
        <v>149</v>
      </c>
      <c r="H321" s="16" t="s">
        <v>13</v>
      </c>
      <c r="I321" s="16" t="s">
        <v>548</v>
      </c>
      <c r="J321" s="16" t="s">
        <v>28</v>
      </c>
      <c r="K321" s="18" t="str">
        <f>TEXT('Retail Store Sales'!$D321,"yyyy")</f>
        <v>2025</v>
      </c>
      <c r="L321" s="15" t="str">
        <f>TEXT('Retail Store Sales'!$D321,"mmm")</f>
        <v>Nov</v>
      </c>
      <c r="M321" s="16" t="str">
        <f>TEXT('Retail Store Sales'!$D321,"dddd")</f>
        <v>Monday</v>
      </c>
      <c r="N321" s="24">
        <f t="shared" si="4"/>
        <v>6</v>
      </c>
      <c r="O321" s="16">
        <f>ROUND('Retail Store Sales'!$F321*'Retail Store Sales'!$G321*_xlfn.XLOOKUP('Retail Store Sales'!$C321,Table2[Product Name],Table2[Cost Percentage],0),0)</f>
        <v>387</v>
      </c>
      <c r="P321" s="16">
        <f>'Retail Store Sales'!$F321*'Retail Store Sales'!$G321</f>
        <v>596</v>
      </c>
      <c r="Q321" s="12">
        <f>P321-Table1[[#This Row],[Total cost]]</f>
        <v>209</v>
      </c>
    </row>
    <row r="322" spans="1:17" x14ac:dyDescent="0.45">
      <c r="A322" s="12" t="s">
        <v>366</v>
      </c>
      <c r="B322" s="12" t="s">
        <v>20</v>
      </c>
      <c r="C322" s="12" t="s">
        <v>53</v>
      </c>
      <c r="D322" s="13">
        <v>45875</v>
      </c>
      <c r="E322" s="13">
        <v>45881</v>
      </c>
      <c r="F322" s="12">
        <v>5</v>
      </c>
      <c r="G322" s="12">
        <v>285</v>
      </c>
      <c r="H322" s="12" t="s">
        <v>13</v>
      </c>
      <c r="I322" s="12" t="s">
        <v>550</v>
      </c>
      <c r="J322" s="12" t="s">
        <v>45</v>
      </c>
      <c r="K322" s="14" t="str">
        <f>TEXT('Retail Store Sales'!$D322,"yyyy")</f>
        <v>2025</v>
      </c>
      <c r="L322" s="11" t="str">
        <f>TEXT('Retail Store Sales'!$D322,"mmm")</f>
        <v>Aug</v>
      </c>
      <c r="M322" s="12" t="str">
        <f>TEXT('Retail Store Sales'!$D322,"dddd")</f>
        <v>Wednesday</v>
      </c>
      <c r="N322" s="23">
        <f t="shared" ref="N322:N385" si="5">DATEDIF(D322,E322,"D")</f>
        <v>6</v>
      </c>
      <c r="O322" s="16">
        <f>ROUND('Retail Store Sales'!$F322*'Retail Store Sales'!$G322*_xlfn.XLOOKUP('Retail Store Sales'!$C322,Table2[Product Name],Table2[Cost Percentage],0),0)</f>
        <v>998</v>
      </c>
      <c r="P322" s="12">
        <f>'Retail Store Sales'!$F322*'Retail Store Sales'!$G322</f>
        <v>1425</v>
      </c>
      <c r="Q322" s="12">
        <f>P322-Table1[[#This Row],[Total cost]]</f>
        <v>427</v>
      </c>
    </row>
    <row r="323" spans="1:17" x14ac:dyDescent="0.45">
      <c r="A323" s="16" t="s">
        <v>367</v>
      </c>
      <c r="B323" s="16" t="s">
        <v>20</v>
      </c>
      <c r="C323" s="16" t="s">
        <v>53</v>
      </c>
      <c r="D323" s="17">
        <v>45793</v>
      </c>
      <c r="E323" s="17">
        <v>45799</v>
      </c>
      <c r="F323" s="16">
        <v>10</v>
      </c>
      <c r="G323" s="16">
        <v>434</v>
      </c>
      <c r="H323" s="16" t="s">
        <v>13</v>
      </c>
      <c r="I323" s="16" t="s">
        <v>549</v>
      </c>
      <c r="J323" s="16" t="s">
        <v>14</v>
      </c>
      <c r="K323" s="18" t="str">
        <f>TEXT('Retail Store Sales'!$D323,"yyyy")</f>
        <v>2025</v>
      </c>
      <c r="L323" s="15" t="str">
        <f>TEXT('Retail Store Sales'!$D323,"mmm")</f>
        <v>May</v>
      </c>
      <c r="M323" s="16" t="str">
        <f>TEXT('Retail Store Sales'!$D323,"dddd")</f>
        <v>Friday</v>
      </c>
      <c r="N323" s="24">
        <f t="shared" si="5"/>
        <v>6</v>
      </c>
      <c r="O323" s="16">
        <f>ROUND('Retail Store Sales'!$F323*'Retail Store Sales'!$G323*_xlfn.XLOOKUP('Retail Store Sales'!$C323,Table2[Product Name],Table2[Cost Percentage],0),0)</f>
        <v>3038</v>
      </c>
      <c r="P323" s="16">
        <f>'Retail Store Sales'!$F323*'Retail Store Sales'!$G323</f>
        <v>4340</v>
      </c>
      <c r="Q323" s="12">
        <f>P323-Table1[[#This Row],[Total cost]]</f>
        <v>1302</v>
      </c>
    </row>
    <row r="324" spans="1:17" x14ac:dyDescent="0.45">
      <c r="A324" s="12" t="s">
        <v>368</v>
      </c>
      <c r="B324" s="12" t="s">
        <v>20</v>
      </c>
      <c r="C324" s="12" t="s">
        <v>39</v>
      </c>
      <c r="D324" s="13">
        <v>45839</v>
      </c>
      <c r="E324" s="13">
        <v>45845</v>
      </c>
      <c r="F324" s="12">
        <v>7</v>
      </c>
      <c r="G324" s="12">
        <v>195</v>
      </c>
      <c r="H324" s="12" t="s">
        <v>13</v>
      </c>
      <c r="I324" s="12" t="s">
        <v>32</v>
      </c>
      <c r="J324" s="12" t="s">
        <v>45</v>
      </c>
      <c r="K324" s="14" t="str">
        <f>TEXT('Retail Store Sales'!$D324,"yyyy")</f>
        <v>2025</v>
      </c>
      <c r="L324" s="11" t="str">
        <f>TEXT('Retail Store Sales'!$D324,"mmm")</f>
        <v>Jul</v>
      </c>
      <c r="M324" s="12" t="str">
        <f>TEXT('Retail Store Sales'!$D324,"dddd")</f>
        <v>Tuesday</v>
      </c>
      <c r="N324" s="23">
        <f t="shared" si="5"/>
        <v>6</v>
      </c>
      <c r="O324" s="16">
        <f>ROUND('Retail Store Sales'!$F324*'Retail Store Sales'!$G324*_xlfn.XLOOKUP('Retail Store Sales'!$C324,Table2[Product Name],Table2[Cost Percentage],0),0)</f>
        <v>887</v>
      </c>
      <c r="P324" s="12">
        <f>'Retail Store Sales'!$F324*'Retail Store Sales'!$G324</f>
        <v>1365</v>
      </c>
      <c r="Q324" s="12">
        <f>P324-Table1[[#This Row],[Total cost]]</f>
        <v>478</v>
      </c>
    </row>
    <row r="325" spans="1:17" x14ac:dyDescent="0.45">
      <c r="A325" s="16" t="s">
        <v>369</v>
      </c>
      <c r="B325" s="16" t="s">
        <v>30</v>
      </c>
      <c r="C325" s="16" t="s">
        <v>49</v>
      </c>
      <c r="D325" s="17">
        <v>45855</v>
      </c>
      <c r="E325" s="17">
        <v>45864</v>
      </c>
      <c r="F325" s="16">
        <v>4</v>
      </c>
      <c r="G325" s="16">
        <v>432</v>
      </c>
      <c r="H325" s="16" t="s">
        <v>13</v>
      </c>
      <c r="I325" s="16" t="s">
        <v>549</v>
      </c>
      <c r="J325" s="16" t="s">
        <v>14</v>
      </c>
      <c r="K325" s="18" t="str">
        <f>TEXT('Retail Store Sales'!$D325,"yyyy")</f>
        <v>2025</v>
      </c>
      <c r="L325" s="15" t="str">
        <f>TEXT('Retail Store Sales'!$D325,"mmm")</f>
        <v>Jul</v>
      </c>
      <c r="M325" s="16" t="str">
        <f>TEXT('Retail Store Sales'!$D325,"dddd")</f>
        <v>Thursday</v>
      </c>
      <c r="N325" s="24">
        <f t="shared" si="5"/>
        <v>9</v>
      </c>
      <c r="O325" s="16">
        <f>ROUND('Retail Store Sales'!$F325*'Retail Store Sales'!$G325*_xlfn.XLOOKUP('Retail Store Sales'!$C325,Table2[Product Name],Table2[Cost Percentage],0),0)</f>
        <v>1210</v>
      </c>
      <c r="P325" s="16">
        <f>'Retail Store Sales'!$F325*'Retail Store Sales'!$G325</f>
        <v>1728</v>
      </c>
      <c r="Q325" s="12">
        <f>P325-Table1[[#This Row],[Total cost]]</f>
        <v>518</v>
      </c>
    </row>
    <row r="326" spans="1:17" x14ac:dyDescent="0.45">
      <c r="A326" s="12" t="s">
        <v>370</v>
      </c>
      <c r="B326" s="12" t="s">
        <v>11</v>
      </c>
      <c r="C326" s="12" t="s">
        <v>12</v>
      </c>
      <c r="D326" s="13">
        <v>45865</v>
      </c>
      <c r="E326" s="13">
        <v>45871</v>
      </c>
      <c r="F326" s="12">
        <v>2</v>
      </c>
      <c r="G326" s="12">
        <v>708</v>
      </c>
      <c r="H326" s="12" t="s">
        <v>27</v>
      </c>
      <c r="I326" s="12" t="s">
        <v>32</v>
      </c>
      <c r="J326" s="12" t="s">
        <v>14</v>
      </c>
      <c r="K326" s="14" t="str">
        <f>TEXT('Retail Store Sales'!$D326,"yyyy")</f>
        <v>2025</v>
      </c>
      <c r="L326" s="11" t="str">
        <f>TEXT('Retail Store Sales'!$D326,"mmm")</f>
        <v>Jul</v>
      </c>
      <c r="M326" s="12" t="str">
        <f>TEXT('Retail Store Sales'!$D326,"dddd")</f>
        <v>Sunday</v>
      </c>
      <c r="N326" s="23">
        <f t="shared" si="5"/>
        <v>6</v>
      </c>
      <c r="O326" s="16">
        <f>ROUND('Retail Store Sales'!$F326*'Retail Store Sales'!$G326*_xlfn.XLOOKUP('Retail Store Sales'!$C326,Table2[Product Name],Table2[Cost Percentage],0),0)</f>
        <v>1062</v>
      </c>
      <c r="P326" s="12">
        <f>'Retail Store Sales'!$F326*'Retail Store Sales'!$G326</f>
        <v>1416</v>
      </c>
      <c r="Q326" s="12">
        <f>P326-Table1[[#This Row],[Total cost]]</f>
        <v>354</v>
      </c>
    </row>
    <row r="327" spans="1:17" x14ac:dyDescent="0.45">
      <c r="A327" s="16" t="s">
        <v>371</v>
      </c>
      <c r="B327" s="16" t="s">
        <v>16</v>
      </c>
      <c r="C327" s="16" t="s">
        <v>43</v>
      </c>
      <c r="D327" s="17">
        <v>46008</v>
      </c>
      <c r="E327" s="17">
        <v>46017</v>
      </c>
      <c r="F327" s="16">
        <v>3</v>
      </c>
      <c r="G327" s="16">
        <v>868</v>
      </c>
      <c r="H327" s="16" t="s">
        <v>13</v>
      </c>
      <c r="I327" s="16" t="s">
        <v>548</v>
      </c>
      <c r="J327" s="16" t="s">
        <v>18</v>
      </c>
      <c r="K327" s="18" t="str">
        <f>TEXT('Retail Store Sales'!$D327,"yyyy")</f>
        <v>2025</v>
      </c>
      <c r="L327" s="15" t="str">
        <f>TEXT('Retail Store Sales'!$D327,"mmm")</f>
        <v>Dec</v>
      </c>
      <c r="M327" s="16" t="str">
        <f>TEXT('Retail Store Sales'!$D327,"dddd")</f>
        <v>Wednesday</v>
      </c>
      <c r="N327" s="24">
        <f t="shared" si="5"/>
        <v>9</v>
      </c>
      <c r="O327" s="16">
        <f>ROUND('Retail Store Sales'!$F327*'Retail Store Sales'!$G327*_xlfn.XLOOKUP('Retail Store Sales'!$C327,Table2[Product Name],Table2[Cost Percentage],0),0)</f>
        <v>1562</v>
      </c>
      <c r="P327" s="16">
        <f>'Retail Store Sales'!$F327*'Retail Store Sales'!$G327</f>
        <v>2604</v>
      </c>
      <c r="Q327" s="12">
        <f>P327-Table1[[#This Row],[Total cost]]</f>
        <v>1042</v>
      </c>
    </row>
    <row r="328" spans="1:17" x14ac:dyDescent="0.45">
      <c r="A328" s="12" t="s">
        <v>372</v>
      </c>
      <c r="B328" s="12" t="s">
        <v>20</v>
      </c>
      <c r="C328" s="12" t="s">
        <v>82</v>
      </c>
      <c r="D328" s="13">
        <v>46007</v>
      </c>
      <c r="E328" s="13">
        <v>46018</v>
      </c>
      <c r="F328" s="12">
        <v>1</v>
      </c>
      <c r="G328" s="12">
        <v>130</v>
      </c>
      <c r="H328" s="12" t="s">
        <v>27</v>
      </c>
      <c r="I328" s="12" t="s">
        <v>550</v>
      </c>
      <c r="J328" s="12" t="s">
        <v>14</v>
      </c>
      <c r="K328" s="14" t="str">
        <f>TEXT('Retail Store Sales'!$D328,"yyyy")</f>
        <v>2025</v>
      </c>
      <c r="L328" s="11" t="str">
        <f>TEXT('Retail Store Sales'!$D328,"mmm")</f>
        <v>Dec</v>
      </c>
      <c r="M328" s="12" t="str">
        <f>TEXT('Retail Store Sales'!$D328,"dddd")</f>
        <v>Tuesday</v>
      </c>
      <c r="N328" s="23">
        <f t="shared" si="5"/>
        <v>11</v>
      </c>
      <c r="O328" s="16">
        <f>ROUND('Retail Store Sales'!$F328*'Retail Store Sales'!$G328*_xlfn.XLOOKUP('Retail Store Sales'!$C328,Table2[Product Name],Table2[Cost Percentage],0),0)</f>
        <v>104</v>
      </c>
      <c r="P328" s="12">
        <f>'Retail Store Sales'!$F328*'Retail Store Sales'!$G328</f>
        <v>130</v>
      </c>
      <c r="Q328" s="12">
        <f>P328-Table1[[#This Row],[Total cost]]</f>
        <v>26</v>
      </c>
    </row>
    <row r="329" spans="1:17" x14ac:dyDescent="0.45">
      <c r="A329" s="16" t="s">
        <v>373</v>
      </c>
      <c r="B329" s="16" t="s">
        <v>20</v>
      </c>
      <c r="C329" s="16" t="s">
        <v>39</v>
      </c>
      <c r="D329" s="17">
        <v>46004</v>
      </c>
      <c r="E329" s="17">
        <v>46019</v>
      </c>
      <c r="F329" s="16">
        <v>3</v>
      </c>
      <c r="G329" s="16">
        <v>744</v>
      </c>
      <c r="H329" s="16" t="s">
        <v>27</v>
      </c>
      <c r="I329" s="16" t="s">
        <v>546</v>
      </c>
      <c r="J329" s="16" t="s">
        <v>45</v>
      </c>
      <c r="K329" s="18" t="str">
        <f>TEXT('Retail Store Sales'!$D329,"yyyy")</f>
        <v>2025</v>
      </c>
      <c r="L329" s="15" t="str">
        <f>TEXT('Retail Store Sales'!$D329,"mmm")</f>
        <v>Dec</v>
      </c>
      <c r="M329" s="16" t="str">
        <f>TEXT('Retail Store Sales'!$D329,"dddd")</f>
        <v>Saturday</v>
      </c>
      <c r="N329" s="24">
        <f t="shared" si="5"/>
        <v>15</v>
      </c>
      <c r="O329" s="16">
        <f>ROUND('Retail Store Sales'!$F329*'Retail Store Sales'!$G329*_xlfn.XLOOKUP('Retail Store Sales'!$C329,Table2[Product Name],Table2[Cost Percentage],0),0)</f>
        <v>1451</v>
      </c>
      <c r="P329" s="16">
        <f>'Retail Store Sales'!$F329*'Retail Store Sales'!$G329</f>
        <v>2232</v>
      </c>
      <c r="Q329" s="12">
        <f>P329-Table1[[#This Row],[Total cost]]</f>
        <v>781</v>
      </c>
    </row>
    <row r="330" spans="1:17" x14ac:dyDescent="0.45">
      <c r="A330" s="12" t="s">
        <v>374</v>
      </c>
      <c r="B330" s="12" t="s">
        <v>16</v>
      </c>
      <c r="C330" s="12" t="s">
        <v>55</v>
      </c>
      <c r="D330" s="13">
        <v>45760</v>
      </c>
      <c r="E330" s="13">
        <v>45764</v>
      </c>
      <c r="F330" s="12">
        <v>1</v>
      </c>
      <c r="G330" s="12">
        <v>62</v>
      </c>
      <c r="H330" s="12" t="s">
        <v>27</v>
      </c>
      <c r="I330" s="12" t="s">
        <v>32</v>
      </c>
      <c r="J330" s="12" t="s">
        <v>14</v>
      </c>
      <c r="K330" s="14" t="str">
        <f>TEXT('Retail Store Sales'!$D330,"yyyy")</f>
        <v>2025</v>
      </c>
      <c r="L330" s="11" t="str">
        <f>TEXT('Retail Store Sales'!$D330,"mmm")</f>
        <v>Apr</v>
      </c>
      <c r="M330" s="12" t="str">
        <f>TEXT('Retail Store Sales'!$D330,"dddd")</f>
        <v>Sunday</v>
      </c>
      <c r="N330" s="23">
        <f t="shared" si="5"/>
        <v>4</v>
      </c>
      <c r="O330" s="16">
        <f>ROUND('Retail Store Sales'!$F330*'Retail Store Sales'!$G330*_xlfn.XLOOKUP('Retail Store Sales'!$C330,Table2[Product Name],Table2[Cost Percentage],0),0)</f>
        <v>34</v>
      </c>
      <c r="P330" s="12">
        <f>'Retail Store Sales'!$F330*'Retail Store Sales'!$G330</f>
        <v>62</v>
      </c>
      <c r="Q330" s="12">
        <f>P330-Table1[[#This Row],[Total cost]]</f>
        <v>28</v>
      </c>
    </row>
    <row r="331" spans="1:17" x14ac:dyDescent="0.45">
      <c r="A331" s="16" t="s">
        <v>375</v>
      </c>
      <c r="B331" s="16" t="s">
        <v>30</v>
      </c>
      <c r="C331" s="16" t="s">
        <v>41</v>
      </c>
      <c r="D331" s="17">
        <v>45887</v>
      </c>
      <c r="E331" s="17">
        <v>45896</v>
      </c>
      <c r="F331" s="16">
        <v>9</v>
      </c>
      <c r="G331" s="16">
        <v>385</v>
      </c>
      <c r="H331" s="16" t="s">
        <v>27</v>
      </c>
      <c r="I331" s="16" t="s">
        <v>32</v>
      </c>
      <c r="J331" s="16" t="s">
        <v>28</v>
      </c>
      <c r="K331" s="18" t="str">
        <f>TEXT('Retail Store Sales'!$D331,"yyyy")</f>
        <v>2025</v>
      </c>
      <c r="L331" s="15" t="str">
        <f>TEXT('Retail Store Sales'!$D331,"mmm")</f>
        <v>Aug</v>
      </c>
      <c r="M331" s="16" t="str">
        <f>TEXT('Retail Store Sales'!$D331,"dddd")</f>
        <v>Monday</v>
      </c>
      <c r="N331" s="24">
        <f t="shared" si="5"/>
        <v>9</v>
      </c>
      <c r="O331" s="16">
        <f>ROUND('Retail Store Sales'!$F331*'Retail Store Sales'!$G331*_xlfn.XLOOKUP('Retail Store Sales'!$C331,Table2[Product Name],Table2[Cost Percentage],0),0)</f>
        <v>2252</v>
      </c>
      <c r="P331" s="16">
        <f>'Retail Store Sales'!$F331*'Retail Store Sales'!$G331</f>
        <v>3465</v>
      </c>
      <c r="Q331" s="12">
        <f>P331-Table1[[#This Row],[Total cost]]</f>
        <v>1213</v>
      </c>
    </row>
    <row r="332" spans="1:17" x14ac:dyDescent="0.45">
      <c r="A332" s="12" t="s">
        <v>376</v>
      </c>
      <c r="B332" s="12" t="s">
        <v>20</v>
      </c>
      <c r="C332" s="12" t="s">
        <v>39</v>
      </c>
      <c r="D332" s="13">
        <v>46003</v>
      </c>
      <c r="E332" s="13">
        <v>46004</v>
      </c>
      <c r="F332" s="12">
        <v>5</v>
      </c>
      <c r="G332" s="12">
        <v>465</v>
      </c>
      <c r="H332" s="12" t="s">
        <v>13</v>
      </c>
      <c r="I332" s="12" t="s">
        <v>32</v>
      </c>
      <c r="J332" s="12" t="s">
        <v>14</v>
      </c>
      <c r="K332" s="14" t="str">
        <f>TEXT('Retail Store Sales'!$D332,"yyyy")</f>
        <v>2025</v>
      </c>
      <c r="L332" s="11" t="str">
        <f>TEXT('Retail Store Sales'!$D332,"mmm")</f>
        <v>Dec</v>
      </c>
      <c r="M332" s="12" t="str">
        <f>TEXT('Retail Store Sales'!$D332,"dddd")</f>
        <v>Friday</v>
      </c>
      <c r="N332" s="23">
        <f t="shared" si="5"/>
        <v>1</v>
      </c>
      <c r="O332" s="16">
        <f>ROUND('Retail Store Sales'!$F332*'Retail Store Sales'!$G332*_xlfn.XLOOKUP('Retail Store Sales'!$C332,Table2[Product Name],Table2[Cost Percentage],0),0)</f>
        <v>1511</v>
      </c>
      <c r="P332" s="12">
        <f>'Retail Store Sales'!$F332*'Retail Store Sales'!$G332</f>
        <v>2325</v>
      </c>
      <c r="Q332" s="12">
        <f>P332-Table1[[#This Row],[Total cost]]</f>
        <v>814</v>
      </c>
    </row>
    <row r="333" spans="1:17" x14ac:dyDescent="0.45">
      <c r="A333" s="16" t="s">
        <v>377</v>
      </c>
      <c r="B333" s="16" t="s">
        <v>11</v>
      </c>
      <c r="C333" s="16" t="s">
        <v>35</v>
      </c>
      <c r="D333" s="17">
        <v>45762</v>
      </c>
      <c r="E333" s="17">
        <v>45767</v>
      </c>
      <c r="F333" s="16">
        <v>2</v>
      </c>
      <c r="G333" s="16">
        <v>280</v>
      </c>
      <c r="H333" s="16" t="s">
        <v>13</v>
      </c>
      <c r="I333" s="16" t="s">
        <v>32</v>
      </c>
      <c r="J333" s="16" t="s">
        <v>18</v>
      </c>
      <c r="K333" s="18" t="str">
        <f>TEXT('Retail Store Sales'!$D333,"yyyy")</f>
        <v>2025</v>
      </c>
      <c r="L333" s="15" t="str">
        <f>TEXT('Retail Store Sales'!$D333,"mmm")</f>
        <v>Apr</v>
      </c>
      <c r="M333" s="16" t="str">
        <f>TEXT('Retail Store Sales'!$D333,"dddd")</f>
        <v>Tuesday</v>
      </c>
      <c r="N333" s="24">
        <f t="shared" si="5"/>
        <v>5</v>
      </c>
      <c r="O333" s="16">
        <f>ROUND('Retail Store Sales'!$F333*'Retail Store Sales'!$G333*_xlfn.XLOOKUP('Retail Store Sales'!$C333,Table2[Product Name],Table2[Cost Percentage],0),0)</f>
        <v>448</v>
      </c>
      <c r="P333" s="16">
        <f>'Retail Store Sales'!$F333*'Retail Store Sales'!$G333</f>
        <v>560</v>
      </c>
      <c r="Q333" s="12">
        <f>P333-Table1[[#This Row],[Total cost]]</f>
        <v>112</v>
      </c>
    </row>
    <row r="334" spans="1:17" x14ac:dyDescent="0.45">
      <c r="A334" s="12" t="s">
        <v>378</v>
      </c>
      <c r="B334" s="12" t="s">
        <v>16</v>
      </c>
      <c r="C334" s="12" t="s">
        <v>63</v>
      </c>
      <c r="D334" s="13">
        <v>45722</v>
      </c>
      <c r="E334" s="13">
        <v>45732</v>
      </c>
      <c r="F334" s="12">
        <v>5</v>
      </c>
      <c r="G334" s="12">
        <v>536</v>
      </c>
      <c r="H334" s="12" t="s">
        <v>27</v>
      </c>
      <c r="I334" s="12" t="s">
        <v>546</v>
      </c>
      <c r="J334" s="12" t="s">
        <v>45</v>
      </c>
      <c r="K334" s="14" t="str">
        <f>TEXT('Retail Store Sales'!$D334,"yyyy")</f>
        <v>2025</v>
      </c>
      <c r="L334" s="11" t="str">
        <f>TEXT('Retail Store Sales'!$D334,"mmm")</f>
        <v>Mar</v>
      </c>
      <c r="M334" s="12" t="str">
        <f>TEXT('Retail Store Sales'!$D334,"dddd")</f>
        <v>Thursday</v>
      </c>
      <c r="N334" s="23">
        <f t="shared" si="5"/>
        <v>10</v>
      </c>
      <c r="O334" s="16">
        <f>ROUND('Retail Store Sales'!$F334*'Retail Store Sales'!$G334*_xlfn.XLOOKUP('Retail Store Sales'!$C334,Table2[Product Name],Table2[Cost Percentage],0),0)</f>
        <v>1340</v>
      </c>
      <c r="P334" s="12">
        <f>'Retail Store Sales'!$F334*'Retail Store Sales'!$G334</f>
        <v>2680</v>
      </c>
      <c r="Q334" s="12">
        <f>P334-Table1[[#This Row],[Total cost]]</f>
        <v>1340</v>
      </c>
    </row>
    <row r="335" spans="1:17" x14ac:dyDescent="0.45">
      <c r="A335" s="16" t="s">
        <v>379</v>
      </c>
      <c r="B335" s="16" t="s">
        <v>20</v>
      </c>
      <c r="C335" s="16" t="s">
        <v>82</v>
      </c>
      <c r="D335" s="17">
        <v>45945</v>
      </c>
      <c r="E335" s="17">
        <v>45949</v>
      </c>
      <c r="F335" s="16">
        <v>9</v>
      </c>
      <c r="G335" s="16">
        <v>754</v>
      </c>
      <c r="H335" s="16" t="s">
        <v>13</v>
      </c>
      <c r="I335" s="16" t="s">
        <v>549</v>
      </c>
      <c r="J335" s="16" t="s">
        <v>28</v>
      </c>
      <c r="K335" s="18" t="str">
        <f>TEXT('Retail Store Sales'!$D335,"yyyy")</f>
        <v>2025</v>
      </c>
      <c r="L335" s="15" t="str">
        <f>TEXT('Retail Store Sales'!$D335,"mmm")</f>
        <v>Oct</v>
      </c>
      <c r="M335" s="16" t="str">
        <f>TEXT('Retail Store Sales'!$D335,"dddd")</f>
        <v>Wednesday</v>
      </c>
      <c r="N335" s="24">
        <f t="shared" si="5"/>
        <v>4</v>
      </c>
      <c r="O335" s="16">
        <f>ROUND('Retail Store Sales'!$F335*'Retail Store Sales'!$G335*_xlfn.XLOOKUP('Retail Store Sales'!$C335,Table2[Product Name],Table2[Cost Percentage],0),0)</f>
        <v>5429</v>
      </c>
      <c r="P335" s="16">
        <f>'Retail Store Sales'!$F335*'Retail Store Sales'!$G335</f>
        <v>6786</v>
      </c>
      <c r="Q335" s="12">
        <f>P335-Table1[[#This Row],[Total cost]]</f>
        <v>1357</v>
      </c>
    </row>
    <row r="336" spans="1:17" x14ac:dyDescent="0.45">
      <c r="A336" s="12" t="s">
        <v>380</v>
      </c>
      <c r="B336" s="12" t="s">
        <v>23</v>
      </c>
      <c r="C336" s="12" t="s">
        <v>37</v>
      </c>
      <c r="D336" s="13">
        <v>45878</v>
      </c>
      <c r="E336" s="13">
        <v>45883</v>
      </c>
      <c r="F336" s="12">
        <v>5</v>
      </c>
      <c r="G336" s="12">
        <v>292</v>
      </c>
      <c r="H336" s="12" t="s">
        <v>27</v>
      </c>
      <c r="I336" s="12" t="s">
        <v>32</v>
      </c>
      <c r="J336" s="12" t="s">
        <v>28</v>
      </c>
      <c r="K336" s="14" t="str">
        <f>TEXT('Retail Store Sales'!$D336,"yyyy")</f>
        <v>2025</v>
      </c>
      <c r="L336" s="11" t="str">
        <f>TEXT('Retail Store Sales'!$D336,"mmm")</f>
        <v>Aug</v>
      </c>
      <c r="M336" s="12" t="str">
        <f>TEXT('Retail Store Sales'!$D336,"dddd")</f>
        <v>Saturday</v>
      </c>
      <c r="N336" s="23">
        <f t="shared" si="5"/>
        <v>5</v>
      </c>
      <c r="O336" s="16">
        <f>ROUND('Retail Store Sales'!$F336*'Retail Store Sales'!$G336*_xlfn.XLOOKUP('Retail Store Sales'!$C336,Table2[Product Name],Table2[Cost Percentage],0),0)</f>
        <v>730</v>
      </c>
      <c r="P336" s="12">
        <f>'Retail Store Sales'!$F336*'Retail Store Sales'!$G336</f>
        <v>1460</v>
      </c>
      <c r="Q336" s="12">
        <f>P336-Table1[[#This Row],[Total cost]]</f>
        <v>730</v>
      </c>
    </row>
    <row r="337" spans="1:17" x14ac:dyDescent="0.45">
      <c r="A337" s="16" t="s">
        <v>381</v>
      </c>
      <c r="B337" s="16" t="s">
        <v>30</v>
      </c>
      <c r="C337" s="16" t="s">
        <v>75</v>
      </c>
      <c r="D337" s="17">
        <v>45881</v>
      </c>
      <c r="E337" s="17">
        <v>45890</v>
      </c>
      <c r="F337" s="16">
        <v>1</v>
      </c>
      <c r="G337" s="16">
        <v>521</v>
      </c>
      <c r="H337" s="16" t="s">
        <v>27</v>
      </c>
      <c r="I337" s="16" t="s">
        <v>546</v>
      </c>
      <c r="J337" s="16" t="s">
        <v>45</v>
      </c>
      <c r="K337" s="18" t="str">
        <f>TEXT('Retail Store Sales'!$D337,"yyyy")</f>
        <v>2025</v>
      </c>
      <c r="L337" s="15" t="str">
        <f>TEXT('Retail Store Sales'!$D337,"mmm")</f>
        <v>Aug</v>
      </c>
      <c r="M337" s="16" t="str">
        <f>TEXT('Retail Store Sales'!$D337,"dddd")</f>
        <v>Tuesday</v>
      </c>
      <c r="N337" s="24">
        <f t="shared" si="5"/>
        <v>9</v>
      </c>
      <c r="O337" s="16">
        <f>ROUND('Retail Store Sales'!$F337*'Retail Store Sales'!$G337*_xlfn.XLOOKUP('Retail Store Sales'!$C337,Table2[Product Name],Table2[Cost Percentage],0),0)</f>
        <v>391</v>
      </c>
      <c r="P337" s="16">
        <f>'Retail Store Sales'!$F337*'Retail Store Sales'!$G337</f>
        <v>521</v>
      </c>
      <c r="Q337" s="12">
        <f>P337-Table1[[#This Row],[Total cost]]</f>
        <v>130</v>
      </c>
    </row>
    <row r="338" spans="1:17" x14ac:dyDescent="0.45">
      <c r="A338" s="12" t="s">
        <v>382</v>
      </c>
      <c r="B338" s="12" t="s">
        <v>16</v>
      </c>
      <c r="C338" s="12" t="s">
        <v>55</v>
      </c>
      <c r="D338" s="13">
        <v>46000</v>
      </c>
      <c r="E338" s="13">
        <v>46001</v>
      </c>
      <c r="F338" s="12">
        <v>5</v>
      </c>
      <c r="G338" s="12">
        <v>630</v>
      </c>
      <c r="H338" s="12" t="s">
        <v>13</v>
      </c>
      <c r="I338" s="12" t="s">
        <v>550</v>
      </c>
      <c r="J338" s="12" t="s">
        <v>45</v>
      </c>
      <c r="K338" s="14" t="str">
        <f>TEXT('Retail Store Sales'!$D338,"yyyy")</f>
        <v>2025</v>
      </c>
      <c r="L338" s="11" t="str">
        <f>TEXT('Retail Store Sales'!$D338,"mmm")</f>
        <v>Dec</v>
      </c>
      <c r="M338" s="12" t="str">
        <f>TEXT('Retail Store Sales'!$D338,"dddd")</f>
        <v>Tuesday</v>
      </c>
      <c r="N338" s="23">
        <f t="shared" si="5"/>
        <v>1</v>
      </c>
      <c r="O338" s="16">
        <f>ROUND('Retail Store Sales'!$F338*'Retail Store Sales'!$G338*_xlfn.XLOOKUP('Retail Store Sales'!$C338,Table2[Product Name],Table2[Cost Percentage],0),0)</f>
        <v>1733</v>
      </c>
      <c r="P338" s="12">
        <f>'Retail Store Sales'!$F338*'Retail Store Sales'!$G338</f>
        <v>3150</v>
      </c>
      <c r="Q338" s="12">
        <f>P338-Table1[[#This Row],[Total cost]]</f>
        <v>1417</v>
      </c>
    </row>
    <row r="339" spans="1:17" x14ac:dyDescent="0.45">
      <c r="A339" s="16" t="s">
        <v>383</v>
      </c>
      <c r="B339" s="16" t="s">
        <v>16</v>
      </c>
      <c r="C339" s="16" t="s">
        <v>63</v>
      </c>
      <c r="D339" s="17">
        <v>45775</v>
      </c>
      <c r="E339" s="17">
        <v>45778</v>
      </c>
      <c r="F339" s="16">
        <v>10</v>
      </c>
      <c r="G339" s="16">
        <v>678</v>
      </c>
      <c r="H339" s="16" t="s">
        <v>13</v>
      </c>
      <c r="I339" s="16" t="s">
        <v>549</v>
      </c>
      <c r="J339" s="16" t="s">
        <v>45</v>
      </c>
      <c r="K339" s="18" t="str">
        <f>TEXT('Retail Store Sales'!$D339,"yyyy")</f>
        <v>2025</v>
      </c>
      <c r="L339" s="15" t="str">
        <f>TEXT('Retail Store Sales'!$D339,"mmm")</f>
        <v>Apr</v>
      </c>
      <c r="M339" s="16" t="str">
        <f>TEXT('Retail Store Sales'!$D339,"dddd")</f>
        <v>Monday</v>
      </c>
      <c r="N339" s="24">
        <f t="shared" si="5"/>
        <v>3</v>
      </c>
      <c r="O339" s="16">
        <f>ROUND('Retail Store Sales'!$F339*'Retail Store Sales'!$G339*_xlfn.XLOOKUP('Retail Store Sales'!$C339,Table2[Product Name],Table2[Cost Percentage],0),0)</f>
        <v>3390</v>
      </c>
      <c r="P339" s="16">
        <f>'Retail Store Sales'!$F339*'Retail Store Sales'!$G339</f>
        <v>6780</v>
      </c>
      <c r="Q339" s="12">
        <f>P339-Table1[[#This Row],[Total cost]]</f>
        <v>3390</v>
      </c>
    </row>
    <row r="340" spans="1:17" x14ac:dyDescent="0.45">
      <c r="A340" s="12" t="s">
        <v>384</v>
      </c>
      <c r="B340" s="12" t="s">
        <v>16</v>
      </c>
      <c r="C340" s="12" t="s">
        <v>63</v>
      </c>
      <c r="D340" s="13">
        <v>45834</v>
      </c>
      <c r="E340" s="13">
        <v>45842</v>
      </c>
      <c r="F340" s="12">
        <v>7</v>
      </c>
      <c r="G340" s="12">
        <v>569</v>
      </c>
      <c r="H340" s="12" t="s">
        <v>13</v>
      </c>
      <c r="I340" s="12" t="s">
        <v>549</v>
      </c>
      <c r="J340" s="12" t="s">
        <v>45</v>
      </c>
      <c r="K340" s="14" t="str">
        <f>TEXT('Retail Store Sales'!$D340,"yyyy")</f>
        <v>2025</v>
      </c>
      <c r="L340" s="11" t="str">
        <f>TEXT('Retail Store Sales'!$D340,"mmm")</f>
        <v>Jun</v>
      </c>
      <c r="M340" s="12" t="str">
        <f>TEXT('Retail Store Sales'!$D340,"dddd")</f>
        <v>Thursday</v>
      </c>
      <c r="N340" s="23">
        <f t="shared" si="5"/>
        <v>8</v>
      </c>
      <c r="O340" s="16">
        <f>ROUND('Retail Store Sales'!$F340*'Retail Store Sales'!$G340*_xlfn.XLOOKUP('Retail Store Sales'!$C340,Table2[Product Name],Table2[Cost Percentage],0),0)</f>
        <v>1992</v>
      </c>
      <c r="P340" s="12">
        <f>'Retail Store Sales'!$F340*'Retail Store Sales'!$G340</f>
        <v>3983</v>
      </c>
      <c r="Q340" s="12">
        <f>P340-Table1[[#This Row],[Total cost]]</f>
        <v>1991</v>
      </c>
    </row>
    <row r="341" spans="1:17" x14ac:dyDescent="0.45">
      <c r="A341" s="16" t="s">
        <v>385</v>
      </c>
      <c r="B341" s="16" t="s">
        <v>23</v>
      </c>
      <c r="C341" s="16" t="s">
        <v>37</v>
      </c>
      <c r="D341" s="17">
        <v>45988</v>
      </c>
      <c r="E341" s="17">
        <v>45994</v>
      </c>
      <c r="F341" s="16">
        <v>9</v>
      </c>
      <c r="G341" s="16">
        <v>185</v>
      </c>
      <c r="H341" s="16" t="s">
        <v>27</v>
      </c>
      <c r="I341" s="16" t="s">
        <v>550</v>
      </c>
      <c r="J341" s="16" t="s">
        <v>14</v>
      </c>
      <c r="K341" s="18" t="str">
        <f>TEXT('Retail Store Sales'!$D341,"yyyy")</f>
        <v>2025</v>
      </c>
      <c r="L341" s="15" t="str">
        <f>TEXT('Retail Store Sales'!$D341,"mmm")</f>
        <v>Nov</v>
      </c>
      <c r="M341" s="16" t="str">
        <f>TEXT('Retail Store Sales'!$D341,"dddd")</f>
        <v>Thursday</v>
      </c>
      <c r="N341" s="24">
        <f t="shared" si="5"/>
        <v>6</v>
      </c>
      <c r="O341" s="16">
        <f>ROUND('Retail Store Sales'!$F341*'Retail Store Sales'!$G341*_xlfn.XLOOKUP('Retail Store Sales'!$C341,Table2[Product Name],Table2[Cost Percentage],0),0)</f>
        <v>833</v>
      </c>
      <c r="P341" s="16">
        <f>'Retail Store Sales'!$F341*'Retail Store Sales'!$G341</f>
        <v>1665</v>
      </c>
      <c r="Q341" s="12">
        <f>P341-Table1[[#This Row],[Total cost]]</f>
        <v>832</v>
      </c>
    </row>
    <row r="342" spans="1:17" x14ac:dyDescent="0.45">
      <c r="A342" s="12" t="s">
        <v>386</v>
      </c>
      <c r="B342" s="12" t="s">
        <v>20</v>
      </c>
      <c r="C342" s="12" t="s">
        <v>82</v>
      </c>
      <c r="D342" s="13">
        <v>45710</v>
      </c>
      <c r="E342" s="13">
        <v>45712</v>
      </c>
      <c r="F342" s="12">
        <v>8</v>
      </c>
      <c r="G342" s="12">
        <v>405</v>
      </c>
      <c r="H342" s="12" t="s">
        <v>13</v>
      </c>
      <c r="I342" s="12" t="s">
        <v>546</v>
      </c>
      <c r="J342" s="12" t="s">
        <v>18</v>
      </c>
      <c r="K342" s="14" t="str">
        <f>TEXT('Retail Store Sales'!$D342,"yyyy")</f>
        <v>2025</v>
      </c>
      <c r="L342" s="11" t="str">
        <f>TEXT('Retail Store Sales'!$D342,"mmm")</f>
        <v>Feb</v>
      </c>
      <c r="M342" s="12" t="str">
        <f>TEXT('Retail Store Sales'!$D342,"dddd")</f>
        <v>Saturday</v>
      </c>
      <c r="N342" s="23">
        <f t="shared" si="5"/>
        <v>2</v>
      </c>
      <c r="O342" s="16">
        <f>ROUND('Retail Store Sales'!$F342*'Retail Store Sales'!$G342*_xlfn.XLOOKUP('Retail Store Sales'!$C342,Table2[Product Name],Table2[Cost Percentage],0),0)</f>
        <v>2592</v>
      </c>
      <c r="P342" s="12">
        <f>'Retail Store Sales'!$F342*'Retail Store Sales'!$G342</f>
        <v>3240</v>
      </c>
      <c r="Q342" s="12">
        <f>P342-Table1[[#This Row],[Total cost]]</f>
        <v>648</v>
      </c>
    </row>
    <row r="343" spans="1:17" x14ac:dyDescent="0.45">
      <c r="A343" s="16" t="s">
        <v>387</v>
      </c>
      <c r="B343" s="16" t="s">
        <v>23</v>
      </c>
      <c r="C343" s="16" t="s">
        <v>37</v>
      </c>
      <c r="D343" s="17">
        <v>45757</v>
      </c>
      <c r="E343" s="17">
        <v>45765</v>
      </c>
      <c r="F343" s="16">
        <v>10</v>
      </c>
      <c r="G343" s="16">
        <v>923</v>
      </c>
      <c r="H343" s="16" t="s">
        <v>13</v>
      </c>
      <c r="I343" s="16" t="s">
        <v>548</v>
      </c>
      <c r="J343" s="16" t="s">
        <v>28</v>
      </c>
      <c r="K343" s="18" t="str">
        <f>TEXT('Retail Store Sales'!$D343,"yyyy")</f>
        <v>2025</v>
      </c>
      <c r="L343" s="15" t="str">
        <f>TEXT('Retail Store Sales'!$D343,"mmm")</f>
        <v>Apr</v>
      </c>
      <c r="M343" s="16" t="str">
        <f>TEXT('Retail Store Sales'!$D343,"dddd")</f>
        <v>Thursday</v>
      </c>
      <c r="N343" s="24">
        <f t="shared" si="5"/>
        <v>8</v>
      </c>
      <c r="O343" s="16">
        <f>ROUND('Retail Store Sales'!$F343*'Retail Store Sales'!$G343*_xlfn.XLOOKUP('Retail Store Sales'!$C343,Table2[Product Name],Table2[Cost Percentage],0),0)</f>
        <v>4615</v>
      </c>
      <c r="P343" s="16">
        <f>'Retail Store Sales'!$F343*'Retail Store Sales'!$G343</f>
        <v>9230</v>
      </c>
      <c r="Q343" s="12">
        <f>P343-Table1[[#This Row],[Total cost]]</f>
        <v>4615</v>
      </c>
    </row>
    <row r="344" spans="1:17" x14ac:dyDescent="0.45">
      <c r="A344" s="12" t="s">
        <v>388</v>
      </c>
      <c r="B344" s="12" t="s">
        <v>23</v>
      </c>
      <c r="C344" s="12" t="s">
        <v>24</v>
      </c>
      <c r="D344" s="13">
        <v>45811</v>
      </c>
      <c r="E344" s="13">
        <v>45815</v>
      </c>
      <c r="F344" s="12">
        <v>10</v>
      </c>
      <c r="G344" s="12">
        <v>325</v>
      </c>
      <c r="H344" s="12" t="s">
        <v>27</v>
      </c>
      <c r="I344" s="12" t="s">
        <v>32</v>
      </c>
      <c r="J344" s="12" t="s">
        <v>45</v>
      </c>
      <c r="K344" s="14" t="str">
        <f>TEXT('Retail Store Sales'!$D344,"yyyy")</f>
        <v>2025</v>
      </c>
      <c r="L344" s="11" t="str">
        <f>TEXT('Retail Store Sales'!$D344,"mmm")</f>
        <v>Jun</v>
      </c>
      <c r="M344" s="12" t="str">
        <f>TEXT('Retail Store Sales'!$D344,"dddd")</f>
        <v>Tuesday</v>
      </c>
      <c r="N344" s="23">
        <f t="shared" si="5"/>
        <v>4</v>
      </c>
      <c r="O344" s="16">
        <f>ROUND('Retail Store Sales'!$F344*'Retail Store Sales'!$G344*_xlfn.XLOOKUP('Retail Store Sales'!$C344,Table2[Product Name],Table2[Cost Percentage],0),0)</f>
        <v>1788</v>
      </c>
      <c r="P344" s="12">
        <f>'Retail Store Sales'!$F344*'Retail Store Sales'!$G344</f>
        <v>3250</v>
      </c>
      <c r="Q344" s="12">
        <f>P344-Table1[[#This Row],[Total cost]]</f>
        <v>1462</v>
      </c>
    </row>
    <row r="345" spans="1:17" x14ac:dyDescent="0.45">
      <c r="A345" s="16" t="s">
        <v>389</v>
      </c>
      <c r="B345" s="16" t="s">
        <v>23</v>
      </c>
      <c r="C345" s="16" t="s">
        <v>69</v>
      </c>
      <c r="D345" s="17">
        <v>45936</v>
      </c>
      <c r="E345" s="17">
        <v>45941</v>
      </c>
      <c r="F345" s="16">
        <v>6</v>
      </c>
      <c r="G345" s="16">
        <v>564</v>
      </c>
      <c r="H345" s="16" t="s">
        <v>13</v>
      </c>
      <c r="I345" s="16" t="s">
        <v>550</v>
      </c>
      <c r="J345" s="16" t="s">
        <v>18</v>
      </c>
      <c r="K345" s="18" t="str">
        <f>TEXT('Retail Store Sales'!$D345,"yyyy")</f>
        <v>2025</v>
      </c>
      <c r="L345" s="15" t="str">
        <f>TEXT('Retail Store Sales'!$D345,"mmm")</f>
        <v>Oct</v>
      </c>
      <c r="M345" s="16" t="str">
        <f>TEXT('Retail Store Sales'!$D345,"dddd")</f>
        <v>Monday</v>
      </c>
      <c r="N345" s="24">
        <f t="shared" si="5"/>
        <v>5</v>
      </c>
      <c r="O345" s="16">
        <f>ROUND('Retail Store Sales'!$F345*'Retail Store Sales'!$G345*_xlfn.XLOOKUP('Retail Store Sales'!$C345,Table2[Product Name],Table2[Cost Percentage],0),0)</f>
        <v>1861</v>
      </c>
      <c r="P345" s="16">
        <f>'Retail Store Sales'!$F345*'Retail Store Sales'!$G345</f>
        <v>3384</v>
      </c>
      <c r="Q345" s="12">
        <f>P345-Table1[[#This Row],[Total cost]]</f>
        <v>1523</v>
      </c>
    </row>
    <row r="346" spans="1:17" x14ac:dyDescent="0.45">
      <c r="A346" s="12" t="s">
        <v>390</v>
      </c>
      <c r="B346" s="12" t="s">
        <v>20</v>
      </c>
      <c r="C346" s="12" t="s">
        <v>53</v>
      </c>
      <c r="D346" s="13">
        <v>45829</v>
      </c>
      <c r="E346" s="13">
        <v>45836</v>
      </c>
      <c r="F346" s="12">
        <v>2</v>
      </c>
      <c r="G346" s="12">
        <v>236</v>
      </c>
      <c r="H346" s="12" t="s">
        <v>27</v>
      </c>
      <c r="I346" s="12" t="s">
        <v>550</v>
      </c>
      <c r="J346" s="12" t="s">
        <v>14</v>
      </c>
      <c r="K346" s="14" t="str">
        <f>TEXT('Retail Store Sales'!$D346,"yyyy")</f>
        <v>2025</v>
      </c>
      <c r="L346" s="11" t="str">
        <f>TEXT('Retail Store Sales'!$D346,"mmm")</f>
        <v>Jun</v>
      </c>
      <c r="M346" s="12" t="str">
        <f>TEXT('Retail Store Sales'!$D346,"dddd")</f>
        <v>Saturday</v>
      </c>
      <c r="N346" s="23">
        <f t="shared" si="5"/>
        <v>7</v>
      </c>
      <c r="O346" s="16">
        <f>ROUND('Retail Store Sales'!$F346*'Retail Store Sales'!$G346*_xlfn.XLOOKUP('Retail Store Sales'!$C346,Table2[Product Name],Table2[Cost Percentage],0),0)</f>
        <v>330</v>
      </c>
      <c r="P346" s="12">
        <f>'Retail Store Sales'!$F346*'Retail Store Sales'!$G346</f>
        <v>472</v>
      </c>
      <c r="Q346" s="12">
        <f>P346-Table1[[#This Row],[Total cost]]</f>
        <v>142</v>
      </c>
    </row>
    <row r="347" spans="1:17" x14ac:dyDescent="0.45">
      <c r="A347" s="16" t="s">
        <v>391</v>
      </c>
      <c r="B347" s="16" t="s">
        <v>20</v>
      </c>
      <c r="C347" s="16" t="s">
        <v>39</v>
      </c>
      <c r="D347" s="17">
        <v>45964</v>
      </c>
      <c r="E347" s="17">
        <v>45971</v>
      </c>
      <c r="F347" s="16">
        <v>1</v>
      </c>
      <c r="G347" s="16">
        <v>741</v>
      </c>
      <c r="H347" s="16" t="s">
        <v>13</v>
      </c>
      <c r="I347" s="16" t="s">
        <v>548</v>
      </c>
      <c r="J347" s="16" t="s">
        <v>28</v>
      </c>
      <c r="K347" s="18" t="str">
        <f>TEXT('Retail Store Sales'!$D347,"yyyy")</f>
        <v>2025</v>
      </c>
      <c r="L347" s="15" t="str">
        <f>TEXT('Retail Store Sales'!$D347,"mmm")</f>
        <v>Nov</v>
      </c>
      <c r="M347" s="16" t="str">
        <f>TEXT('Retail Store Sales'!$D347,"dddd")</f>
        <v>Monday</v>
      </c>
      <c r="N347" s="24">
        <f t="shared" si="5"/>
        <v>7</v>
      </c>
      <c r="O347" s="16">
        <f>ROUND('Retail Store Sales'!$F347*'Retail Store Sales'!$G347*_xlfn.XLOOKUP('Retail Store Sales'!$C347,Table2[Product Name],Table2[Cost Percentage],0),0)</f>
        <v>482</v>
      </c>
      <c r="P347" s="16">
        <f>'Retail Store Sales'!$F347*'Retail Store Sales'!$G347</f>
        <v>741</v>
      </c>
      <c r="Q347" s="12">
        <f>P347-Table1[[#This Row],[Total cost]]</f>
        <v>259</v>
      </c>
    </row>
    <row r="348" spans="1:17" x14ac:dyDescent="0.45">
      <c r="A348" s="12" t="s">
        <v>392</v>
      </c>
      <c r="B348" s="12" t="s">
        <v>11</v>
      </c>
      <c r="C348" s="12" t="s">
        <v>26</v>
      </c>
      <c r="D348" s="13">
        <v>45911</v>
      </c>
      <c r="E348" s="13">
        <v>45917</v>
      </c>
      <c r="F348" s="12">
        <v>6</v>
      </c>
      <c r="G348" s="12">
        <v>992</v>
      </c>
      <c r="H348" s="12" t="s">
        <v>27</v>
      </c>
      <c r="I348" s="12" t="s">
        <v>548</v>
      </c>
      <c r="J348" s="12" t="s">
        <v>14</v>
      </c>
      <c r="K348" s="14" t="str">
        <f>TEXT('Retail Store Sales'!$D348,"yyyy")</f>
        <v>2025</v>
      </c>
      <c r="L348" s="11" t="str">
        <f>TEXT('Retail Store Sales'!$D348,"mmm")</f>
        <v>Sep</v>
      </c>
      <c r="M348" s="12" t="str">
        <f>TEXT('Retail Store Sales'!$D348,"dddd")</f>
        <v>Thursday</v>
      </c>
      <c r="N348" s="23">
        <f t="shared" si="5"/>
        <v>6</v>
      </c>
      <c r="O348" s="16">
        <f>ROUND('Retail Store Sales'!$F348*'Retail Store Sales'!$G348*_xlfn.XLOOKUP('Retail Store Sales'!$C348,Table2[Product Name],Table2[Cost Percentage],0),0)</f>
        <v>3869</v>
      </c>
      <c r="P348" s="12">
        <f>'Retail Store Sales'!$F348*'Retail Store Sales'!$G348</f>
        <v>5952</v>
      </c>
      <c r="Q348" s="12">
        <f>P348-Table1[[#This Row],[Total cost]]</f>
        <v>2083</v>
      </c>
    </row>
    <row r="349" spans="1:17" x14ac:dyDescent="0.45">
      <c r="A349" s="16" t="s">
        <v>393</v>
      </c>
      <c r="B349" s="16" t="s">
        <v>23</v>
      </c>
      <c r="C349" s="16" t="s">
        <v>24</v>
      </c>
      <c r="D349" s="17">
        <v>45920</v>
      </c>
      <c r="E349" s="17">
        <v>45921</v>
      </c>
      <c r="F349" s="16">
        <v>5</v>
      </c>
      <c r="G349" s="16">
        <v>55</v>
      </c>
      <c r="H349" s="16" t="s">
        <v>13</v>
      </c>
      <c r="I349" s="16" t="s">
        <v>550</v>
      </c>
      <c r="J349" s="16" t="s">
        <v>45</v>
      </c>
      <c r="K349" s="18" t="str">
        <f>TEXT('Retail Store Sales'!$D349,"yyyy")</f>
        <v>2025</v>
      </c>
      <c r="L349" s="15" t="str">
        <f>TEXT('Retail Store Sales'!$D349,"mmm")</f>
        <v>Sep</v>
      </c>
      <c r="M349" s="16" t="str">
        <f>TEXT('Retail Store Sales'!$D349,"dddd")</f>
        <v>Saturday</v>
      </c>
      <c r="N349" s="24">
        <f t="shared" si="5"/>
        <v>1</v>
      </c>
      <c r="O349" s="16">
        <f>ROUND('Retail Store Sales'!$F349*'Retail Store Sales'!$G349*_xlfn.XLOOKUP('Retail Store Sales'!$C349,Table2[Product Name],Table2[Cost Percentage],0),0)</f>
        <v>151</v>
      </c>
      <c r="P349" s="16">
        <f>'Retail Store Sales'!$F349*'Retail Store Sales'!$G349</f>
        <v>275</v>
      </c>
      <c r="Q349" s="12">
        <f>P349-Table1[[#This Row],[Total cost]]</f>
        <v>124</v>
      </c>
    </row>
    <row r="350" spans="1:17" x14ac:dyDescent="0.45">
      <c r="A350" s="12" t="s">
        <v>394</v>
      </c>
      <c r="B350" s="12" t="s">
        <v>16</v>
      </c>
      <c r="C350" s="12" t="s">
        <v>55</v>
      </c>
      <c r="D350" s="13">
        <v>45742</v>
      </c>
      <c r="E350" s="13">
        <v>45751</v>
      </c>
      <c r="F350" s="12">
        <v>7</v>
      </c>
      <c r="G350" s="12">
        <v>216</v>
      </c>
      <c r="H350" s="12" t="s">
        <v>27</v>
      </c>
      <c r="I350" s="12" t="s">
        <v>549</v>
      </c>
      <c r="J350" s="12" t="s">
        <v>18</v>
      </c>
      <c r="K350" s="14" t="str">
        <f>TEXT('Retail Store Sales'!$D350,"yyyy")</f>
        <v>2025</v>
      </c>
      <c r="L350" s="11" t="str">
        <f>TEXT('Retail Store Sales'!$D350,"mmm")</f>
        <v>Mar</v>
      </c>
      <c r="M350" s="12" t="str">
        <f>TEXT('Retail Store Sales'!$D350,"dddd")</f>
        <v>Wednesday</v>
      </c>
      <c r="N350" s="23">
        <f t="shared" si="5"/>
        <v>9</v>
      </c>
      <c r="O350" s="16">
        <f>ROUND('Retail Store Sales'!$F350*'Retail Store Sales'!$G350*_xlfn.XLOOKUP('Retail Store Sales'!$C350,Table2[Product Name],Table2[Cost Percentage],0),0)</f>
        <v>832</v>
      </c>
      <c r="P350" s="12">
        <f>'Retail Store Sales'!$F350*'Retail Store Sales'!$G350</f>
        <v>1512</v>
      </c>
      <c r="Q350" s="12">
        <f>P350-Table1[[#This Row],[Total cost]]</f>
        <v>680</v>
      </c>
    </row>
    <row r="351" spans="1:17" x14ac:dyDescent="0.45">
      <c r="A351" s="16" t="s">
        <v>395</v>
      </c>
      <c r="B351" s="16" t="s">
        <v>20</v>
      </c>
      <c r="C351" s="16" t="s">
        <v>82</v>
      </c>
      <c r="D351" s="17">
        <v>46011</v>
      </c>
      <c r="E351" s="17">
        <v>46013</v>
      </c>
      <c r="F351" s="16">
        <v>3</v>
      </c>
      <c r="G351" s="16">
        <v>375</v>
      </c>
      <c r="H351" s="16" t="s">
        <v>27</v>
      </c>
      <c r="I351" s="16" t="s">
        <v>546</v>
      </c>
      <c r="J351" s="16" t="s">
        <v>28</v>
      </c>
      <c r="K351" s="18" t="str">
        <f>TEXT('Retail Store Sales'!$D351,"yyyy")</f>
        <v>2025</v>
      </c>
      <c r="L351" s="15" t="str">
        <f>TEXT('Retail Store Sales'!$D351,"mmm")</f>
        <v>Dec</v>
      </c>
      <c r="M351" s="16" t="str">
        <f>TEXT('Retail Store Sales'!$D351,"dddd")</f>
        <v>Saturday</v>
      </c>
      <c r="N351" s="24">
        <f t="shared" si="5"/>
        <v>2</v>
      </c>
      <c r="O351" s="16">
        <f>ROUND('Retail Store Sales'!$F351*'Retail Store Sales'!$G351*_xlfn.XLOOKUP('Retail Store Sales'!$C351,Table2[Product Name],Table2[Cost Percentage],0),0)</f>
        <v>900</v>
      </c>
      <c r="P351" s="16">
        <f>'Retail Store Sales'!$F351*'Retail Store Sales'!$G351</f>
        <v>1125</v>
      </c>
      <c r="Q351" s="12">
        <f>P351-Table1[[#This Row],[Total cost]]</f>
        <v>225</v>
      </c>
    </row>
    <row r="352" spans="1:17" x14ac:dyDescent="0.45">
      <c r="A352" s="12" t="s">
        <v>396</v>
      </c>
      <c r="B352" s="12" t="s">
        <v>20</v>
      </c>
      <c r="C352" s="12" t="s">
        <v>39</v>
      </c>
      <c r="D352" s="13">
        <v>45702</v>
      </c>
      <c r="E352" s="13">
        <v>45712</v>
      </c>
      <c r="F352" s="12">
        <v>10</v>
      </c>
      <c r="G352" s="12">
        <v>503</v>
      </c>
      <c r="H352" s="12" t="s">
        <v>27</v>
      </c>
      <c r="I352" s="12" t="s">
        <v>549</v>
      </c>
      <c r="J352" s="12" t="s">
        <v>45</v>
      </c>
      <c r="K352" s="14" t="str">
        <f>TEXT('Retail Store Sales'!$D352,"yyyy")</f>
        <v>2025</v>
      </c>
      <c r="L352" s="11" t="str">
        <f>TEXT('Retail Store Sales'!$D352,"mmm")</f>
        <v>Feb</v>
      </c>
      <c r="M352" s="12" t="str">
        <f>TEXT('Retail Store Sales'!$D352,"dddd")</f>
        <v>Friday</v>
      </c>
      <c r="N352" s="23">
        <f t="shared" si="5"/>
        <v>10</v>
      </c>
      <c r="O352" s="16">
        <f>ROUND('Retail Store Sales'!$F352*'Retail Store Sales'!$G352*_xlfn.XLOOKUP('Retail Store Sales'!$C352,Table2[Product Name],Table2[Cost Percentage],0),0)</f>
        <v>3270</v>
      </c>
      <c r="P352" s="12">
        <f>'Retail Store Sales'!$F352*'Retail Store Sales'!$G352</f>
        <v>5030</v>
      </c>
      <c r="Q352" s="12">
        <f>P352-Table1[[#This Row],[Total cost]]</f>
        <v>1760</v>
      </c>
    </row>
    <row r="353" spans="1:17" x14ac:dyDescent="0.45">
      <c r="A353" s="16" t="s">
        <v>397</v>
      </c>
      <c r="B353" s="16" t="s">
        <v>23</v>
      </c>
      <c r="C353" s="16" t="s">
        <v>69</v>
      </c>
      <c r="D353" s="17">
        <v>45810</v>
      </c>
      <c r="E353" s="17">
        <v>45817</v>
      </c>
      <c r="F353" s="16">
        <v>6</v>
      </c>
      <c r="G353" s="16">
        <v>974</v>
      </c>
      <c r="H353" s="16" t="s">
        <v>13</v>
      </c>
      <c r="I353" s="16" t="s">
        <v>548</v>
      </c>
      <c r="J353" s="16" t="s">
        <v>18</v>
      </c>
      <c r="K353" s="18" t="str">
        <f>TEXT('Retail Store Sales'!$D353,"yyyy")</f>
        <v>2025</v>
      </c>
      <c r="L353" s="15" t="str">
        <f>TEXT('Retail Store Sales'!$D353,"mmm")</f>
        <v>Jun</v>
      </c>
      <c r="M353" s="16" t="str">
        <f>TEXT('Retail Store Sales'!$D353,"dddd")</f>
        <v>Monday</v>
      </c>
      <c r="N353" s="24">
        <f t="shared" si="5"/>
        <v>7</v>
      </c>
      <c r="O353" s="16">
        <f>ROUND('Retail Store Sales'!$F353*'Retail Store Sales'!$G353*_xlfn.XLOOKUP('Retail Store Sales'!$C353,Table2[Product Name],Table2[Cost Percentage],0),0)</f>
        <v>3214</v>
      </c>
      <c r="P353" s="16">
        <f>'Retail Store Sales'!$F353*'Retail Store Sales'!$G353</f>
        <v>5844</v>
      </c>
      <c r="Q353" s="12">
        <f>P353-Table1[[#This Row],[Total cost]]</f>
        <v>2630</v>
      </c>
    </row>
    <row r="354" spans="1:17" x14ac:dyDescent="0.45">
      <c r="A354" s="12" t="s">
        <v>398</v>
      </c>
      <c r="B354" s="12" t="s">
        <v>23</v>
      </c>
      <c r="C354" s="12" t="s">
        <v>24</v>
      </c>
      <c r="D354" s="13">
        <v>45863</v>
      </c>
      <c r="E354" s="13">
        <v>45870</v>
      </c>
      <c r="F354" s="12">
        <v>3</v>
      </c>
      <c r="G354" s="12">
        <v>486</v>
      </c>
      <c r="H354" s="12" t="s">
        <v>13</v>
      </c>
      <c r="I354" s="12" t="s">
        <v>548</v>
      </c>
      <c r="J354" s="12" t="s">
        <v>45</v>
      </c>
      <c r="K354" s="14" t="str">
        <f>TEXT('Retail Store Sales'!$D354,"yyyy")</f>
        <v>2025</v>
      </c>
      <c r="L354" s="11" t="str">
        <f>TEXT('Retail Store Sales'!$D354,"mmm")</f>
        <v>Jul</v>
      </c>
      <c r="M354" s="12" t="str">
        <f>TEXT('Retail Store Sales'!$D354,"dddd")</f>
        <v>Friday</v>
      </c>
      <c r="N354" s="23">
        <f t="shared" si="5"/>
        <v>7</v>
      </c>
      <c r="O354" s="16">
        <f>ROUND('Retail Store Sales'!$F354*'Retail Store Sales'!$G354*_xlfn.XLOOKUP('Retail Store Sales'!$C354,Table2[Product Name],Table2[Cost Percentage],0),0)</f>
        <v>802</v>
      </c>
      <c r="P354" s="12">
        <f>'Retail Store Sales'!$F354*'Retail Store Sales'!$G354</f>
        <v>1458</v>
      </c>
      <c r="Q354" s="12">
        <f>P354-Table1[[#This Row],[Total cost]]</f>
        <v>656</v>
      </c>
    </row>
    <row r="355" spans="1:17" x14ac:dyDescent="0.45">
      <c r="A355" s="16" t="s">
        <v>399</v>
      </c>
      <c r="B355" s="16" t="s">
        <v>11</v>
      </c>
      <c r="C355" s="16" t="s">
        <v>57</v>
      </c>
      <c r="D355" s="17">
        <v>45947</v>
      </c>
      <c r="E355" s="17">
        <v>45952</v>
      </c>
      <c r="F355" s="16">
        <v>5</v>
      </c>
      <c r="G355" s="16">
        <v>803</v>
      </c>
      <c r="H355" s="16" t="s">
        <v>13</v>
      </c>
      <c r="I355" s="16" t="s">
        <v>32</v>
      </c>
      <c r="J355" s="16" t="s">
        <v>18</v>
      </c>
      <c r="K355" s="18" t="str">
        <f>TEXT('Retail Store Sales'!$D355,"yyyy")</f>
        <v>2025</v>
      </c>
      <c r="L355" s="15" t="str">
        <f>TEXT('Retail Store Sales'!$D355,"mmm")</f>
        <v>Oct</v>
      </c>
      <c r="M355" s="16" t="str">
        <f>TEXT('Retail Store Sales'!$D355,"dddd")</f>
        <v>Friday</v>
      </c>
      <c r="N355" s="24">
        <f t="shared" si="5"/>
        <v>5</v>
      </c>
      <c r="O355" s="16">
        <f>ROUND('Retail Store Sales'!$F355*'Retail Store Sales'!$G355*_xlfn.XLOOKUP('Retail Store Sales'!$C355,Table2[Product Name],Table2[Cost Percentage],0),0)</f>
        <v>3413</v>
      </c>
      <c r="P355" s="16">
        <f>'Retail Store Sales'!$F355*'Retail Store Sales'!$G355</f>
        <v>4015</v>
      </c>
      <c r="Q355" s="12">
        <f>P355-Table1[[#This Row],[Total cost]]</f>
        <v>602</v>
      </c>
    </row>
    <row r="356" spans="1:17" x14ac:dyDescent="0.45">
      <c r="A356" s="12" t="s">
        <v>400</v>
      </c>
      <c r="B356" s="12" t="s">
        <v>23</v>
      </c>
      <c r="C356" s="12" t="s">
        <v>24</v>
      </c>
      <c r="D356" s="13">
        <v>45863</v>
      </c>
      <c r="E356" s="13">
        <v>45868</v>
      </c>
      <c r="F356" s="12">
        <v>4</v>
      </c>
      <c r="G356" s="12">
        <v>176</v>
      </c>
      <c r="H356" s="12" t="s">
        <v>27</v>
      </c>
      <c r="I356" s="12" t="s">
        <v>550</v>
      </c>
      <c r="J356" s="12" t="s">
        <v>28</v>
      </c>
      <c r="K356" s="14" t="str">
        <f>TEXT('Retail Store Sales'!$D356,"yyyy")</f>
        <v>2025</v>
      </c>
      <c r="L356" s="11" t="str">
        <f>TEXT('Retail Store Sales'!$D356,"mmm")</f>
        <v>Jul</v>
      </c>
      <c r="M356" s="12" t="str">
        <f>TEXT('Retail Store Sales'!$D356,"dddd")</f>
        <v>Friday</v>
      </c>
      <c r="N356" s="23">
        <f t="shared" si="5"/>
        <v>5</v>
      </c>
      <c r="O356" s="16">
        <f>ROUND('Retail Store Sales'!$F356*'Retail Store Sales'!$G356*_xlfn.XLOOKUP('Retail Store Sales'!$C356,Table2[Product Name],Table2[Cost Percentage],0),0)</f>
        <v>387</v>
      </c>
      <c r="P356" s="12">
        <f>'Retail Store Sales'!$F356*'Retail Store Sales'!$G356</f>
        <v>704</v>
      </c>
      <c r="Q356" s="12">
        <f>P356-Table1[[#This Row],[Total cost]]</f>
        <v>317</v>
      </c>
    </row>
    <row r="357" spans="1:17" x14ac:dyDescent="0.45">
      <c r="A357" s="16" t="s">
        <v>401</v>
      </c>
      <c r="B357" s="16" t="s">
        <v>23</v>
      </c>
      <c r="C357" s="16" t="s">
        <v>37</v>
      </c>
      <c r="D357" s="17">
        <v>45732</v>
      </c>
      <c r="E357" s="17">
        <v>45745</v>
      </c>
      <c r="F357" s="16">
        <v>4</v>
      </c>
      <c r="G357" s="16">
        <v>468</v>
      </c>
      <c r="H357" s="16" t="s">
        <v>27</v>
      </c>
      <c r="I357" s="16" t="s">
        <v>548</v>
      </c>
      <c r="J357" s="16" t="s">
        <v>14</v>
      </c>
      <c r="K357" s="18" t="str">
        <f>TEXT('Retail Store Sales'!$D357,"yyyy")</f>
        <v>2025</v>
      </c>
      <c r="L357" s="15" t="str">
        <f>TEXT('Retail Store Sales'!$D357,"mmm")</f>
        <v>Mar</v>
      </c>
      <c r="M357" s="16" t="str">
        <f>TEXT('Retail Store Sales'!$D357,"dddd")</f>
        <v>Sunday</v>
      </c>
      <c r="N357" s="24">
        <f t="shared" si="5"/>
        <v>13</v>
      </c>
      <c r="O357" s="16">
        <f>ROUND('Retail Store Sales'!$F357*'Retail Store Sales'!$G357*_xlfn.XLOOKUP('Retail Store Sales'!$C357,Table2[Product Name],Table2[Cost Percentage],0),0)</f>
        <v>936</v>
      </c>
      <c r="P357" s="16">
        <f>'Retail Store Sales'!$F357*'Retail Store Sales'!$G357</f>
        <v>1872</v>
      </c>
      <c r="Q357" s="12">
        <f>P357-Table1[[#This Row],[Total cost]]</f>
        <v>936</v>
      </c>
    </row>
    <row r="358" spans="1:17" x14ac:dyDescent="0.45">
      <c r="A358" s="12" t="s">
        <v>402</v>
      </c>
      <c r="B358" s="12" t="s">
        <v>30</v>
      </c>
      <c r="C358" s="12" t="s">
        <v>75</v>
      </c>
      <c r="D358" s="13">
        <v>45775</v>
      </c>
      <c r="E358" s="13">
        <v>45780</v>
      </c>
      <c r="F358" s="12">
        <v>3</v>
      </c>
      <c r="G358" s="12">
        <v>788</v>
      </c>
      <c r="H358" s="12" t="s">
        <v>13</v>
      </c>
      <c r="I358" s="12" t="s">
        <v>548</v>
      </c>
      <c r="J358" s="12" t="s">
        <v>18</v>
      </c>
      <c r="K358" s="14" t="str">
        <f>TEXT('Retail Store Sales'!$D358,"yyyy")</f>
        <v>2025</v>
      </c>
      <c r="L358" s="11" t="str">
        <f>TEXT('Retail Store Sales'!$D358,"mmm")</f>
        <v>Apr</v>
      </c>
      <c r="M358" s="12" t="str">
        <f>TEXT('Retail Store Sales'!$D358,"dddd")</f>
        <v>Monday</v>
      </c>
      <c r="N358" s="23">
        <f t="shared" si="5"/>
        <v>5</v>
      </c>
      <c r="O358" s="16">
        <f>ROUND('Retail Store Sales'!$F358*'Retail Store Sales'!$G358*_xlfn.XLOOKUP('Retail Store Sales'!$C358,Table2[Product Name],Table2[Cost Percentage],0),0)</f>
        <v>1773</v>
      </c>
      <c r="P358" s="12">
        <f>'Retail Store Sales'!$F358*'Retail Store Sales'!$G358</f>
        <v>2364</v>
      </c>
      <c r="Q358" s="12">
        <f>P358-Table1[[#This Row],[Total cost]]</f>
        <v>591</v>
      </c>
    </row>
    <row r="359" spans="1:17" x14ac:dyDescent="0.45">
      <c r="A359" s="16" t="s">
        <v>403</v>
      </c>
      <c r="B359" s="16" t="s">
        <v>20</v>
      </c>
      <c r="C359" s="16" t="s">
        <v>82</v>
      </c>
      <c r="D359" s="17">
        <v>45700</v>
      </c>
      <c r="E359" s="17">
        <v>45701</v>
      </c>
      <c r="F359" s="16">
        <v>8</v>
      </c>
      <c r="G359" s="16">
        <v>509</v>
      </c>
      <c r="H359" s="16" t="s">
        <v>13</v>
      </c>
      <c r="I359" s="16" t="s">
        <v>32</v>
      </c>
      <c r="J359" s="16" t="s">
        <v>18</v>
      </c>
      <c r="K359" s="18" t="str">
        <f>TEXT('Retail Store Sales'!$D359,"yyyy")</f>
        <v>2025</v>
      </c>
      <c r="L359" s="15" t="str">
        <f>TEXT('Retail Store Sales'!$D359,"mmm")</f>
        <v>Feb</v>
      </c>
      <c r="M359" s="16" t="str">
        <f>TEXT('Retail Store Sales'!$D359,"dddd")</f>
        <v>Wednesday</v>
      </c>
      <c r="N359" s="24">
        <f t="shared" si="5"/>
        <v>1</v>
      </c>
      <c r="O359" s="16">
        <f>ROUND('Retail Store Sales'!$F359*'Retail Store Sales'!$G359*_xlfn.XLOOKUP('Retail Store Sales'!$C359,Table2[Product Name],Table2[Cost Percentage],0),0)</f>
        <v>3258</v>
      </c>
      <c r="P359" s="16">
        <f>'Retail Store Sales'!$F359*'Retail Store Sales'!$G359</f>
        <v>4072</v>
      </c>
      <c r="Q359" s="12">
        <f>P359-Table1[[#This Row],[Total cost]]</f>
        <v>814</v>
      </c>
    </row>
    <row r="360" spans="1:17" x14ac:dyDescent="0.45">
      <c r="A360" s="12" t="s">
        <v>404</v>
      </c>
      <c r="B360" s="12" t="s">
        <v>30</v>
      </c>
      <c r="C360" s="12" t="s">
        <v>41</v>
      </c>
      <c r="D360" s="13">
        <v>45692</v>
      </c>
      <c r="E360" s="13">
        <v>45707</v>
      </c>
      <c r="F360" s="12">
        <v>2</v>
      </c>
      <c r="G360" s="12">
        <v>530</v>
      </c>
      <c r="H360" s="12" t="s">
        <v>27</v>
      </c>
      <c r="I360" s="12" t="s">
        <v>550</v>
      </c>
      <c r="J360" s="12" t="s">
        <v>45</v>
      </c>
      <c r="K360" s="14" t="str">
        <f>TEXT('Retail Store Sales'!$D360,"yyyy")</f>
        <v>2025</v>
      </c>
      <c r="L360" s="11" t="str">
        <f>TEXT('Retail Store Sales'!$D360,"mmm")</f>
        <v>Feb</v>
      </c>
      <c r="M360" s="12" t="str">
        <f>TEXT('Retail Store Sales'!$D360,"dddd")</f>
        <v>Tuesday</v>
      </c>
      <c r="N360" s="23">
        <f t="shared" si="5"/>
        <v>15</v>
      </c>
      <c r="O360" s="16">
        <f>ROUND('Retail Store Sales'!$F360*'Retail Store Sales'!$G360*_xlfn.XLOOKUP('Retail Store Sales'!$C360,Table2[Product Name],Table2[Cost Percentage],0),0)</f>
        <v>689</v>
      </c>
      <c r="P360" s="12">
        <f>'Retail Store Sales'!$F360*'Retail Store Sales'!$G360</f>
        <v>1060</v>
      </c>
      <c r="Q360" s="12">
        <f>P360-Table1[[#This Row],[Total cost]]</f>
        <v>371</v>
      </c>
    </row>
    <row r="361" spans="1:17" x14ac:dyDescent="0.45">
      <c r="A361" s="16" t="s">
        <v>405</v>
      </c>
      <c r="B361" s="16" t="s">
        <v>30</v>
      </c>
      <c r="C361" s="16" t="s">
        <v>75</v>
      </c>
      <c r="D361" s="17">
        <v>45759</v>
      </c>
      <c r="E361" s="17">
        <v>45767</v>
      </c>
      <c r="F361" s="16">
        <v>7</v>
      </c>
      <c r="G361" s="16">
        <v>744</v>
      </c>
      <c r="H361" s="16" t="s">
        <v>13</v>
      </c>
      <c r="I361" s="16" t="s">
        <v>549</v>
      </c>
      <c r="J361" s="16" t="s">
        <v>18</v>
      </c>
      <c r="K361" s="18" t="str">
        <f>TEXT('Retail Store Sales'!$D361,"yyyy")</f>
        <v>2025</v>
      </c>
      <c r="L361" s="15" t="str">
        <f>TEXT('Retail Store Sales'!$D361,"mmm")</f>
        <v>Apr</v>
      </c>
      <c r="M361" s="16" t="str">
        <f>TEXT('Retail Store Sales'!$D361,"dddd")</f>
        <v>Saturday</v>
      </c>
      <c r="N361" s="24">
        <f t="shared" si="5"/>
        <v>8</v>
      </c>
      <c r="O361" s="16">
        <f>ROUND('Retail Store Sales'!$F361*'Retail Store Sales'!$G361*_xlfn.XLOOKUP('Retail Store Sales'!$C361,Table2[Product Name],Table2[Cost Percentage],0),0)</f>
        <v>3906</v>
      </c>
      <c r="P361" s="16">
        <f>'Retail Store Sales'!$F361*'Retail Store Sales'!$G361</f>
        <v>5208</v>
      </c>
      <c r="Q361" s="12">
        <f>P361-Table1[[#This Row],[Total cost]]</f>
        <v>1302</v>
      </c>
    </row>
    <row r="362" spans="1:17" x14ac:dyDescent="0.45">
      <c r="A362" s="12" t="s">
        <v>406</v>
      </c>
      <c r="B362" s="12" t="s">
        <v>23</v>
      </c>
      <c r="C362" s="12" t="s">
        <v>37</v>
      </c>
      <c r="D362" s="13">
        <v>45892</v>
      </c>
      <c r="E362" s="13">
        <v>45903</v>
      </c>
      <c r="F362" s="12">
        <v>4</v>
      </c>
      <c r="G362" s="12">
        <v>444</v>
      </c>
      <c r="H362" s="12" t="s">
        <v>27</v>
      </c>
      <c r="I362" s="12" t="s">
        <v>32</v>
      </c>
      <c r="J362" s="12" t="s">
        <v>14</v>
      </c>
      <c r="K362" s="14" t="str">
        <f>TEXT('Retail Store Sales'!$D362,"yyyy")</f>
        <v>2025</v>
      </c>
      <c r="L362" s="11" t="str">
        <f>TEXT('Retail Store Sales'!$D362,"mmm")</f>
        <v>Aug</v>
      </c>
      <c r="M362" s="12" t="str">
        <f>TEXT('Retail Store Sales'!$D362,"dddd")</f>
        <v>Saturday</v>
      </c>
      <c r="N362" s="23">
        <f t="shared" si="5"/>
        <v>11</v>
      </c>
      <c r="O362" s="16">
        <f>ROUND('Retail Store Sales'!$F362*'Retail Store Sales'!$G362*_xlfn.XLOOKUP('Retail Store Sales'!$C362,Table2[Product Name],Table2[Cost Percentage],0),0)</f>
        <v>888</v>
      </c>
      <c r="P362" s="12">
        <f>'Retail Store Sales'!$F362*'Retail Store Sales'!$G362</f>
        <v>1776</v>
      </c>
      <c r="Q362" s="12">
        <f>P362-Table1[[#This Row],[Total cost]]</f>
        <v>888</v>
      </c>
    </row>
    <row r="363" spans="1:17" x14ac:dyDescent="0.45">
      <c r="A363" s="16" t="s">
        <v>407</v>
      </c>
      <c r="B363" s="16" t="s">
        <v>23</v>
      </c>
      <c r="C363" s="16" t="s">
        <v>69</v>
      </c>
      <c r="D363" s="17">
        <v>45858</v>
      </c>
      <c r="E363" s="17">
        <v>45866</v>
      </c>
      <c r="F363" s="16">
        <v>7</v>
      </c>
      <c r="G363" s="16">
        <v>474</v>
      </c>
      <c r="H363" s="16" t="s">
        <v>13</v>
      </c>
      <c r="I363" s="16" t="s">
        <v>549</v>
      </c>
      <c r="J363" s="16" t="s">
        <v>14</v>
      </c>
      <c r="K363" s="18" t="str">
        <f>TEXT('Retail Store Sales'!$D363,"yyyy")</f>
        <v>2025</v>
      </c>
      <c r="L363" s="15" t="str">
        <f>TEXT('Retail Store Sales'!$D363,"mmm")</f>
        <v>Jul</v>
      </c>
      <c r="M363" s="16" t="str">
        <f>TEXT('Retail Store Sales'!$D363,"dddd")</f>
        <v>Sunday</v>
      </c>
      <c r="N363" s="24">
        <f t="shared" si="5"/>
        <v>8</v>
      </c>
      <c r="O363" s="16">
        <f>ROUND('Retail Store Sales'!$F363*'Retail Store Sales'!$G363*_xlfn.XLOOKUP('Retail Store Sales'!$C363,Table2[Product Name],Table2[Cost Percentage],0),0)</f>
        <v>1825</v>
      </c>
      <c r="P363" s="16">
        <f>'Retail Store Sales'!$F363*'Retail Store Sales'!$G363</f>
        <v>3318</v>
      </c>
      <c r="Q363" s="12">
        <f>P363-Table1[[#This Row],[Total cost]]</f>
        <v>1493</v>
      </c>
    </row>
    <row r="364" spans="1:17" x14ac:dyDescent="0.45">
      <c r="A364" s="12" t="s">
        <v>408</v>
      </c>
      <c r="B364" s="12" t="s">
        <v>11</v>
      </c>
      <c r="C364" s="12" t="s">
        <v>26</v>
      </c>
      <c r="D364" s="13">
        <v>45931</v>
      </c>
      <c r="E364" s="13">
        <v>45936</v>
      </c>
      <c r="F364" s="12">
        <v>8</v>
      </c>
      <c r="G364" s="12">
        <v>731</v>
      </c>
      <c r="H364" s="12" t="s">
        <v>13</v>
      </c>
      <c r="I364" s="12" t="s">
        <v>546</v>
      </c>
      <c r="J364" s="12" t="s">
        <v>45</v>
      </c>
      <c r="K364" s="14" t="str">
        <f>TEXT('Retail Store Sales'!$D364,"yyyy")</f>
        <v>2025</v>
      </c>
      <c r="L364" s="11" t="str">
        <f>TEXT('Retail Store Sales'!$D364,"mmm")</f>
        <v>Oct</v>
      </c>
      <c r="M364" s="12" t="str">
        <f>TEXT('Retail Store Sales'!$D364,"dddd")</f>
        <v>Wednesday</v>
      </c>
      <c r="N364" s="23">
        <f t="shared" si="5"/>
        <v>5</v>
      </c>
      <c r="O364" s="16">
        <f>ROUND('Retail Store Sales'!$F364*'Retail Store Sales'!$G364*_xlfn.XLOOKUP('Retail Store Sales'!$C364,Table2[Product Name],Table2[Cost Percentage],0),0)</f>
        <v>3801</v>
      </c>
      <c r="P364" s="12">
        <f>'Retail Store Sales'!$F364*'Retail Store Sales'!$G364</f>
        <v>5848</v>
      </c>
      <c r="Q364" s="12">
        <f>P364-Table1[[#This Row],[Total cost]]</f>
        <v>2047</v>
      </c>
    </row>
    <row r="365" spans="1:17" x14ac:dyDescent="0.45">
      <c r="A365" s="16" t="s">
        <v>409</v>
      </c>
      <c r="B365" s="16" t="s">
        <v>16</v>
      </c>
      <c r="C365" s="16" t="s">
        <v>17</v>
      </c>
      <c r="D365" s="17">
        <v>45804</v>
      </c>
      <c r="E365" s="17">
        <v>45811</v>
      </c>
      <c r="F365" s="16">
        <v>2</v>
      </c>
      <c r="G365" s="16">
        <v>288</v>
      </c>
      <c r="H365" s="16" t="s">
        <v>13</v>
      </c>
      <c r="I365" s="16" t="s">
        <v>546</v>
      </c>
      <c r="J365" s="16" t="s">
        <v>45</v>
      </c>
      <c r="K365" s="18" t="str">
        <f>TEXT('Retail Store Sales'!$D365,"yyyy")</f>
        <v>2025</v>
      </c>
      <c r="L365" s="15" t="str">
        <f>TEXT('Retail Store Sales'!$D365,"mmm")</f>
        <v>May</v>
      </c>
      <c r="M365" s="16" t="str">
        <f>TEXT('Retail Store Sales'!$D365,"dddd")</f>
        <v>Tuesday</v>
      </c>
      <c r="N365" s="24">
        <f t="shared" si="5"/>
        <v>7</v>
      </c>
      <c r="O365" s="16">
        <f>ROUND('Retail Store Sales'!$F365*'Retail Store Sales'!$G365*_xlfn.XLOOKUP('Retail Store Sales'!$C365,Table2[Product Name],Table2[Cost Percentage],0),0)</f>
        <v>288</v>
      </c>
      <c r="P365" s="16">
        <f>'Retail Store Sales'!$F365*'Retail Store Sales'!$G365</f>
        <v>576</v>
      </c>
      <c r="Q365" s="12">
        <f>P365-Table1[[#This Row],[Total cost]]</f>
        <v>288</v>
      </c>
    </row>
    <row r="366" spans="1:17" x14ac:dyDescent="0.45">
      <c r="A366" s="12" t="s">
        <v>410</v>
      </c>
      <c r="B366" s="12" t="s">
        <v>20</v>
      </c>
      <c r="C366" s="12" t="s">
        <v>82</v>
      </c>
      <c r="D366" s="13">
        <v>46007</v>
      </c>
      <c r="E366" s="13">
        <v>46022</v>
      </c>
      <c r="F366" s="12">
        <v>8</v>
      </c>
      <c r="G366" s="12">
        <v>179</v>
      </c>
      <c r="H366" s="12" t="s">
        <v>27</v>
      </c>
      <c r="I366" s="12" t="s">
        <v>32</v>
      </c>
      <c r="J366" s="12" t="s">
        <v>28</v>
      </c>
      <c r="K366" s="14" t="str">
        <f>TEXT('Retail Store Sales'!$D366,"yyyy")</f>
        <v>2025</v>
      </c>
      <c r="L366" s="11" t="str">
        <f>TEXT('Retail Store Sales'!$D366,"mmm")</f>
        <v>Dec</v>
      </c>
      <c r="M366" s="12" t="str">
        <f>TEXT('Retail Store Sales'!$D366,"dddd")</f>
        <v>Tuesday</v>
      </c>
      <c r="N366" s="23">
        <f t="shared" si="5"/>
        <v>15</v>
      </c>
      <c r="O366" s="16">
        <f>ROUND('Retail Store Sales'!$F366*'Retail Store Sales'!$G366*_xlfn.XLOOKUP('Retail Store Sales'!$C366,Table2[Product Name],Table2[Cost Percentage],0),0)</f>
        <v>1146</v>
      </c>
      <c r="P366" s="12">
        <f>'Retail Store Sales'!$F366*'Retail Store Sales'!$G366</f>
        <v>1432</v>
      </c>
      <c r="Q366" s="12">
        <f>P366-Table1[[#This Row],[Total cost]]</f>
        <v>286</v>
      </c>
    </row>
    <row r="367" spans="1:17" x14ac:dyDescent="0.45">
      <c r="A367" s="16" t="s">
        <v>411</v>
      </c>
      <c r="B367" s="16" t="s">
        <v>16</v>
      </c>
      <c r="C367" s="16" t="s">
        <v>55</v>
      </c>
      <c r="D367" s="17">
        <v>45725</v>
      </c>
      <c r="E367" s="17">
        <v>45730</v>
      </c>
      <c r="F367" s="16">
        <v>6</v>
      </c>
      <c r="G367" s="16">
        <v>788</v>
      </c>
      <c r="H367" s="16" t="s">
        <v>13</v>
      </c>
      <c r="I367" s="16" t="s">
        <v>548</v>
      </c>
      <c r="J367" s="16" t="s">
        <v>45</v>
      </c>
      <c r="K367" s="18" t="str">
        <f>TEXT('Retail Store Sales'!$D367,"yyyy")</f>
        <v>2025</v>
      </c>
      <c r="L367" s="15" t="str">
        <f>TEXT('Retail Store Sales'!$D367,"mmm")</f>
        <v>Mar</v>
      </c>
      <c r="M367" s="16" t="str">
        <f>TEXT('Retail Store Sales'!$D367,"dddd")</f>
        <v>Sunday</v>
      </c>
      <c r="N367" s="24">
        <f t="shared" si="5"/>
        <v>5</v>
      </c>
      <c r="O367" s="16">
        <f>ROUND('Retail Store Sales'!$F367*'Retail Store Sales'!$G367*_xlfn.XLOOKUP('Retail Store Sales'!$C367,Table2[Product Name],Table2[Cost Percentage],0),0)</f>
        <v>2600</v>
      </c>
      <c r="P367" s="16">
        <f>'Retail Store Sales'!$F367*'Retail Store Sales'!$G367</f>
        <v>4728</v>
      </c>
      <c r="Q367" s="12">
        <f>P367-Table1[[#This Row],[Total cost]]</f>
        <v>2128</v>
      </c>
    </row>
    <row r="368" spans="1:17" x14ac:dyDescent="0.45">
      <c r="A368" s="12" t="s">
        <v>412</v>
      </c>
      <c r="B368" s="12" t="s">
        <v>20</v>
      </c>
      <c r="C368" s="12" t="s">
        <v>39</v>
      </c>
      <c r="D368" s="13">
        <v>45883</v>
      </c>
      <c r="E368" s="13">
        <v>45885</v>
      </c>
      <c r="F368" s="12">
        <v>3</v>
      </c>
      <c r="G368" s="12">
        <v>949</v>
      </c>
      <c r="H368" s="12" t="s">
        <v>13</v>
      </c>
      <c r="I368" s="12" t="s">
        <v>32</v>
      </c>
      <c r="J368" s="12" t="s">
        <v>28</v>
      </c>
      <c r="K368" s="14" t="str">
        <f>TEXT('Retail Store Sales'!$D368,"yyyy")</f>
        <v>2025</v>
      </c>
      <c r="L368" s="11" t="str">
        <f>TEXT('Retail Store Sales'!$D368,"mmm")</f>
        <v>Aug</v>
      </c>
      <c r="M368" s="12" t="str">
        <f>TEXT('Retail Store Sales'!$D368,"dddd")</f>
        <v>Thursday</v>
      </c>
      <c r="N368" s="23">
        <f t="shared" si="5"/>
        <v>2</v>
      </c>
      <c r="O368" s="16">
        <f>ROUND('Retail Store Sales'!$F368*'Retail Store Sales'!$G368*_xlfn.XLOOKUP('Retail Store Sales'!$C368,Table2[Product Name],Table2[Cost Percentage],0),0)</f>
        <v>1851</v>
      </c>
      <c r="P368" s="12">
        <f>'Retail Store Sales'!$F368*'Retail Store Sales'!$G368</f>
        <v>2847</v>
      </c>
      <c r="Q368" s="12">
        <f>P368-Table1[[#This Row],[Total cost]]</f>
        <v>996</v>
      </c>
    </row>
    <row r="369" spans="1:17" x14ac:dyDescent="0.45">
      <c r="A369" s="16" t="s">
        <v>413</v>
      </c>
      <c r="B369" s="16" t="s">
        <v>16</v>
      </c>
      <c r="C369" s="16" t="s">
        <v>63</v>
      </c>
      <c r="D369" s="17">
        <v>45977</v>
      </c>
      <c r="E369" s="17">
        <v>45986</v>
      </c>
      <c r="F369" s="16">
        <v>8</v>
      </c>
      <c r="G369" s="16">
        <v>137</v>
      </c>
      <c r="H369" s="16" t="s">
        <v>13</v>
      </c>
      <c r="I369" s="16" t="s">
        <v>549</v>
      </c>
      <c r="J369" s="16" t="s">
        <v>14</v>
      </c>
      <c r="K369" s="18" t="str">
        <f>TEXT('Retail Store Sales'!$D369,"yyyy")</f>
        <v>2025</v>
      </c>
      <c r="L369" s="15" t="str">
        <f>TEXT('Retail Store Sales'!$D369,"mmm")</f>
        <v>Nov</v>
      </c>
      <c r="M369" s="16" t="str">
        <f>TEXT('Retail Store Sales'!$D369,"dddd")</f>
        <v>Sunday</v>
      </c>
      <c r="N369" s="24">
        <f t="shared" si="5"/>
        <v>9</v>
      </c>
      <c r="O369" s="16">
        <f>ROUND('Retail Store Sales'!$F369*'Retail Store Sales'!$G369*_xlfn.XLOOKUP('Retail Store Sales'!$C369,Table2[Product Name],Table2[Cost Percentage],0),0)</f>
        <v>548</v>
      </c>
      <c r="P369" s="16">
        <f>'Retail Store Sales'!$F369*'Retail Store Sales'!$G369</f>
        <v>1096</v>
      </c>
      <c r="Q369" s="12">
        <f>P369-Table1[[#This Row],[Total cost]]</f>
        <v>548</v>
      </c>
    </row>
    <row r="370" spans="1:17" x14ac:dyDescent="0.45">
      <c r="A370" s="12" t="s">
        <v>414</v>
      </c>
      <c r="B370" s="12" t="s">
        <v>11</v>
      </c>
      <c r="C370" s="12" t="s">
        <v>26</v>
      </c>
      <c r="D370" s="13">
        <v>45895</v>
      </c>
      <c r="E370" s="13">
        <v>45898</v>
      </c>
      <c r="F370" s="12">
        <v>2</v>
      </c>
      <c r="G370" s="12">
        <v>968</v>
      </c>
      <c r="H370" s="12" t="s">
        <v>27</v>
      </c>
      <c r="I370" s="12" t="s">
        <v>550</v>
      </c>
      <c r="J370" s="12" t="s">
        <v>45</v>
      </c>
      <c r="K370" s="14" t="str">
        <f>TEXT('Retail Store Sales'!$D370,"yyyy")</f>
        <v>2025</v>
      </c>
      <c r="L370" s="11" t="str">
        <f>TEXT('Retail Store Sales'!$D370,"mmm")</f>
        <v>Aug</v>
      </c>
      <c r="M370" s="12" t="str">
        <f>TEXT('Retail Store Sales'!$D370,"dddd")</f>
        <v>Tuesday</v>
      </c>
      <c r="N370" s="23">
        <f t="shared" si="5"/>
        <v>3</v>
      </c>
      <c r="O370" s="16">
        <f>ROUND('Retail Store Sales'!$F370*'Retail Store Sales'!$G370*_xlfn.XLOOKUP('Retail Store Sales'!$C370,Table2[Product Name],Table2[Cost Percentage],0),0)</f>
        <v>1258</v>
      </c>
      <c r="P370" s="12">
        <f>'Retail Store Sales'!$F370*'Retail Store Sales'!$G370</f>
        <v>1936</v>
      </c>
      <c r="Q370" s="12">
        <f>P370-Table1[[#This Row],[Total cost]]</f>
        <v>678</v>
      </c>
    </row>
    <row r="371" spans="1:17" x14ac:dyDescent="0.45">
      <c r="A371" s="16" t="s">
        <v>415</v>
      </c>
      <c r="B371" s="16" t="s">
        <v>23</v>
      </c>
      <c r="C371" s="16" t="s">
        <v>69</v>
      </c>
      <c r="D371" s="17">
        <v>45913</v>
      </c>
      <c r="E371" s="17">
        <v>45922</v>
      </c>
      <c r="F371" s="16">
        <v>9</v>
      </c>
      <c r="G371" s="16">
        <v>605</v>
      </c>
      <c r="H371" s="16" t="s">
        <v>27</v>
      </c>
      <c r="I371" s="16" t="s">
        <v>549</v>
      </c>
      <c r="J371" s="16" t="s">
        <v>45</v>
      </c>
      <c r="K371" s="18" t="str">
        <f>TEXT('Retail Store Sales'!$D371,"yyyy")</f>
        <v>2025</v>
      </c>
      <c r="L371" s="15" t="str">
        <f>TEXT('Retail Store Sales'!$D371,"mmm")</f>
        <v>Sep</v>
      </c>
      <c r="M371" s="16" t="str">
        <f>TEXT('Retail Store Sales'!$D371,"dddd")</f>
        <v>Saturday</v>
      </c>
      <c r="N371" s="24">
        <f t="shared" si="5"/>
        <v>9</v>
      </c>
      <c r="O371" s="16">
        <f>ROUND('Retail Store Sales'!$F371*'Retail Store Sales'!$G371*_xlfn.XLOOKUP('Retail Store Sales'!$C371,Table2[Product Name],Table2[Cost Percentage],0),0)</f>
        <v>2995</v>
      </c>
      <c r="P371" s="16">
        <f>'Retail Store Sales'!$F371*'Retail Store Sales'!$G371</f>
        <v>5445</v>
      </c>
      <c r="Q371" s="12">
        <f>P371-Table1[[#This Row],[Total cost]]</f>
        <v>2450</v>
      </c>
    </row>
    <row r="372" spans="1:17" x14ac:dyDescent="0.45">
      <c r="A372" s="12" t="s">
        <v>416</v>
      </c>
      <c r="B372" s="12" t="s">
        <v>23</v>
      </c>
      <c r="C372" s="12" t="s">
        <v>24</v>
      </c>
      <c r="D372" s="13">
        <v>45932</v>
      </c>
      <c r="E372" s="13">
        <v>45942</v>
      </c>
      <c r="F372" s="12">
        <v>5</v>
      </c>
      <c r="G372" s="12">
        <v>50</v>
      </c>
      <c r="H372" s="12" t="s">
        <v>27</v>
      </c>
      <c r="I372" s="12" t="s">
        <v>546</v>
      </c>
      <c r="J372" s="12" t="s">
        <v>18</v>
      </c>
      <c r="K372" s="14" t="str">
        <f>TEXT('Retail Store Sales'!$D372,"yyyy")</f>
        <v>2025</v>
      </c>
      <c r="L372" s="11" t="str">
        <f>TEXT('Retail Store Sales'!$D372,"mmm")</f>
        <v>Oct</v>
      </c>
      <c r="M372" s="12" t="str">
        <f>TEXT('Retail Store Sales'!$D372,"dddd")</f>
        <v>Thursday</v>
      </c>
      <c r="N372" s="23">
        <f t="shared" si="5"/>
        <v>10</v>
      </c>
      <c r="O372" s="16">
        <f>ROUND('Retail Store Sales'!$F372*'Retail Store Sales'!$G372*_xlfn.XLOOKUP('Retail Store Sales'!$C372,Table2[Product Name],Table2[Cost Percentage],0),0)</f>
        <v>138</v>
      </c>
      <c r="P372" s="12">
        <f>'Retail Store Sales'!$F372*'Retail Store Sales'!$G372</f>
        <v>250</v>
      </c>
      <c r="Q372" s="12">
        <f>P372-Table1[[#This Row],[Total cost]]</f>
        <v>112</v>
      </c>
    </row>
    <row r="373" spans="1:17" x14ac:dyDescent="0.45">
      <c r="A373" s="16" t="s">
        <v>417</v>
      </c>
      <c r="B373" s="16" t="s">
        <v>11</v>
      </c>
      <c r="C373" s="16" t="s">
        <v>12</v>
      </c>
      <c r="D373" s="17">
        <v>46003</v>
      </c>
      <c r="E373" s="17">
        <v>46014</v>
      </c>
      <c r="F373" s="16">
        <v>9</v>
      </c>
      <c r="G373" s="16">
        <v>647</v>
      </c>
      <c r="H373" s="16" t="s">
        <v>13</v>
      </c>
      <c r="I373" s="16" t="s">
        <v>548</v>
      </c>
      <c r="J373" s="16" t="s">
        <v>28</v>
      </c>
      <c r="K373" s="18" t="str">
        <f>TEXT('Retail Store Sales'!$D373,"yyyy")</f>
        <v>2025</v>
      </c>
      <c r="L373" s="15" t="str">
        <f>TEXT('Retail Store Sales'!$D373,"mmm")</f>
        <v>Dec</v>
      </c>
      <c r="M373" s="16" t="str">
        <f>TEXT('Retail Store Sales'!$D373,"dddd")</f>
        <v>Friday</v>
      </c>
      <c r="N373" s="24">
        <f t="shared" si="5"/>
        <v>11</v>
      </c>
      <c r="O373" s="16">
        <f>ROUND('Retail Store Sales'!$F373*'Retail Store Sales'!$G373*_xlfn.XLOOKUP('Retail Store Sales'!$C373,Table2[Product Name],Table2[Cost Percentage],0),0)</f>
        <v>4367</v>
      </c>
      <c r="P373" s="16">
        <f>'Retail Store Sales'!$F373*'Retail Store Sales'!$G373</f>
        <v>5823</v>
      </c>
      <c r="Q373" s="12">
        <f>P373-Table1[[#This Row],[Total cost]]</f>
        <v>1456</v>
      </c>
    </row>
    <row r="374" spans="1:17" x14ac:dyDescent="0.45">
      <c r="A374" s="12" t="s">
        <v>418</v>
      </c>
      <c r="B374" s="12" t="s">
        <v>20</v>
      </c>
      <c r="C374" s="12" t="s">
        <v>82</v>
      </c>
      <c r="D374" s="13">
        <v>45790</v>
      </c>
      <c r="E374" s="13">
        <v>45793</v>
      </c>
      <c r="F374" s="12">
        <v>10</v>
      </c>
      <c r="G374" s="12">
        <v>253</v>
      </c>
      <c r="H374" s="12" t="s">
        <v>13</v>
      </c>
      <c r="I374" s="12" t="s">
        <v>548</v>
      </c>
      <c r="J374" s="12" t="s">
        <v>18</v>
      </c>
      <c r="K374" s="14" t="str">
        <f>TEXT('Retail Store Sales'!$D374,"yyyy")</f>
        <v>2025</v>
      </c>
      <c r="L374" s="11" t="str">
        <f>TEXT('Retail Store Sales'!$D374,"mmm")</f>
        <v>May</v>
      </c>
      <c r="M374" s="12" t="str">
        <f>TEXT('Retail Store Sales'!$D374,"dddd")</f>
        <v>Tuesday</v>
      </c>
      <c r="N374" s="23">
        <f t="shared" si="5"/>
        <v>3</v>
      </c>
      <c r="O374" s="16">
        <f>ROUND('Retail Store Sales'!$F374*'Retail Store Sales'!$G374*_xlfn.XLOOKUP('Retail Store Sales'!$C374,Table2[Product Name],Table2[Cost Percentage],0),0)</f>
        <v>2024</v>
      </c>
      <c r="P374" s="12">
        <f>'Retail Store Sales'!$F374*'Retail Store Sales'!$G374</f>
        <v>2530</v>
      </c>
      <c r="Q374" s="12">
        <f>P374-Table1[[#This Row],[Total cost]]</f>
        <v>506</v>
      </c>
    </row>
    <row r="375" spans="1:17" x14ac:dyDescent="0.45">
      <c r="A375" s="16" t="s">
        <v>419</v>
      </c>
      <c r="B375" s="16" t="s">
        <v>16</v>
      </c>
      <c r="C375" s="16" t="s">
        <v>43</v>
      </c>
      <c r="D375" s="17">
        <v>45821</v>
      </c>
      <c r="E375" s="17">
        <v>45828</v>
      </c>
      <c r="F375" s="16">
        <v>10</v>
      </c>
      <c r="G375" s="16">
        <v>525</v>
      </c>
      <c r="H375" s="16" t="s">
        <v>27</v>
      </c>
      <c r="I375" s="16" t="s">
        <v>548</v>
      </c>
      <c r="J375" s="16" t="s">
        <v>45</v>
      </c>
      <c r="K375" s="18" t="str">
        <f>TEXT('Retail Store Sales'!$D375,"yyyy")</f>
        <v>2025</v>
      </c>
      <c r="L375" s="15" t="str">
        <f>TEXT('Retail Store Sales'!$D375,"mmm")</f>
        <v>Jun</v>
      </c>
      <c r="M375" s="16" t="str">
        <f>TEXT('Retail Store Sales'!$D375,"dddd")</f>
        <v>Friday</v>
      </c>
      <c r="N375" s="24">
        <f t="shared" si="5"/>
        <v>7</v>
      </c>
      <c r="O375" s="16">
        <f>ROUND('Retail Store Sales'!$F375*'Retail Store Sales'!$G375*_xlfn.XLOOKUP('Retail Store Sales'!$C375,Table2[Product Name],Table2[Cost Percentage],0),0)</f>
        <v>3150</v>
      </c>
      <c r="P375" s="16">
        <f>'Retail Store Sales'!$F375*'Retail Store Sales'!$G375</f>
        <v>5250</v>
      </c>
      <c r="Q375" s="12">
        <f>P375-Table1[[#This Row],[Total cost]]</f>
        <v>2100</v>
      </c>
    </row>
    <row r="376" spans="1:17" x14ac:dyDescent="0.45">
      <c r="A376" s="12" t="s">
        <v>420</v>
      </c>
      <c r="B376" s="12" t="s">
        <v>20</v>
      </c>
      <c r="C376" s="12" t="s">
        <v>53</v>
      </c>
      <c r="D376" s="13">
        <v>45704</v>
      </c>
      <c r="E376" s="13">
        <v>45710</v>
      </c>
      <c r="F376" s="12">
        <v>6</v>
      </c>
      <c r="G376" s="12">
        <v>678</v>
      </c>
      <c r="H376" s="12" t="s">
        <v>27</v>
      </c>
      <c r="I376" s="12" t="s">
        <v>550</v>
      </c>
      <c r="J376" s="12" t="s">
        <v>45</v>
      </c>
      <c r="K376" s="14" t="str">
        <f>TEXT('Retail Store Sales'!$D376,"yyyy")</f>
        <v>2025</v>
      </c>
      <c r="L376" s="11" t="str">
        <f>TEXT('Retail Store Sales'!$D376,"mmm")</f>
        <v>Feb</v>
      </c>
      <c r="M376" s="12" t="str">
        <f>TEXT('Retail Store Sales'!$D376,"dddd")</f>
        <v>Sunday</v>
      </c>
      <c r="N376" s="23">
        <f t="shared" si="5"/>
        <v>6</v>
      </c>
      <c r="O376" s="16">
        <f>ROUND('Retail Store Sales'!$F376*'Retail Store Sales'!$G376*_xlfn.XLOOKUP('Retail Store Sales'!$C376,Table2[Product Name],Table2[Cost Percentage],0),0)</f>
        <v>2848</v>
      </c>
      <c r="P376" s="12">
        <f>'Retail Store Sales'!$F376*'Retail Store Sales'!$G376</f>
        <v>4068</v>
      </c>
      <c r="Q376" s="12">
        <f>P376-Table1[[#This Row],[Total cost]]</f>
        <v>1220</v>
      </c>
    </row>
    <row r="377" spans="1:17" x14ac:dyDescent="0.45">
      <c r="A377" s="16" t="s">
        <v>421</v>
      </c>
      <c r="B377" s="16" t="s">
        <v>20</v>
      </c>
      <c r="C377" s="16" t="s">
        <v>53</v>
      </c>
      <c r="D377" s="17">
        <v>45905</v>
      </c>
      <c r="E377" s="17">
        <v>45907</v>
      </c>
      <c r="F377" s="16">
        <v>6</v>
      </c>
      <c r="G377" s="16">
        <v>117</v>
      </c>
      <c r="H377" s="16" t="s">
        <v>13</v>
      </c>
      <c r="I377" s="16" t="s">
        <v>546</v>
      </c>
      <c r="J377" s="16" t="s">
        <v>14</v>
      </c>
      <c r="K377" s="18" t="str">
        <f>TEXT('Retail Store Sales'!$D377,"yyyy")</f>
        <v>2025</v>
      </c>
      <c r="L377" s="15" t="str">
        <f>TEXT('Retail Store Sales'!$D377,"mmm")</f>
        <v>Sep</v>
      </c>
      <c r="M377" s="16" t="str">
        <f>TEXT('Retail Store Sales'!$D377,"dddd")</f>
        <v>Friday</v>
      </c>
      <c r="N377" s="24">
        <f t="shared" si="5"/>
        <v>2</v>
      </c>
      <c r="O377" s="16">
        <f>ROUND('Retail Store Sales'!$F377*'Retail Store Sales'!$G377*_xlfn.XLOOKUP('Retail Store Sales'!$C377,Table2[Product Name],Table2[Cost Percentage],0),0)</f>
        <v>491</v>
      </c>
      <c r="P377" s="16">
        <f>'Retail Store Sales'!$F377*'Retail Store Sales'!$G377</f>
        <v>702</v>
      </c>
      <c r="Q377" s="12">
        <f>P377-Table1[[#This Row],[Total cost]]</f>
        <v>211</v>
      </c>
    </row>
    <row r="378" spans="1:17" x14ac:dyDescent="0.45">
      <c r="A378" s="12" t="s">
        <v>422</v>
      </c>
      <c r="B378" s="12" t="s">
        <v>20</v>
      </c>
      <c r="C378" s="12" t="s">
        <v>53</v>
      </c>
      <c r="D378" s="13">
        <v>45701</v>
      </c>
      <c r="E378" s="13">
        <v>45715</v>
      </c>
      <c r="F378" s="12">
        <v>3</v>
      </c>
      <c r="G378" s="12">
        <v>262</v>
      </c>
      <c r="H378" s="12" t="s">
        <v>27</v>
      </c>
      <c r="I378" s="12" t="s">
        <v>549</v>
      </c>
      <c r="J378" s="12" t="s">
        <v>18</v>
      </c>
      <c r="K378" s="14" t="str">
        <f>TEXT('Retail Store Sales'!$D378,"yyyy")</f>
        <v>2025</v>
      </c>
      <c r="L378" s="11" t="str">
        <f>TEXT('Retail Store Sales'!$D378,"mmm")</f>
        <v>Feb</v>
      </c>
      <c r="M378" s="12" t="str">
        <f>TEXT('Retail Store Sales'!$D378,"dddd")</f>
        <v>Thursday</v>
      </c>
      <c r="N378" s="23">
        <f t="shared" si="5"/>
        <v>14</v>
      </c>
      <c r="O378" s="16">
        <f>ROUND('Retail Store Sales'!$F378*'Retail Store Sales'!$G378*_xlfn.XLOOKUP('Retail Store Sales'!$C378,Table2[Product Name],Table2[Cost Percentage],0),0)</f>
        <v>550</v>
      </c>
      <c r="P378" s="12">
        <f>'Retail Store Sales'!$F378*'Retail Store Sales'!$G378</f>
        <v>786</v>
      </c>
      <c r="Q378" s="12">
        <f>P378-Table1[[#This Row],[Total cost]]</f>
        <v>236</v>
      </c>
    </row>
    <row r="379" spans="1:17" x14ac:dyDescent="0.45">
      <c r="A379" s="16" t="s">
        <v>423</v>
      </c>
      <c r="B379" s="16" t="s">
        <v>23</v>
      </c>
      <c r="C379" s="16" t="s">
        <v>69</v>
      </c>
      <c r="D379" s="17">
        <v>45848</v>
      </c>
      <c r="E379" s="17">
        <v>45856</v>
      </c>
      <c r="F379" s="16">
        <v>8</v>
      </c>
      <c r="G379" s="16">
        <v>360</v>
      </c>
      <c r="H379" s="16" t="s">
        <v>27</v>
      </c>
      <c r="I379" s="16" t="s">
        <v>549</v>
      </c>
      <c r="J379" s="16" t="s">
        <v>28</v>
      </c>
      <c r="K379" s="18" t="str">
        <f>TEXT('Retail Store Sales'!$D379,"yyyy")</f>
        <v>2025</v>
      </c>
      <c r="L379" s="15" t="str">
        <f>TEXT('Retail Store Sales'!$D379,"mmm")</f>
        <v>Jul</v>
      </c>
      <c r="M379" s="16" t="str">
        <f>TEXT('Retail Store Sales'!$D379,"dddd")</f>
        <v>Thursday</v>
      </c>
      <c r="N379" s="24">
        <f t="shared" si="5"/>
        <v>8</v>
      </c>
      <c r="O379" s="16">
        <f>ROUND('Retail Store Sales'!$F379*'Retail Store Sales'!$G379*_xlfn.XLOOKUP('Retail Store Sales'!$C379,Table2[Product Name],Table2[Cost Percentage],0),0)</f>
        <v>1584</v>
      </c>
      <c r="P379" s="16">
        <f>'Retail Store Sales'!$F379*'Retail Store Sales'!$G379</f>
        <v>2880</v>
      </c>
      <c r="Q379" s="12">
        <f>P379-Table1[[#This Row],[Total cost]]</f>
        <v>1296</v>
      </c>
    </row>
    <row r="380" spans="1:17" x14ac:dyDescent="0.45">
      <c r="A380" s="12" t="s">
        <v>424</v>
      </c>
      <c r="B380" s="12" t="s">
        <v>23</v>
      </c>
      <c r="C380" s="12" t="s">
        <v>37</v>
      </c>
      <c r="D380" s="13">
        <v>45952</v>
      </c>
      <c r="E380" s="13">
        <v>45953</v>
      </c>
      <c r="F380" s="12">
        <v>10</v>
      </c>
      <c r="G380" s="12">
        <v>279</v>
      </c>
      <c r="H380" s="12" t="s">
        <v>13</v>
      </c>
      <c r="I380" s="12" t="s">
        <v>548</v>
      </c>
      <c r="J380" s="12" t="s">
        <v>45</v>
      </c>
      <c r="K380" s="14" t="str">
        <f>TEXT('Retail Store Sales'!$D380,"yyyy")</f>
        <v>2025</v>
      </c>
      <c r="L380" s="11" t="str">
        <f>TEXT('Retail Store Sales'!$D380,"mmm")</f>
        <v>Oct</v>
      </c>
      <c r="M380" s="12" t="str">
        <f>TEXT('Retail Store Sales'!$D380,"dddd")</f>
        <v>Wednesday</v>
      </c>
      <c r="N380" s="23">
        <f t="shared" si="5"/>
        <v>1</v>
      </c>
      <c r="O380" s="16">
        <f>ROUND('Retail Store Sales'!$F380*'Retail Store Sales'!$G380*_xlfn.XLOOKUP('Retail Store Sales'!$C380,Table2[Product Name],Table2[Cost Percentage],0),0)</f>
        <v>1395</v>
      </c>
      <c r="P380" s="12">
        <f>'Retail Store Sales'!$F380*'Retail Store Sales'!$G380</f>
        <v>2790</v>
      </c>
      <c r="Q380" s="12">
        <f>P380-Table1[[#This Row],[Total cost]]</f>
        <v>1395</v>
      </c>
    </row>
    <row r="381" spans="1:17" x14ac:dyDescent="0.45">
      <c r="A381" s="16" t="s">
        <v>425</v>
      </c>
      <c r="B381" s="16" t="s">
        <v>16</v>
      </c>
      <c r="C381" s="16" t="s">
        <v>63</v>
      </c>
      <c r="D381" s="17">
        <v>45675</v>
      </c>
      <c r="E381" s="17">
        <v>45678</v>
      </c>
      <c r="F381" s="16">
        <v>4</v>
      </c>
      <c r="G381" s="16">
        <v>801</v>
      </c>
      <c r="H381" s="16" t="s">
        <v>13</v>
      </c>
      <c r="I381" s="16" t="s">
        <v>549</v>
      </c>
      <c r="J381" s="16" t="s">
        <v>14</v>
      </c>
      <c r="K381" s="18" t="str">
        <f>TEXT('Retail Store Sales'!$D381,"yyyy")</f>
        <v>2025</v>
      </c>
      <c r="L381" s="15" t="str">
        <f>TEXT('Retail Store Sales'!$D381,"mmm")</f>
        <v>Jan</v>
      </c>
      <c r="M381" s="16" t="str">
        <f>TEXT('Retail Store Sales'!$D381,"dddd")</f>
        <v>Saturday</v>
      </c>
      <c r="N381" s="24">
        <f t="shared" si="5"/>
        <v>3</v>
      </c>
      <c r="O381" s="16">
        <f>ROUND('Retail Store Sales'!$F381*'Retail Store Sales'!$G381*_xlfn.XLOOKUP('Retail Store Sales'!$C381,Table2[Product Name],Table2[Cost Percentage],0),0)</f>
        <v>1602</v>
      </c>
      <c r="P381" s="16">
        <f>'Retail Store Sales'!$F381*'Retail Store Sales'!$G381</f>
        <v>3204</v>
      </c>
      <c r="Q381" s="12">
        <f>P381-Table1[[#This Row],[Total cost]]</f>
        <v>1602</v>
      </c>
    </row>
    <row r="382" spans="1:17" x14ac:dyDescent="0.45">
      <c r="A382" s="12" t="s">
        <v>426</v>
      </c>
      <c r="B382" s="12" t="s">
        <v>30</v>
      </c>
      <c r="C382" s="12" t="s">
        <v>75</v>
      </c>
      <c r="D382" s="13">
        <v>45989</v>
      </c>
      <c r="E382" s="13">
        <v>45993</v>
      </c>
      <c r="F382" s="12">
        <v>4</v>
      </c>
      <c r="G382" s="12">
        <v>346</v>
      </c>
      <c r="H382" s="12" t="s">
        <v>27</v>
      </c>
      <c r="I382" s="12" t="s">
        <v>550</v>
      </c>
      <c r="J382" s="12" t="s">
        <v>28</v>
      </c>
      <c r="K382" s="14" t="str">
        <f>TEXT('Retail Store Sales'!$D382,"yyyy")</f>
        <v>2025</v>
      </c>
      <c r="L382" s="11" t="str">
        <f>TEXT('Retail Store Sales'!$D382,"mmm")</f>
        <v>Nov</v>
      </c>
      <c r="M382" s="12" t="str">
        <f>TEXT('Retail Store Sales'!$D382,"dddd")</f>
        <v>Friday</v>
      </c>
      <c r="N382" s="23">
        <f t="shared" si="5"/>
        <v>4</v>
      </c>
      <c r="O382" s="16">
        <f>ROUND('Retail Store Sales'!$F382*'Retail Store Sales'!$G382*_xlfn.XLOOKUP('Retail Store Sales'!$C382,Table2[Product Name],Table2[Cost Percentage],0),0)</f>
        <v>1038</v>
      </c>
      <c r="P382" s="12">
        <f>'Retail Store Sales'!$F382*'Retail Store Sales'!$G382</f>
        <v>1384</v>
      </c>
      <c r="Q382" s="12">
        <f>P382-Table1[[#This Row],[Total cost]]</f>
        <v>346</v>
      </c>
    </row>
    <row r="383" spans="1:17" x14ac:dyDescent="0.45">
      <c r="A383" s="16" t="s">
        <v>427</v>
      </c>
      <c r="B383" s="16" t="s">
        <v>20</v>
      </c>
      <c r="C383" s="16" t="s">
        <v>53</v>
      </c>
      <c r="D383" s="17">
        <v>45695</v>
      </c>
      <c r="E383" s="17">
        <v>45706</v>
      </c>
      <c r="F383" s="16">
        <v>5</v>
      </c>
      <c r="G383" s="16">
        <v>215</v>
      </c>
      <c r="H383" s="16" t="s">
        <v>27</v>
      </c>
      <c r="I383" s="16" t="s">
        <v>32</v>
      </c>
      <c r="J383" s="16" t="s">
        <v>18</v>
      </c>
      <c r="K383" s="18" t="str">
        <f>TEXT('Retail Store Sales'!$D383,"yyyy")</f>
        <v>2025</v>
      </c>
      <c r="L383" s="15" t="str">
        <f>TEXT('Retail Store Sales'!$D383,"mmm")</f>
        <v>Feb</v>
      </c>
      <c r="M383" s="16" t="str">
        <f>TEXT('Retail Store Sales'!$D383,"dddd")</f>
        <v>Friday</v>
      </c>
      <c r="N383" s="24">
        <f t="shared" si="5"/>
        <v>11</v>
      </c>
      <c r="O383" s="16">
        <f>ROUND('Retail Store Sales'!$F383*'Retail Store Sales'!$G383*_xlfn.XLOOKUP('Retail Store Sales'!$C383,Table2[Product Name],Table2[Cost Percentage],0),0)</f>
        <v>753</v>
      </c>
      <c r="P383" s="16">
        <f>'Retail Store Sales'!$F383*'Retail Store Sales'!$G383</f>
        <v>1075</v>
      </c>
      <c r="Q383" s="12">
        <f>P383-Table1[[#This Row],[Total cost]]</f>
        <v>322</v>
      </c>
    </row>
    <row r="384" spans="1:17" x14ac:dyDescent="0.45">
      <c r="A384" s="12" t="s">
        <v>428</v>
      </c>
      <c r="B384" s="12" t="s">
        <v>11</v>
      </c>
      <c r="C384" s="12" t="s">
        <v>57</v>
      </c>
      <c r="D384" s="13">
        <v>45764</v>
      </c>
      <c r="E384" s="13">
        <v>45769</v>
      </c>
      <c r="F384" s="12">
        <v>9</v>
      </c>
      <c r="G384" s="12">
        <v>860</v>
      </c>
      <c r="H384" s="12" t="s">
        <v>13</v>
      </c>
      <c r="I384" s="12" t="s">
        <v>546</v>
      </c>
      <c r="J384" s="12" t="s">
        <v>45</v>
      </c>
      <c r="K384" s="14" t="str">
        <f>TEXT('Retail Store Sales'!$D384,"yyyy")</f>
        <v>2025</v>
      </c>
      <c r="L384" s="11" t="str">
        <f>TEXT('Retail Store Sales'!$D384,"mmm")</f>
        <v>Apr</v>
      </c>
      <c r="M384" s="12" t="str">
        <f>TEXT('Retail Store Sales'!$D384,"dddd")</f>
        <v>Thursday</v>
      </c>
      <c r="N384" s="23">
        <f t="shared" si="5"/>
        <v>5</v>
      </c>
      <c r="O384" s="16">
        <f>ROUND('Retail Store Sales'!$F384*'Retail Store Sales'!$G384*_xlfn.XLOOKUP('Retail Store Sales'!$C384,Table2[Product Name],Table2[Cost Percentage],0),0)</f>
        <v>6579</v>
      </c>
      <c r="P384" s="12">
        <f>'Retail Store Sales'!$F384*'Retail Store Sales'!$G384</f>
        <v>7740</v>
      </c>
      <c r="Q384" s="12">
        <f>P384-Table1[[#This Row],[Total cost]]</f>
        <v>1161</v>
      </c>
    </row>
    <row r="385" spans="1:17" x14ac:dyDescent="0.45">
      <c r="A385" s="16" t="s">
        <v>429</v>
      </c>
      <c r="B385" s="16" t="s">
        <v>20</v>
      </c>
      <c r="C385" s="16" t="s">
        <v>21</v>
      </c>
      <c r="D385" s="17">
        <v>45695</v>
      </c>
      <c r="E385" s="17">
        <v>45704</v>
      </c>
      <c r="F385" s="16">
        <v>2</v>
      </c>
      <c r="G385" s="16">
        <v>461</v>
      </c>
      <c r="H385" s="16" t="s">
        <v>27</v>
      </c>
      <c r="I385" s="16" t="s">
        <v>548</v>
      </c>
      <c r="J385" s="16" t="s">
        <v>18</v>
      </c>
      <c r="K385" s="18" t="str">
        <f>TEXT('Retail Store Sales'!$D385,"yyyy")</f>
        <v>2025</v>
      </c>
      <c r="L385" s="15" t="str">
        <f>TEXT('Retail Store Sales'!$D385,"mmm")</f>
        <v>Feb</v>
      </c>
      <c r="M385" s="16" t="str">
        <f>TEXT('Retail Store Sales'!$D385,"dddd")</f>
        <v>Friday</v>
      </c>
      <c r="N385" s="24">
        <f t="shared" si="5"/>
        <v>9</v>
      </c>
      <c r="O385" s="16">
        <f>ROUND('Retail Store Sales'!$F385*'Retail Store Sales'!$G385*_xlfn.XLOOKUP('Retail Store Sales'!$C385,Table2[Product Name],Table2[Cost Percentage],0),0)</f>
        <v>692</v>
      </c>
      <c r="P385" s="16">
        <f>'Retail Store Sales'!$F385*'Retail Store Sales'!$G385</f>
        <v>922</v>
      </c>
      <c r="Q385" s="12">
        <f>P385-Table1[[#This Row],[Total cost]]</f>
        <v>230</v>
      </c>
    </row>
    <row r="386" spans="1:17" x14ac:dyDescent="0.45">
      <c r="A386" s="12" t="s">
        <v>430</v>
      </c>
      <c r="B386" s="12" t="s">
        <v>23</v>
      </c>
      <c r="C386" s="12" t="s">
        <v>24</v>
      </c>
      <c r="D386" s="13">
        <v>45988</v>
      </c>
      <c r="E386" s="13">
        <v>45997</v>
      </c>
      <c r="F386" s="12">
        <v>7</v>
      </c>
      <c r="G386" s="12">
        <v>579</v>
      </c>
      <c r="H386" s="12" t="s">
        <v>13</v>
      </c>
      <c r="I386" s="12" t="s">
        <v>550</v>
      </c>
      <c r="J386" s="12" t="s">
        <v>45</v>
      </c>
      <c r="K386" s="14" t="str">
        <f>TEXT('Retail Store Sales'!$D386,"yyyy")</f>
        <v>2025</v>
      </c>
      <c r="L386" s="11" t="str">
        <f>TEXT('Retail Store Sales'!$D386,"mmm")</f>
        <v>Nov</v>
      </c>
      <c r="M386" s="12" t="str">
        <f>TEXT('Retail Store Sales'!$D386,"dddd")</f>
        <v>Thursday</v>
      </c>
      <c r="N386" s="23">
        <f t="shared" ref="N386:N449" si="6">DATEDIF(D386,E386,"D")</f>
        <v>9</v>
      </c>
      <c r="O386" s="16">
        <f>ROUND('Retail Store Sales'!$F386*'Retail Store Sales'!$G386*_xlfn.XLOOKUP('Retail Store Sales'!$C386,Table2[Product Name],Table2[Cost Percentage],0),0)</f>
        <v>2229</v>
      </c>
      <c r="P386" s="12">
        <f>'Retail Store Sales'!$F386*'Retail Store Sales'!$G386</f>
        <v>4053</v>
      </c>
      <c r="Q386" s="12">
        <f>P386-Table1[[#This Row],[Total cost]]</f>
        <v>1824</v>
      </c>
    </row>
    <row r="387" spans="1:17" x14ac:dyDescent="0.45">
      <c r="A387" s="16" t="s">
        <v>431</v>
      </c>
      <c r="B387" s="16" t="s">
        <v>11</v>
      </c>
      <c r="C387" s="16" t="s">
        <v>12</v>
      </c>
      <c r="D387" s="17">
        <v>45949</v>
      </c>
      <c r="E387" s="17">
        <v>45953</v>
      </c>
      <c r="F387" s="16">
        <v>3</v>
      </c>
      <c r="G387" s="16">
        <v>982</v>
      </c>
      <c r="H387" s="16" t="s">
        <v>27</v>
      </c>
      <c r="I387" s="16" t="s">
        <v>550</v>
      </c>
      <c r="J387" s="16" t="s">
        <v>45</v>
      </c>
      <c r="K387" s="18" t="str">
        <f>TEXT('Retail Store Sales'!$D387,"yyyy")</f>
        <v>2025</v>
      </c>
      <c r="L387" s="15" t="str">
        <f>TEXT('Retail Store Sales'!$D387,"mmm")</f>
        <v>Oct</v>
      </c>
      <c r="M387" s="16" t="str">
        <f>TEXT('Retail Store Sales'!$D387,"dddd")</f>
        <v>Sunday</v>
      </c>
      <c r="N387" s="24">
        <f t="shared" si="6"/>
        <v>4</v>
      </c>
      <c r="O387" s="16">
        <f>ROUND('Retail Store Sales'!$F387*'Retail Store Sales'!$G387*_xlfn.XLOOKUP('Retail Store Sales'!$C387,Table2[Product Name],Table2[Cost Percentage],0),0)</f>
        <v>2210</v>
      </c>
      <c r="P387" s="16">
        <f>'Retail Store Sales'!$F387*'Retail Store Sales'!$G387</f>
        <v>2946</v>
      </c>
      <c r="Q387" s="12">
        <f>P387-Table1[[#This Row],[Total cost]]</f>
        <v>736</v>
      </c>
    </row>
    <row r="388" spans="1:17" x14ac:dyDescent="0.45">
      <c r="A388" s="12" t="s">
        <v>432</v>
      </c>
      <c r="B388" s="12" t="s">
        <v>23</v>
      </c>
      <c r="C388" s="12" t="s">
        <v>69</v>
      </c>
      <c r="D388" s="13">
        <v>45842</v>
      </c>
      <c r="E388" s="13">
        <v>45849</v>
      </c>
      <c r="F388" s="12">
        <v>2</v>
      </c>
      <c r="G388" s="12">
        <v>969</v>
      </c>
      <c r="H388" s="12" t="s">
        <v>13</v>
      </c>
      <c r="I388" s="12" t="s">
        <v>32</v>
      </c>
      <c r="J388" s="12" t="s">
        <v>45</v>
      </c>
      <c r="K388" s="14" t="str">
        <f>TEXT('Retail Store Sales'!$D388,"yyyy")</f>
        <v>2025</v>
      </c>
      <c r="L388" s="11" t="str">
        <f>TEXT('Retail Store Sales'!$D388,"mmm")</f>
        <v>Jul</v>
      </c>
      <c r="M388" s="12" t="str">
        <f>TEXT('Retail Store Sales'!$D388,"dddd")</f>
        <v>Friday</v>
      </c>
      <c r="N388" s="23">
        <f t="shared" si="6"/>
        <v>7</v>
      </c>
      <c r="O388" s="16">
        <f>ROUND('Retail Store Sales'!$F388*'Retail Store Sales'!$G388*_xlfn.XLOOKUP('Retail Store Sales'!$C388,Table2[Product Name],Table2[Cost Percentage],0),0)</f>
        <v>1066</v>
      </c>
      <c r="P388" s="12">
        <f>'Retail Store Sales'!$F388*'Retail Store Sales'!$G388</f>
        <v>1938</v>
      </c>
      <c r="Q388" s="12">
        <f>P388-Table1[[#This Row],[Total cost]]</f>
        <v>872</v>
      </c>
    </row>
    <row r="389" spans="1:17" x14ac:dyDescent="0.45">
      <c r="A389" s="16" t="s">
        <v>433</v>
      </c>
      <c r="B389" s="16" t="s">
        <v>16</v>
      </c>
      <c r="C389" s="16" t="s">
        <v>17</v>
      </c>
      <c r="D389" s="17">
        <v>45679</v>
      </c>
      <c r="E389" s="17">
        <v>45686</v>
      </c>
      <c r="F389" s="16">
        <v>6</v>
      </c>
      <c r="G389" s="16">
        <v>563</v>
      </c>
      <c r="H389" s="16" t="s">
        <v>13</v>
      </c>
      <c r="I389" s="16" t="s">
        <v>550</v>
      </c>
      <c r="J389" s="16" t="s">
        <v>45</v>
      </c>
      <c r="K389" s="18" t="str">
        <f>TEXT('Retail Store Sales'!$D389,"yyyy")</f>
        <v>2025</v>
      </c>
      <c r="L389" s="15" t="str">
        <f>TEXT('Retail Store Sales'!$D389,"mmm")</f>
        <v>Jan</v>
      </c>
      <c r="M389" s="16" t="str">
        <f>TEXT('Retail Store Sales'!$D389,"dddd")</f>
        <v>Wednesday</v>
      </c>
      <c r="N389" s="24">
        <f t="shared" si="6"/>
        <v>7</v>
      </c>
      <c r="O389" s="16">
        <f>ROUND('Retail Store Sales'!$F389*'Retail Store Sales'!$G389*_xlfn.XLOOKUP('Retail Store Sales'!$C389,Table2[Product Name],Table2[Cost Percentage],0),0)</f>
        <v>1689</v>
      </c>
      <c r="P389" s="16">
        <f>'Retail Store Sales'!$F389*'Retail Store Sales'!$G389</f>
        <v>3378</v>
      </c>
      <c r="Q389" s="12">
        <f>P389-Table1[[#This Row],[Total cost]]</f>
        <v>1689</v>
      </c>
    </row>
    <row r="390" spans="1:17" x14ac:dyDescent="0.45">
      <c r="A390" s="12" t="s">
        <v>434</v>
      </c>
      <c r="B390" s="12" t="s">
        <v>20</v>
      </c>
      <c r="C390" s="12" t="s">
        <v>53</v>
      </c>
      <c r="D390" s="13">
        <v>45881</v>
      </c>
      <c r="E390" s="13">
        <v>45891</v>
      </c>
      <c r="F390" s="12">
        <v>7</v>
      </c>
      <c r="G390" s="12">
        <v>894</v>
      </c>
      <c r="H390" s="12" t="s">
        <v>13</v>
      </c>
      <c r="I390" s="12" t="s">
        <v>549</v>
      </c>
      <c r="J390" s="12" t="s">
        <v>14</v>
      </c>
      <c r="K390" s="14" t="str">
        <f>TEXT('Retail Store Sales'!$D390,"yyyy")</f>
        <v>2025</v>
      </c>
      <c r="L390" s="11" t="str">
        <f>TEXT('Retail Store Sales'!$D390,"mmm")</f>
        <v>Aug</v>
      </c>
      <c r="M390" s="12" t="str">
        <f>TEXT('Retail Store Sales'!$D390,"dddd")</f>
        <v>Tuesday</v>
      </c>
      <c r="N390" s="23">
        <f t="shared" si="6"/>
        <v>10</v>
      </c>
      <c r="O390" s="16">
        <f>ROUND('Retail Store Sales'!$F390*'Retail Store Sales'!$G390*_xlfn.XLOOKUP('Retail Store Sales'!$C390,Table2[Product Name],Table2[Cost Percentage],0),0)</f>
        <v>4381</v>
      </c>
      <c r="P390" s="12">
        <f>'Retail Store Sales'!$F390*'Retail Store Sales'!$G390</f>
        <v>6258</v>
      </c>
      <c r="Q390" s="12">
        <f>P390-Table1[[#This Row],[Total cost]]</f>
        <v>1877</v>
      </c>
    </row>
    <row r="391" spans="1:17" x14ac:dyDescent="0.45">
      <c r="A391" s="16" t="s">
        <v>435</v>
      </c>
      <c r="B391" s="16" t="s">
        <v>30</v>
      </c>
      <c r="C391" s="16" t="s">
        <v>75</v>
      </c>
      <c r="D391" s="17">
        <v>45881</v>
      </c>
      <c r="E391" s="17">
        <v>45882</v>
      </c>
      <c r="F391" s="16">
        <v>8</v>
      </c>
      <c r="G391" s="16">
        <v>177</v>
      </c>
      <c r="H391" s="16" t="s">
        <v>13</v>
      </c>
      <c r="I391" s="16" t="s">
        <v>550</v>
      </c>
      <c r="J391" s="16" t="s">
        <v>14</v>
      </c>
      <c r="K391" s="18" t="str">
        <f>TEXT('Retail Store Sales'!$D391,"yyyy")</f>
        <v>2025</v>
      </c>
      <c r="L391" s="15" t="str">
        <f>TEXT('Retail Store Sales'!$D391,"mmm")</f>
        <v>Aug</v>
      </c>
      <c r="M391" s="16" t="str">
        <f>TEXT('Retail Store Sales'!$D391,"dddd")</f>
        <v>Tuesday</v>
      </c>
      <c r="N391" s="24">
        <f t="shared" si="6"/>
        <v>1</v>
      </c>
      <c r="O391" s="16">
        <f>ROUND('Retail Store Sales'!$F391*'Retail Store Sales'!$G391*_xlfn.XLOOKUP('Retail Store Sales'!$C391,Table2[Product Name],Table2[Cost Percentage],0),0)</f>
        <v>1062</v>
      </c>
      <c r="P391" s="16">
        <f>'Retail Store Sales'!$F391*'Retail Store Sales'!$G391</f>
        <v>1416</v>
      </c>
      <c r="Q391" s="12">
        <f>P391-Table1[[#This Row],[Total cost]]</f>
        <v>354</v>
      </c>
    </row>
    <row r="392" spans="1:17" x14ac:dyDescent="0.45">
      <c r="A392" s="12" t="s">
        <v>436</v>
      </c>
      <c r="B392" s="12" t="s">
        <v>16</v>
      </c>
      <c r="C392" s="12" t="s">
        <v>43</v>
      </c>
      <c r="D392" s="13">
        <v>46019</v>
      </c>
      <c r="E392" s="13">
        <v>46021</v>
      </c>
      <c r="F392" s="12">
        <v>9</v>
      </c>
      <c r="G392" s="12">
        <v>455</v>
      </c>
      <c r="H392" s="12" t="s">
        <v>13</v>
      </c>
      <c r="I392" s="12" t="s">
        <v>546</v>
      </c>
      <c r="J392" s="12" t="s">
        <v>28</v>
      </c>
      <c r="K392" s="14" t="str">
        <f>TEXT('Retail Store Sales'!$D392,"yyyy")</f>
        <v>2025</v>
      </c>
      <c r="L392" s="11" t="str">
        <f>TEXT('Retail Store Sales'!$D392,"mmm")</f>
        <v>Dec</v>
      </c>
      <c r="M392" s="12" t="str">
        <f>TEXT('Retail Store Sales'!$D392,"dddd")</f>
        <v>Sunday</v>
      </c>
      <c r="N392" s="23">
        <f t="shared" si="6"/>
        <v>2</v>
      </c>
      <c r="O392" s="16">
        <f>ROUND('Retail Store Sales'!$F392*'Retail Store Sales'!$G392*_xlfn.XLOOKUP('Retail Store Sales'!$C392,Table2[Product Name],Table2[Cost Percentage],0),0)</f>
        <v>2457</v>
      </c>
      <c r="P392" s="12">
        <f>'Retail Store Sales'!$F392*'Retail Store Sales'!$G392</f>
        <v>4095</v>
      </c>
      <c r="Q392" s="12">
        <f>P392-Table1[[#This Row],[Total cost]]</f>
        <v>1638</v>
      </c>
    </row>
    <row r="393" spans="1:17" x14ac:dyDescent="0.45">
      <c r="A393" s="16" t="s">
        <v>437</v>
      </c>
      <c r="B393" s="16" t="s">
        <v>20</v>
      </c>
      <c r="C393" s="16" t="s">
        <v>53</v>
      </c>
      <c r="D393" s="17">
        <v>45737</v>
      </c>
      <c r="E393" s="17">
        <v>45746</v>
      </c>
      <c r="F393" s="16">
        <v>6</v>
      </c>
      <c r="G393" s="16">
        <v>565</v>
      </c>
      <c r="H393" s="16" t="s">
        <v>13</v>
      </c>
      <c r="I393" s="16" t="s">
        <v>548</v>
      </c>
      <c r="J393" s="16" t="s">
        <v>45</v>
      </c>
      <c r="K393" s="18" t="str">
        <f>TEXT('Retail Store Sales'!$D393,"yyyy")</f>
        <v>2025</v>
      </c>
      <c r="L393" s="15" t="str">
        <f>TEXT('Retail Store Sales'!$D393,"mmm")</f>
        <v>Mar</v>
      </c>
      <c r="M393" s="16" t="str">
        <f>TEXT('Retail Store Sales'!$D393,"dddd")</f>
        <v>Friday</v>
      </c>
      <c r="N393" s="24">
        <f t="shared" si="6"/>
        <v>9</v>
      </c>
      <c r="O393" s="16">
        <f>ROUND('Retail Store Sales'!$F393*'Retail Store Sales'!$G393*_xlfn.XLOOKUP('Retail Store Sales'!$C393,Table2[Product Name],Table2[Cost Percentage],0),0)</f>
        <v>2373</v>
      </c>
      <c r="P393" s="16">
        <f>'Retail Store Sales'!$F393*'Retail Store Sales'!$G393</f>
        <v>3390</v>
      </c>
      <c r="Q393" s="12">
        <f>P393-Table1[[#This Row],[Total cost]]</f>
        <v>1017</v>
      </c>
    </row>
    <row r="394" spans="1:17" x14ac:dyDescent="0.45">
      <c r="A394" s="12" t="s">
        <v>438</v>
      </c>
      <c r="B394" s="12" t="s">
        <v>11</v>
      </c>
      <c r="C394" s="12" t="s">
        <v>26</v>
      </c>
      <c r="D394" s="13">
        <v>45924</v>
      </c>
      <c r="E394" s="13">
        <v>45931</v>
      </c>
      <c r="F394" s="12">
        <v>3</v>
      </c>
      <c r="G394" s="12">
        <v>565</v>
      </c>
      <c r="H394" s="12" t="s">
        <v>13</v>
      </c>
      <c r="I394" s="12" t="s">
        <v>32</v>
      </c>
      <c r="J394" s="12" t="s">
        <v>14</v>
      </c>
      <c r="K394" s="14" t="str">
        <f>TEXT('Retail Store Sales'!$D394,"yyyy")</f>
        <v>2025</v>
      </c>
      <c r="L394" s="11" t="str">
        <f>TEXT('Retail Store Sales'!$D394,"mmm")</f>
        <v>Sep</v>
      </c>
      <c r="M394" s="12" t="str">
        <f>TEXT('Retail Store Sales'!$D394,"dddd")</f>
        <v>Wednesday</v>
      </c>
      <c r="N394" s="23">
        <f t="shared" si="6"/>
        <v>7</v>
      </c>
      <c r="O394" s="16">
        <f>ROUND('Retail Store Sales'!$F394*'Retail Store Sales'!$G394*_xlfn.XLOOKUP('Retail Store Sales'!$C394,Table2[Product Name],Table2[Cost Percentage],0),0)</f>
        <v>1102</v>
      </c>
      <c r="P394" s="12">
        <f>'Retail Store Sales'!$F394*'Retail Store Sales'!$G394</f>
        <v>1695</v>
      </c>
      <c r="Q394" s="12">
        <f>P394-Table1[[#This Row],[Total cost]]</f>
        <v>593</v>
      </c>
    </row>
    <row r="395" spans="1:17" x14ac:dyDescent="0.45">
      <c r="A395" s="16" t="s">
        <v>439</v>
      </c>
      <c r="B395" s="16" t="s">
        <v>20</v>
      </c>
      <c r="C395" s="16" t="s">
        <v>21</v>
      </c>
      <c r="D395" s="17">
        <v>45895</v>
      </c>
      <c r="E395" s="17">
        <v>45896</v>
      </c>
      <c r="F395" s="16">
        <v>10</v>
      </c>
      <c r="G395" s="16">
        <v>572</v>
      </c>
      <c r="H395" s="16" t="s">
        <v>13</v>
      </c>
      <c r="I395" s="16" t="s">
        <v>32</v>
      </c>
      <c r="J395" s="16" t="s">
        <v>18</v>
      </c>
      <c r="K395" s="18" t="str">
        <f>TEXT('Retail Store Sales'!$D395,"yyyy")</f>
        <v>2025</v>
      </c>
      <c r="L395" s="15" t="str">
        <f>TEXT('Retail Store Sales'!$D395,"mmm")</f>
        <v>Aug</v>
      </c>
      <c r="M395" s="16" t="str">
        <f>TEXT('Retail Store Sales'!$D395,"dddd")</f>
        <v>Tuesday</v>
      </c>
      <c r="N395" s="24">
        <f t="shared" si="6"/>
        <v>1</v>
      </c>
      <c r="O395" s="16">
        <f>ROUND('Retail Store Sales'!$F395*'Retail Store Sales'!$G395*_xlfn.XLOOKUP('Retail Store Sales'!$C395,Table2[Product Name],Table2[Cost Percentage],0),0)</f>
        <v>4290</v>
      </c>
      <c r="P395" s="16">
        <f>'Retail Store Sales'!$F395*'Retail Store Sales'!$G395</f>
        <v>5720</v>
      </c>
      <c r="Q395" s="12">
        <f>P395-Table1[[#This Row],[Total cost]]</f>
        <v>1430</v>
      </c>
    </row>
    <row r="396" spans="1:17" x14ac:dyDescent="0.45">
      <c r="A396" s="12" t="s">
        <v>440</v>
      </c>
      <c r="B396" s="12" t="s">
        <v>16</v>
      </c>
      <c r="C396" s="12" t="s">
        <v>43</v>
      </c>
      <c r="D396" s="13">
        <v>45718</v>
      </c>
      <c r="E396" s="13">
        <v>45725</v>
      </c>
      <c r="F396" s="12">
        <v>9</v>
      </c>
      <c r="G396" s="12">
        <v>616</v>
      </c>
      <c r="H396" s="12" t="s">
        <v>27</v>
      </c>
      <c r="I396" s="12" t="s">
        <v>548</v>
      </c>
      <c r="J396" s="12" t="s">
        <v>45</v>
      </c>
      <c r="K396" s="14" t="str">
        <f>TEXT('Retail Store Sales'!$D396,"yyyy")</f>
        <v>2025</v>
      </c>
      <c r="L396" s="11" t="str">
        <f>TEXT('Retail Store Sales'!$D396,"mmm")</f>
        <v>Mar</v>
      </c>
      <c r="M396" s="12" t="str">
        <f>TEXT('Retail Store Sales'!$D396,"dddd")</f>
        <v>Sunday</v>
      </c>
      <c r="N396" s="23">
        <f t="shared" si="6"/>
        <v>7</v>
      </c>
      <c r="O396" s="16">
        <f>ROUND('Retail Store Sales'!$F396*'Retail Store Sales'!$G396*_xlfn.XLOOKUP('Retail Store Sales'!$C396,Table2[Product Name],Table2[Cost Percentage],0),0)</f>
        <v>3326</v>
      </c>
      <c r="P396" s="12">
        <f>'Retail Store Sales'!$F396*'Retail Store Sales'!$G396</f>
        <v>5544</v>
      </c>
      <c r="Q396" s="12">
        <f>P396-Table1[[#This Row],[Total cost]]</f>
        <v>2218</v>
      </c>
    </row>
    <row r="397" spans="1:17" x14ac:dyDescent="0.45">
      <c r="A397" s="16" t="s">
        <v>441</v>
      </c>
      <c r="B397" s="16" t="s">
        <v>16</v>
      </c>
      <c r="C397" s="16" t="s">
        <v>55</v>
      </c>
      <c r="D397" s="17">
        <v>45774</v>
      </c>
      <c r="E397" s="17">
        <v>45781</v>
      </c>
      <c r="F397" s="16">
        <v>1</v>
      </c>
      <c r="G397" s="16">
        <v>692</v>
      </c>
      <c r="H397" s="16" t="s">
        <v>27</v>
      </c>
      <c r="I397" s="16" t="s">
        <v>549</v>
      </c>
      <c r="J397" s="16" t="s">
        <v>18</v>
      </c>
      <c r="K397" s="18" t="str">
        <f>TEXT('Retail Store Sales'!$D397,"yyyy")</f>
        <v>2025</v>
      </c>
      <c r="L397" s="15" t="str">
        <f>TEXT('Retail Store Sales'!$D397,"mmm")</f>
        <v>Apr</v>
      </c>
      <c r="M397" s="16" t="str">
        <f>TEXT('Retail Store Sales'!$D397,"dddd")</f>
        <v>Sunday</v>
      </c>
      <c r="N397" s="24">
        <f t="shared" si="6"/>
        <v>7</v>
      </c>
      <c r="O397" s="16">
        <f>ROUND('Retail Store Sales'!$F397*'Retail Store Sales'!$G397*_xlfn.XLOOKUP('Retail Store Sales'!$C397,Table2[Product Name],Table2[Cost Percentage],0),0)</f>
        <v>381</v>
      </c>
      <c r="P397" s="16">
        <f>'Retail Store Sales'!$F397*'Retail Store Sales'!$G397</f>
        <v>692</v>
      </c>
      <c r="Q397" s="12">
        <f>P397-Table1[[#This Row],[Total cost]]</f>
        <v>311</v>
      </c>
    </row>
    <row r="398" spans="1:17" x14ac:dyDescent="0.45">
      <c r="A398" s="12" t="s">
        <v>442</v>
      </c>
      <c r="B398" s="12" t="s">
        <v>16</v>
      </c>
      <c r="C398" s="12" t="s">
        <v>63</v>
      </c>
      <c r="D398" s="13">
        <v>45861</v>
      </c>
      <c r="E398" s="13">
        <v>45869</v>
      </c>
      <c r="F398" s="12">
        <v>6</v>
      </c>
      <c r="G398" s="12">
        <v>366</v>
      </c>
      <c r="H398" s="12" t="s">
        <v>13</v>
      </c>
      <c r="I398" s="12" t="s">
        <v>550</v>
      </c>
      <c r="J398" s="12" t="s">
        <v>45</v>
      </c>
      <c r="K398" s="14" t="str">
        <f>TEXT('Retail Store Sales'!$D398,"yyyy")</f>
        <v>2025</v>
      </c>
      <c r="L398" s="11" t="str">
        <f>TEXT('Retail Store Sales'!$D398,"mmm")</f>
        <v>Jul</v>
      </c>
      <c r="M398" s="12" t="str">
        <f>TEXT('Retail Store Sales'!$D398,"dddd")</f>
        <v>Wednesday</v>
      </c>
      <c r="N398" s="23">
        <f t="shared" si="6"/>
        <v>8</v>
      </c>
      <c r="O398" s="16">
        <f>ROUND('Retail Store Sales'!$F398*'Retail Store Sales'!$G398*_xlfn.XLOOKUP('Retail Store Sales'!$C398,Table2[Product Name],Table2[Cost Percentage],0),0)</f>
        <v>1098</v>
      </c>
      <c r="P398" s="12">
        <f>'Retail Store Sales'!$F398*'Retail Store Sales'!$G398</f>
        <v>2196</v>
      </c>
      <c r="Q398" s="12">
        <f>P398-Table1[[#This Row],[Total cost]]</f>
        <v>1098</v>
      </c>
    </row>
    <row r="399" spans="1:17" x14ac:dyDescent="0.45">
      <c r="A399" s="16" t="s">
        <v>443</v>
      </c>
      <c r="B399" s="16" t="s">
        <v>16</v>
      </c>
      <c r="C399" s="16" t="s">
        <v>17</v>
      </c>
      <c r="D399" s="17">
        <v>45661</v>
      </c>
      <c r="E399" s="17">
        <v>45668</v>
      </c>
      <c r="F399" s="16">
        <v>2</v>
      </c>
      <c r="G399" s="16">
        <v>132</v>
      </c>
      <c r="H399" s="16" t="s">
        <v>27</v>
      </c>
      <c r="I399" s="16" t="s">
        <v>549</v>
      </c>
      <c r="J399" s="16" t="s">
        <v>28</v>
      </c>
      <c r="K399" s="18" t="str">
        <f>TEXT('Retail Store Sales'!$D399,"yyyy")</f>
        <v>2025</v>
      </c>
      <c r="L399" s="15" t="str">
        <f>TEXT('Retail Store Sales'!$D399,"mmm")</f>
        <v>Jan</v>
      </c>
      <c r="M399" s="16" t="str">
        <f>TEXT('Retail Store Sales'!$D399,"dddd")</f>
        <v>Saturday</v>
      </c>
      <c r="N399" s="24">
        <f t="shared" si="6"/>
        <v>7</v>
      </c>
      <c r="O399" s="16">
        <f>ROUND('Retail Store Sales'!$F399*'Retail Store Sales'!$G399*_xlfn.XLOOKUP('Retail Store Sales'!$C399,Table2[Product Name],Table2[Cost Percentage],0),0)</f>
        <v>132</v>
      </c>
      <c r="P399" s="16">
        <f>'Retail Store Sales'!$F399*'Retail Store Sales'!$G399</f>
        <v>264</v>
      </c>
      <c r="Q399" s="12">
        <f>P399-Table1[[#This Row],[Total cost]]</f>
        <v>132</v>
      </c>
    </row>
    <row r="400" spans="1:17" x14ac:dyDescent="0.45">
      <c r="A400" s="12" t="s">
        <v>444</v>
      </c>
      <c r="B400" s="12" t="s">
        <v>11</v>
      </c>
      <c r="C400" s="12" t="s">
        <v>12</v>
      </c>
      <c r="D400" s="13">
        <v>45678</v>
      </c>
      <c r="E400" s="13">
        <v>45693</v>
      </c>
      <c r="F400" s="12">
        <v>1</v>
      </c>
      <c r="G400" s="12">
        <v>102</v>
      </c>
      <c r="H400" s="12" t="s">
        <v>27</v>
      </c>
      <c r="I400" s="12" t="s">
        <v>550</v>
      </c>
      <c r="J400" s="12" t="s">
        <v>18</v>
      </c>
      <c r="K400" s="14" t="str">
        <f>TEXT('Retail Store Sales'!$D400,"yyyy")</f>
        <v>2025</v>
      </c>
      <c r="L400" s="11" t="str">
        <f>TEXT('Retail Store Sales'!$D400,"mmm")</f>
        <v>Jan</v>
      </c>
      <c r="M400" s="12" t="str">
        <f>TEXT('Retail Store Sales'!$D400,"dddd")</f>
        <v>Tuesday</v>
      </c>
      <c r="N400" s="23">
        <f t="shared" si="6"/>
        <v>15</v>
      </c>
      <c r="O400" s="16">
        <f>ROUND('Retail Store Sales'!$F400*'Retail Store Sales'!$G400*_xlfn.XLOOKUP('Retail Store Sales'!$C400,Table2[Product Name],Table2[Cost Percentage],0),0)</f>
        <v>77</v>
      </c>
      <c r="P400" s="12">
        <f>'Retail Store Sales'!$F400*'Retail Store Sales'!$G400</f>
        <v>102</v>
      </c>
      <c r="Q400" s="12">
        <f>P400-Table1[[#This Row],[Total cost]]</f>
        <v>25</v>
      </c>
    </row>
    <row r="401" spans="1:17" x14ac:dyDescent="0.45">
      <c r="A401" s="16" t="s">
        <v>445</v>
      </c>
      <c r="B401" s="16" t="s">
        <v>20</v>
      </c>
      <c r="C401" s="16" t="s">
        <v>21</v>
      </c>
      <c r="D401" s="17">
        <v>45939</v>
      </c>
      <c r="E401" s="17">
        <v>45949</v>
      </c>
      <c r="F401" s="16">
        <v>5</v>
      </c>
      <c r="G401" s="16">
        <v>644</v>
      </c>
      <c r="H401" s="16" t="s">
        <v>13</v>
      </c>
      <c r="I401" s="16" t="s">
        <v>32</v>
      </c>
      <c r="J401" s="16" t="s">
        <v>28</v>
      </c>
      <c r="K401" s="18" t="str">
        <f>TEXT('Retail Store Sales'!$D401,"yyyy")</f>
        <v>2025</v>
      </c>
      <c r="L401" s="15" t="str">
        <f>TEXT('Retail Store Sales'!$D401,"mmm")</f>
        <v>Oct</v>
      </c>
      <c r="M401" s="16" t="str">
        <f>TEXT('Retail Store Sales'!$D401,"dddd")</f>
        <v>Thursday</v>
      </c>
      <c r="N401" s="24">
        <f t="shared" si="6"/>
        <v>10</v>
      </c>
      <c r="O401" s="16">
        <f>ROUND('Retail Store Sales'!$F401*'Retail Store Sales'!$G401*_xlfn.XLOOKUP('Retail Store Sales'!$C401,Table2[Product Name],Table2[Cost Percentage],0),0)</f>
        <v>2415</v>
      </c>
      <c r="P401" s="16">
        <f>'Retail Store Sales'!$F401*'Retail Store Sales'!$G401</f>
        <v>3220</v>
      </c>
      <c r="Q401" s="12">
        <f>P401-Table1[[#This Row],[Total cost]]</f>
        <v>805</v>
      </c>
    </row>
    <row r="402" spans="1:17" x14ac:dyDescent="0.45">
      <c r="A402" s="12" t="s">
        <v>446</v>
      </c>
      <c r="B402" s="12" t="s">
        <v>30</v>
      </c>
      <c r="C402" s="12" t="s">
        <v>31</v>
      </c>
      <c r="D402" s="13">
        <v>45728</v>
      </c>
      <c r="E402" s="13">
        <v>45734</v>
      </c>
      <c r="F402" s="12">
        <v>7</v>
      </c>
      <c r="G402" s="12">
        <v>171</v>
      </c>
      <c r="H402" s="12" t="s">
        <v>27</v>
      </c>
      <c r="I402" s="12" t="s">
        <v>548</v>
      </c>
      <c r="J402" s="12" t="s">
        <v>14</v>
      </c>
      <c r="K402" s="14" t="str">
        <f>TEXT('Retail Store Sales'!$D402,"yyyy")</f>
        <v>2025</v>
      </c>
      <c r="L402" s="11" t="str">
        <f>TEXT('Retail Store Sales'!$D402,"mmm")</f>
        <v>Mar</v>
      </c>
      <c r="M402" s="12" t="str">
        <f>TEXT('Retail Store Sales'!$D402,"dddd")</f>
        <v>Wednesday</v>
      </c>
      <c r="N402" s="23">
        <f t="shared" si="6"/>
        <v>6</v>
      </c>
      <c r="O402" s="16">
        <f>ROUND('Retail Store Sales'!$F402*'Retail Store Sales'!$G402*_xlfn.XLOOKUP('Retail Store Sales'!$C402,Table2[Product Name],Table2[Cost Percentage],0),0)</f>
        <v>898</v>
      </c>
      <c r="P402" s="12">
        <f>'Retail Store Sales'!$F402*'Retail Store Sales'!$G402</f>
        <v>1197</v>
      </c>
      <c r="Q402" s="12">
        <f>P402-Table1[[#This Row],[Total cost]]</f>
        <v>299</v>
      </c>
    </row>
    <row r="403" spans="1:17" x14ac:dyDescent="0.45">
      <c r="A403" s="16" t="s">
        <v>447</v>
      </c>
      <c r="B403" s="16" t="s">
        <v>20</v>
      </c>
      <c r="C403" s="16" t="s">
        <v>82</v>
      </c>
      <c r="D403" s="17">
        <v>45901</v>
      </c>
      <c r="E403" s="17">
        <v>45903</v>
      </c>
      <c r="F403" s="16">
        <v>8</v>
      </c>
      <c r="G403" s="16">
        <v>204</v>
      </c>
      <c r="H403" s="16" t="s">
        <v>27</v>
      </c>
      <c r="I403" s="16" t="s">
        <v>32</v>
      </c>
      <c r="J403" s="16" t="s">
        <v>14</v>
      </c>
      <c r="K403" s="18" t="str">
        <f>TEXT('Retail Store Sales'!$D403,"yyyy")</f>
        <v>2025</v>
      </c>
      <c r="L403" s="15" t="str">
        <f>TEXT('Retail Store Sales'!$D403,"mmm")</f>
        <v>Sep</v>
      </c>
      <c r="M403" s="16" t="str">
        <f>TEXT('Retail Store Sales'!$D403,"dddd")</f>
        <v>Monday</v>
      </c>
      <c r="N403" s="24">
        <f t="shared" si="6"/>
        <v>2</v>
      </c>
      <c r="O403" s="16">
        <f>ROUND('Retail Store Sales'!$F403*'Retail Store Sales'!$G403*_xlfn.XLOOKUP('Retail Store Sales'!$C403,Table2[Product Name],Table2[Cost Percentage],0),0)</f>
        <v>1306</v>
      </c>
      <c r="P403" s="16">
        <f>'Retail Store Sales'!$F403*'Retail Store Sales'!$G403</f>
        <v>1632</v>
      </c>
      <c r="Q403" s="12">
        <f>P403-Table1[[#This Row],[Total cost]]</f>
        <v>326</v>
      </c>
    </row>
    <row r="404" spans="1:17" x14ac:dyDescent="0.45">
      <c r="A404" s="12" t="s">
        <v>448</v>
      </c>
      <c r="B404" s="12" t="s">
        <v>23</v>
      </c>
      <c r="C404" s="12" t="s">
        <v>69</v>
      </c>
      <c r="D404" s="13">
        <v>45975</v>
      </c>
      <c r="E404" s="13">
        <v>45985</v>
      </c>
      <c r="F404" s="12">
        <v>1</v>
      </c>
      <c r="G404" s="12">
        <v>410</v>
      </c>
      <c r="H404" s="12" t="s">
        <v>27</v>
      </c>
      <c r="I404" s="12" t="s">
        <v>548</v>
      </c>
      <c r="J404" s="12" t="s">
        <v>18</v>
      </c>
      <c r="K404" s="14" t="str">
        <f>TEXT('Retail Store Sales'!$D404,"yyyy")</f>
        <v>2025</v>
      </c>
      <c r="L404" s="11" t="str">
        <f>TEXT('Retail Store Sales'!$D404,"mmm")</f>
        <v>Nov</v>
      </c>
      <c r="M404" s="12" t="str">
        <f>TEXT('Retail Store Sales'!$D404,"dddd")</f>
        <v>Friday</v>
      </c>
      <c r="N404" s="23">
        <f t="shared" si="6"/>
        <v>10</v>
      </c>
      <c r="O404" s="16">
        <f>ROUND('Retail Store Sales'!$F404*'Retail Store Sales'!$G404*_xlfn.XLOOKUP('Retail Store Sales'!$C404,Table2[Product Name],Table2[Cost Percentage],0),0)</f>
        <v>226</v>
      </c>
      <c r="P404" s="12">
        <f>'Retail Store Sales'!$F404*'Retail Store Sales'!$G404</f>
        <v>410</v>
      </c>
      <c r="Q404" s="12">
        <f>P404-Table1[[#This Row],[Total cost]]</f>
        <v>184</v>
      </c>
    </row>
    <row r="405" spans="1:17" x14ac:dyDescent="0.45">
      <c r="A405" s="16" t="s">
        <v>449</v>
      </c>
      <c r="B405" s="16" t="s">
        <v>23</v>
      </c>
      <c r="C405" s="16" t="s">
        <v>37</v>
      </c>
      <c r="D405" s="17">
        <v>45782</v>
      </c>
      <c r="E405" s="17">
        <v>45785</v>
      </c>
      <c r="F405" s="16">
        <v>2</v>
      </c>
      <c r="G405" s="16">
        <v>874</v>
      </c>
      <c r="H405" s="16" t="s">
        <v>13</v>
      </c>
      <c r="I405" s="16" t="s">
        <v>550</v>
      </c>
      <c r="J405" s="16" t="s">
        <v>28</v>
      </c>
      <c r="K405" s="18" t="str">
        <f>TEXT('Retail Store Sales'!$D405,"yyyy")</f>
        <v>2025</v>
      </c>
      <c r="L405" s="15" t="str">
        <f>TEXT('Retail Store Sales'!$D405,"mmm")</f>
        <v>May</v>
      </c>
      <c r="M405" s="16" t="str">
        <f>TEXT('Retail Store Sales'!$D405,"dddd")</f>
        <v>Monday</v>
      </c>
      <c r="N405" s="24">
        <f t="shared" si="6"/>
        <v>3</v>
      </c>
      <c r="O405" s="16">
        <f>ROUND('Retail Store Sales'!$F405*'Retail Store Sales'!$G405*_xlfn.XLOOKUP('Retail Store Sales'!$C405,Table2[Product Name],Table2[Cost Percentage],0),0)</f>
        <v>874</v>
      </c>
      <c r="P405" s="16">
        <f>'Retail Store Sales'!$F405*'Retail Store Sales'!$G405</f>
        <v>1748</v>
      </c>
      <c r="Q405" s="12">
        <f>P405-Table1[[#This Row],[Total cost]]</f>
        <v>874</v>
      </c>
    </row>
    <row r="406" spans="1:17" x14ac:dyDescent="0.45">
      <c r="A406" s="12" t="s">
        <v>450</v>
      </c>
      <c r="B406" s="12" t="s">
        <v>16</v>
      </c>
      <c r="C406" s="12" t="s">
        <v>63</v>
      </c>
      <c r="D406" s="13">
        <v>45707</v>
      </c>
      <c r="E406" s="13">
        <v>45711</v>
      </c>
      <c r="F406" s="12">
        <v>7</v>
      </c>
      <c r="G406" s="12">
        <v>855</v>
      </c>
      <c r="H406" s="12" t="s">
        <v>27</v>
      </c>
      <c r="I406" s="12" t="s">
        <v>549</v>
      </c>
      <c r="J406" s="12" t="s">
        <v>14</v>
      </c>
      <c r="K406" s="14" t="str">
        <f>TEXT('Retail Store Sales'!$D406,"yyyy")</f>
        <v>2025</v>
      </c>
      <c r="L406" s="11" t="str">
        <f>TEXT('Retail Store Sales'!$D406,"mmm")</f>
        <v>Feb</v>
      </c>
      <c r="M406" s="12" t="str">
        <f>TEXT('Retail Store Sales'!$D406,"dddd")</f>
        <v>Wednesday</v>
      </c>
      <c r="N406" s="23">
        <f t="shared" si="6"/>
        <v>4</v>
      </c>
      <c r="O406" s="16">
        <f>ROUND('Retail Store Sales'!$F406*'Retail Store Sales'!$G406*_xlfn.XLOOKUP('Retail Store Sales'!$C406,Table2[Product Name],Table2[Cost Percentage],0),0)</f>
        <v>2993</v>
      </c>
      <c r="P406" s="12">
        <f>'Retail Store Sales'!$F406*'Retail Store Sales'!$G406</f>
        <v>5985</v>
      </c>
      <c r="Q406" s="12">
        <f>P406-Table1[[#This Row],[Total cost]]</f>
        <v>2992</v>
      </c>
    </row>
    <row r="407" spans="1:17" x14ac:dyDescent="0.45">
      <c r="A407" s="16" t="s">
        <v>451</v>
      </c>
      <c r="B407" s="16" t="s">
        <v>30</v>
      </c>
      <c r="C407" s="16" t="s">
        <v>49</v>
      </c>
      <c r="D407" s="17">
        <v>45753</v>
      </c>
      <c r="E407" s="17">
        <v>45760</v>
      </c>
      <c r="F407" s="16">
        <v>1</v>
      </c>
      <c r="G407" s="16">
        <v>386</v>
      </c>
      <c r="H407" s="16" t="s">
        <v>13</v>
      </c>
      <c r="I407" s="16" t="s">
        <v>550</v>
      </c>
      <c r="J407" s="16" t="s">
        <v>18</v>
      </c>
      <c r="K407" s="18" t="str">
        <f>TEXT('Retail Store Sales'!$D407,"yyyy")</f>
        <v>2025</v>
      </c>
      <c r="L407" s="15" t="str">
        <f>TEXT('Retail Store Sales'!$D407,"mmm")</f>
        <v>Apr</v>
      </c>
      <c r="M407" s="16" t="str">
        <f>TEXT('Retail Store Sales'!$D407,"dddd")</f>
        <v>Sunday</v>
      </c>
      <c r="N407" s="24">
        <f t="shared" si="6"/>
        <v>7</v>
      </c>
      <c r="O407" s="16">
        <f>ROUND('Retail Store Sales'!$F407*'Retail Store Sales'!$G407*_xlfn.XLOOKUP('Retail Store Sales'!$C407,Table2[Product Name],Table2[Cost Percentage],0),0)</f>
        <v>270</v>
      </c>
      <c r="P407" s="16">
        <f>'Retail Store Sales'!$F407*'Retail Store Sales'!$G407</f>
        <v>386</v>
      </c>
      <c r="Q407" s="12">
        <f>P407-Table1[[#This Row],[Total cost]]</f>
        <v>116</v>
      </c>
    </row>
    <row r="408" spans="1:17" x14ac:dyDescent="0.45">
      <c r="A408" s="12" t="s">
        <v>452</v>
      </c>
      <c r="B408" s="12" t="s">
        <v>16</v>
      </c>
      <c r="C408" s="12" t="s">
        <v>55</v>
      </c>
      <c r="D408" s="13">
        <v>45732</v>
      </c>
      <c r="E408" s="13">
        <v>45743</v>
      </c>
      <c r="F408" s="12">
        <v>9</v>
      </c>
      <c r="G408" s="12">
        <v>309</v>
      </c>
      <c r="H408" s="12" t="s">
        <v>27</v>
      </c>
      <c r="I408" s="12" t="s">
        <v>546</v>
      </c>
      <c r="J408" s="12" t="s">
        <v>45</v>
      </c>
      <c r="K408" s="14" t="str">
        <f>TEXT('Retail Store Sales'!$D408,"yyyy")</f>
        <v>2025</v>
      </c>
      <c r="L408" s="11" t="str">
        <f>TEXT('Retail Store Sales'!$D408,"mmm")</f>
        <v>Mar</v>
      </c>
      <c r="M408" s="12" t="str">
        <f>TEXT('Retail Store Sales'!$D408,"dddd")</f>
        <v>Sunday</v>
      </c>
      <c r="N408" s="23">
        <f t="shared" si="6"/>
        <v>11</v>
      </c>
      <c r="O408" s="16">
        <f>ROUND('Retail Store Sales'!$F408*'Retail Store Sales'!$G408*_xlfn.XLOOKUP('Retail Store Sales'!$C408,Table2[Product Name],Table2[Cost Percentage],0),0)</f>
        <v>1530</v>
      </c>
      <c r="P408" s="12">
        <f>'Retail Store Sales'!$F408*'Retail Store Sales'!$G408</f>
        <v>2781</v>
      </c>
      <c r="Q408" s="12">
        <f>P408-Table1[[#This Row],[Total cost]]</f>
        <v>1251</v>
      </c>
    </row>
    <row r="409" spans="1:17" x14ac:dyDescent="0.45">
      <c r="A409" s="16" t="s">
        <v>453</v>
      </c>
      <c r="B409" s="16" t="s">
        <v>30</v>
      </c>
      <c r="C409" s="16" t="s">
        <v>31</v>
      </c>
      <c r="D409" s="17">
        <v>45709</v>
      </c>
      <c r="E409" s="17">
        <v>45719</v>
      </c>
      <c r="F409" s="16">
        <v>3</v>
      </c>
      <c r="G409" s="16">
        <v>97</v>
      </c>
      <c r="H409" s="16" t="s">
        <v>13</v>
      </c>
      <c r="I409" s="16" t="s">
        <v>549</v>
      </c>
      <c r="J409" s="16" t="s">
        <v>14</v>
      </c>
      <c r="K409" s="18" t="str">
        <f>TEXT('Retail Store Sales'!$D409,"yyyy")</f>
        <v>2025</v>
      </c>
      <c r="L409" s="15" t="str">
        <f>TEXT('Retail Store Sales'!$D409,"mmm")</f>
        <v>Feb</v>
      </c>
      <c r="M409" s="16" t="str">
        <f>TEXT('Retail Store Sales'!$D409,"dddd")</f>
        <v>Friday</v>
      </c>
      <c r="N409" s="24">
        <f t="shared" si="6"/>
        <v>10</v>
      </c>
      <c r="O409" s="16">
        <f>ROUND('Retail Store Sales'!$F409*'Retail Store Sales'!$G409*_xlfn.XLOOKUP('Retail Store Sales'!$C409,Table2[Product Name],Table2[Cost Percentage],0),0)</f>
        <v>218</v>
      </c>
      <c r="P409" s="16">
        <f>'Retail Store Sales'!$F409*'Retail Store Sales'!$G409</f>
        <v>291</v>
      </c>
      <c r="Q409" s="12">
        <f>P409-Table1[[#This Row],[Total cost]]</f>
        <v>73</v>
      </c>
    </row>
    <row r="410" spans="1:17" x14ac:dyDescent="0.45">
      <c r="A410" s="12" t="s">
        <v>454</v>
      </c>
      <c r="B410" s="12" t="s">
        <v>16</v>
      </c>
      <c r="C410" s="12" t="s">
        <v>55</v>
      </c>
      <c r="D410" s="13">
        <v>45970</v>
      </c>
      <c r="E410" s="13">
        <v>45981</v>
      </c>
      <c r="F410" s="12">
        <v>4</v>
      </c>
      <c r="G410" s="12">
        <v>180</v>
      </c>
      <c r="H410" s="12" t="s">
        <v>27</v>
      </c>
      <c r="I410" s="12" t="s">
        <v>548</v>
      </c>
      <c r="J410" s="12" t="s">
        <v>45</v>
      </c>
      <c r="K410" s="14" t="str">
        <f>TEXT('Retail Store Sales'!$D410,"yyyy")</f>
        <v>2025</v>
      </c>
      <c r="L410" s="11" t="str">
        <f>TEXT('Retail Store Sales'!$D410,"mmm")</f>
        <v>Nov</v>
      </c>
      <c r="M410" s="12" t="str">
        <f>TEXT('Retail Store Sales'!$D410,"dddd")</f>
        <v>Sunday</v>
      </c>
      <c r="N410" s="23">
        <f t="shared" si="6"/>
        <v>11</v>
      </c>
      <c r="O410" s="16">
        <f>ROUND('Retail Store Sales'!$F410*'Retail Store Sales'!$G410*_xlfn.XLOOKUP('Retail Store Sales'!$C410,Table2[Product Name],Table2[Cost Percentage],0),0)</f>
        <v>396</v>
      </c>
      <c r="P410" s="12">
        <f>'Retail Store Sales'!$F410*'Retail Store Sales'!$G410</f>
        <v>720</v>
      </c>
      <c r="Q410" s="12">
        <f>P410-Table1[[#This Row],[Total cost]]</f>
        <v>324</v>
      </c>
    </row>
    <row r="411" spans="1:17" x14ac:dyDescent="0.45">
      <c r="A411" s="16" t="s">
        <v>455</v>
      </c>
      <c r="B411" s="16" t="s">
        <v>20</v>
      </c>
      <c r="C411" s="16" t="s">
        <v>21</v>
      </c>
      <c r="D411" s="17">
        <v>45836</v>
      </c>
      <c r="E411" s="17">
        <v>45842</v>
      </c>
      <c r="F411" s="16">
        <v>1</v>
      </c>
      <c r="G411" s="16">
        <v>187</v>
      </c>
      <c r="H411" s="16" t="s">
        <v>27</v>
      </c>
      <c r="I411" s="16" t="s">
        <v>550</v>
      </c>
      <c r="J411" s="16" t="s">
        <v>18</v>
      </c>
      <c r="K411" s="18" t="str">
        <f>TEXT('Retail Store Sales'!$D411,"yyyy")</f>
        <v>2025</v>
      </c>
      <c r="L411" s="15" t="str">
        <f>TEXT('Retail Store Sales'!$D411,"mmm")</f>
        <v>Jun</v>
      </c>
      <c r="M411" s="16" t="str">
        <f>TEXT('Retail Store Sales'!$D411,"dddd")</f>
        <v>Saturday</v>
      </c>
      <c r="N411" s="24">
        <f t="shared" si="6"/>
        <v>6</v>
      </c>
      <c r="O411" s="16">
        <f>ROUND('Retail Store Sales'!$F411*'Retail Store Sales'!$G411*_xlfn.XLOOKUP('Retail Store Sales'!$C411,Table2[Product Name],Table2[Cost Percentage],0),0)</f>
        <v>140</v>
      </c>
      <c r="P411" s="16">
        <f>'Retail Store Sales'!$F411*'Retail Store Sales'!$G411</f>
        <v>187</v>
      </c>
      <c r="Q411" s="12">
        <f>P411-Table1[[#This Row],[Total cost]]</f>
        <v>47</v>
      </c>
    </row>
    <row r="412" spans="1:17" x14ac:dyDescent="0.45">
      <c r="A412" s="12" t="s">
        <v>456</v>
      </c>
      <c r="B412" s="12" t="s">
        <v>30</v>
      </c>
      <c r="C412" s="12" t="s">
        <v>75</v>
      </c>
      <c r="D412" s="13">
        <v>45926</v>
      </c>
      <c r="E412" s="13">
        <v>45934</v>
      </c>
      <c r="F412" s="12">
        <v>9</v>
      </c>
      <c r="G412" s="12">
        <v>286</v>
      </c>
      <c r="H412" s="12" t="s">
        <v>27</v>
      </c>
      <c r="I412" s="12" t="s">
        <v>32</v>
      </c>
      <c r="J412" s="12" t="s">
        <v>45</v>
      </c>
      <c r="K412" s="14" t="str">
        <f>TEXT('Retail Store Sales'!$D412,"yyyy")</f>
        <v>2025</v>
      </c>
      <c r="L412" s="11" t="str">
        <f>TEXT('Retail Store Sales'!$D412,"mmm")</f>
        <v>Sep</v>
      </c>
      <c r="M412" s="12" t="str">
        <f>TEXT('Retail Store Sales'!$D412,"dddd")</f>
        <v>Friday</v>
      </c>
      <c r="N412" s="23">
        <f t="shared" si="6"/>
        <v>8</v>
      </c>
      <c r="O412" s="16">
        <f>ROUND('Retail Store Sales'!$F412*'Retail Store Sales'!$G412*_xlfn.XLOOKUP('Retail Store Sales'!$C412,Table2[Product Name],Table2[Cost Percentage],0),0)</f>
        <v>1931</v>
      </c>
      <c r="P412" s="12">
        <f>'Retail Store Sales'!$F412*'Retail Store Sales'!$G412</f>
        <v>2574</v>
      </c>
      <c r="Q412" s="12">
        <f>P412-Table1[[#This Row],[Total cost]]</f>
        <v>643</v>
      </c>
    </row>
    <row r="413" spans="1:17" x14ac:dyDescent="0.45">
      <c r="A413" s="16" t="s">
        <v>457</v>
      </c>
      <c r="B413" s="16" t="s">
        <v>30</v>
      </c>
      <c r="C413" s="16" t="s">
        <v>31</v>
      </c>
      <c r="D413" s="17">
        <v>45675</v>
      </c>
      <c r="E413" s="17">
        <v>45688</v>
      </c>
      <c r="F413" s="16">
        <v>6</v>
      </c>
      <c r="G413" s="16">
        <v>541</v>
      </c>
      <c r="H413" s="16" t="s">
        <v>27</v>
      </c>
      <c r="I413" s="16" t="s">
        <v>550</v>
      </c>
      <c r="J413" s="16" t="s">
        <v>14</v>
      </c>
      <c r="K413" s="18" t="str">
        <f>TEXT('Retail Store Sales'!$D413,"yyyy")</f>
        <v>2025</v>
      </c>
      <c r="L413" s="15" t="str">
        <f>TEXT('Retail Store Sales'!$D413,"mmm")</f>
        <v>Jan</v>
      </c>
      <c r="M413" s="16" t="str">
        <f>TEXT('Retail Store Sales'!$D413,"dddd")</f>
        <v>Saturday</v>
      </c>
      <c r="N413" s="24">
        <f t="shared" si="6"/>
        <v>13</v>
      </c>
      <c r="O413" s="16">
        <f>ROUND('Retail Store Sales'!$F413*'Retail Store Sales'!$G413*_xlfn.XLOOKUP('Retail Store Sales'!$C413,Table2[Product Name],Table2[Cost Percentage],0),0)</f>
        <v>2435</v>
      </c>
      <c r="P413" s="16">
        <f>'Retail Store Sales'!$F413*'Retail Store Sales'!$G413</f>
        <v>3246</v>
      </c>
      <c r="Q413" s="12">
        <f>P413-Table1[[#This Row],[Total cost]]</f>
        <v>811</v>
      </c>
    </row>
    <row r="414" spans="1:17" x14ac:dyDescent="0.45">
      <c r="A414" s="12" t="s">
        <v>458</v>
      </c>
      <c r="B414" s="12" t="s">
        <v>16</v>
      </c>
      <c r="C414" s="12" t="s">
        <v>43</v>
      </c>
      <c r="D414" s="13">
        <v>45850</v>
      </c>
      <c r="E414" s="13">
        <v>45858</v>
      </c>
      <c r="F414" s="12">
        <v>8</v>
      </c>
      <c r="G414" s="12">
        <v>779</v>
      </c>
      <c r="H414" s="12" t="s">
        <v>13</v>
      </c>
      <c r="I414" s="12" t="s">
        <v>549</v>
      </c>
      <c r="J414" s="12" t="s">
        <v>28</v>
      </c>
      <c r="K414" s="14" t="str">
        <f>TEXT('Retail Store Sales'!$D414,"yyyy")</f>
        <v>2025</v>
      </c>
      <c r="L414" s="11" t="str">
        <f>TEXT('Retail Store Sales'!$D414,"mmm")</f>
        <v>Jul</v>
      </c>
      <c r="M414" s="12" t="str">
        <f>TEXT('Retail Store Sales'!$D414,"dddd")</f>
        <v>Saturday</v>
      </c>
      <c r="N414" s="23">
        <f t="shared" si="6"/>
        <v>8</v>
      </c>
      <c r="O414" s="16">
        <f>ROUND('Retail Store Sales'!$F414*'Retail Store Sales'!$G414*_xlfn.XLOOKUP('Retail Store Sales'!$C414,Table2[Product Name],Table2[Cost Percentage],0),0)</f>
        <v>3739</v>
      </c>
      <c r="P414" s="12">
        <f>'Retail Store Sales'!$F414*'Retail Store Sales'!$G414</f>
        <v>6232</v>
      </c>
      <c r="Q414" s="12">
        <f>P414-Table1[[#This Row],[Total cost]]</f>
        <v>2493</v>
      </c>
    </row>
    <row r="415" spans="1:17" x14ac:dyDescent="0.45">
      <c r="A415" s="16" t="s">
        <v>459</v>
      </c>
      <c r="B415" s="16" t="s">
        <v>11</v>
      </c>
      <c r="C415" s="16" t="s">
        <v>57</v>
      </c>
      <c r="D415" s="17">
        <v>45909</v>
      </c>
      <c r="E415" s="17">
        <v>45911</v>
      </c>
      <c r="F415" s="16">
        <v>4</v>
      </c>
      <c r="G415" s="16">
        <v>249</v>
      </c>
      <c r="H415" s="16" t="s">
        <v>27</v>
      </c>
      <c r="I415" s="16" t="s">
        <v>550</v>
      </c>
      <c r="J415" s="16" t="s">
        <v>14</v>
      </c>
      <c r="K415" s="18" t="str">
        <f>TEXT('Retail Store Sales'!$D415,"yyyy")</f>
        <v>2025</v>
      </c>
      <c r="L415" s="15" t="str">
        <f>TEXT('Retail Store Sales'!$D415,"mmm")</f>
        <v>Sep</v>
      </c>
      <c r="M415" s="16" t="str">
        <f>TEXT('Retail Store Sales'!$D415,"dddd")</f>
        <v>Tuesday</v>
      </c>
      <c r="N415" s="24">
        <f t="shared" si="6"/>
        <v>2</v>
      </c>
      <c r="O415" s="16">
        <f>ROUND('Retail Store Sales'!$F415*'Retail Store Sales'!$G415*_xlfn.XLOOKUP('Retail Store Sales'!$C415,Table2[Product Name],Table2[Cost Percentage],0),0)</f>
        <v>847</v>
      </c>
      <c r="P415" s="16">
        <f>'Retail Store Sales'!$F415*'Retail Store Sales'!$G415</f>
        <v>996</v>
      </c>
      <c r="Q415" s="12">
        <f>P415-Table1[[#This Row],[Total cost]]</f>
        <v>149</v>
      </c>
    </row>
    <row r="416" spans="1:17" x14ac:dyDescent="0.45">
      <c r="A416" s="12" t="s">
        <v>460</v>
      </c>
      <c r="B416" s="12" t="s">
        <v>11</v>
      </c>
      <c r="C416" s="12" t="s">
        <v>26</v>
      </c>
      <c r="D416" s="13">
        <v>45854</v>
      </c>
      <c r="E416" s="13">
        <v>45867</v>
      </c>
      <c r="F416" s="12">
        <v>2</v>
      </c>
      <c r="G416" s="12">
        <v>146</v>
      </c>
      <c r="H416" s="12" t="s">
        <v>27</v>
      </c>
      <c r="I416" s="12" t="s">
        <v>546</v>
      </c>
      <c r="J416" s="12" t="s">
        <v>45</v>
      </c>
      <c r="K416" s="14" t="str">
        <f>TEXT('Retail Store Sales'!$D416,"yyyy")</f>
        <v>2025</v>
      </c>
      <c r="L416" s="11" t="str">
        <f>TEXT('Retail Store Sales'!$D416,"mmm")</f>
        <v>Jul</v>
      </c>
      <c r="M416" s="12" t="str">
        <f>TEXT('Retail Store Sales'!$D416,"dddd")</f>
        <v>Wednesday</v>
      </c>
      <c r="N416" s="23">
        <f t="shared" si="6"/>
        <v>13</v>
      </c>
      <c r="O416" s="16">
        <f>ROUND('Retail Store Sales'!$F416*'Retail Store Sales'!$G416*_xlfn.XLOOKUP('Retail Store Sales'!$C416,Table2[Product Name],Table2[Cost Percentage],0),0)</f>
        <v>190</v>
      </c>
      <c r="P416" s="12">
        <f>'Retail Store Sales'!$F416*'Retail Store Sales'!$G416</f>
        <v>292</v>
      </c>
      <c r="Q416" s="12">
        <f>P416-Table1[[#This Row],[Total cost]]</f>
        <v>102</v>
      </c>
    </row>
    <row r="417" spans="1:17" x14ac:dyDescent="0.45">
      <c r="A417" s="16" t="s">
        <v>461</v>
      </c>
      <c r="B417" s="16" t="s">
        <v>23</v>
      </c>
      <c r="C417" s="16" t="s">
        <v>24</v>
      </c>
      <c r="D417" s="17">
        <v>45665</v>
      </c>
      <c r="E417" s="17">
        <v>45678</v>
      </c>
      <c r="F417" s="16">
        <v>1</v>
      </c>
      <c r="G417" s="16">
        <v>333</v>
      </c>
      <c r="H417" s="16" t="s">
        <v>27</v>
      </c>
      <c r="I417" s="16" t="s">
        <v>32</v>
      </c>
      <c r="J417" s="16" t="s">
        <v>14</v>
      </c>
      <c r="K417" s="18" t="str">
        <f>TEXT('Retail Store Sales'!$D417,"yyyy")</f>
        <v>2025</v>
      </c>
      <c r="L417" s="15" t="str">
        <f>TEXT('Retail Store Sales'!$D417,"mmm")</f>
        <v>Jan</v>
      </c>
      <c r="M417" s="16" t="str">
        <f>TEXT('Retail Store Sales'!$D417,"dddd")</f>
        <v>Wednesday</v>
      </c>
      <c r="N417" s="24">
        <f t="shared" si="6"/>
        <v>13</v>
      </c>
      <c r="O417" s="16">
        <f>ROUND('Retail Store Sales'!$F417*'Retail Store Sales'!$G417*_xlfn.XLOOKUP('Retail Store Sales'!$C417,Table2[Product Name],Table2[Cost Percentage],0),0)</f>
        <v>183</v>
      </c>
      <c r="P417" s="16">
        <f>'Retail Store Sales'!$F417*'Retail Store Sales'!$G417</f>
        <v>333</v>
      </c>
      <c r="Q417" s="12">
        <f>P417-Table1[[#This Row],[Total cost]]</f>
        <v>150</v>
      </c>
    </row>
    <row r="418" spans="1:17" x14ac:dyDescent="0.45">
      <c r="A418" s="12" t="s">
        <v>462</v>
      </c>
      <c r="B418" s="12" t="s">
        <v>23</v>
      </c>
      <c r="C418" s="12" t="s">
        <v>37</v>
      </c>
      <c r="D418" s="13">
        <v>45897</v>
      </c>
      <c r="E418" s="13">
        <v>45904</v>
      </c>
      <c r="F418" s="12">
        <v>9</v>
      </c>
      <c r="G418" s="12">
        <v>687</v>
      </c>
      <c r="H418" s="12" t="s">
        <v>27</v>
      </c>
      <c r="I418" s="12" t="s">
        <v>546</v>
      </c>
      <c r="J418" s="12" t="s">
        <v>28</v>
      </c>
      <c r="K418" s="14" t="str">
        <f>TEXT('Retail Store Sales'!$D418,"yyyy")</f>
        <v>2025</v>
      </c>
      <c r="L418" s="11" t="str">
        <f>TEXT('Retail Store Sales'!$D418,"mmm")</f>
        <v>Aug</v>
      </c>
      <c r="M418" s="12" t="str">
        <f>TEXT('Retail Store Sales'!$D418,"dddd")</f>
        <v>Thursday</v>
      </c>
      <c r="N418" s="23">
        <f t="shared" si="6"/>
        <v>7</v>
      </c>
      <c r="O418" s="16">
        <f>ROUND('Retail Store Sales'!$F418*'Retail Store Sales'!$G418*_xlfn.XLOOKUP('Retail Store Sales'!$C418,Table2[Product Name],Table2[Cost Percentage],0),0)</f>
        <v>3092</v>
      </c>
      <c r="P418" s="12">
        <f>'Retail Store Sales'!$F418*'Retail Store Sales'!$G418</f>
        <v>6183</v>
      </c>
      <c r="Q418" s="12">
        <f>P418-Table1[[#This Row],[Total cost]]</f>
        <v>3091</v>
      </c>
    </row>
    <row r="419" spans="1:17" x14ac:dyDescent="0.45">
      <c r="A419" s="16" t="s">
        <v>463</v>
      </c>
      <c r="B419" s="16" t="s">
        <v>20</v>
      </c>
      <c r="C419" s="16" t="s">
        <v>82</v>
      </c>
      <c r="D419" s="17">
        <v>45847</v>
      </c>
      <c r="E419" s="17">
        <v>45857</v>
      </c>
      <c r="F419" s="16">
        <v>6</v>
      </c>
      <c r="G419" s="16">
        <v>342</v>
      </c>
      <c r="H419" s="16" t="s">
        <v>13</v>
      </c>
      <c r="I419" s="16" t="s">
        <v>32</v>
      </c>
      <c r="J419" s="16" t="s">
        <v>28</v>
      </c>
      <c r="K419" s="18" t="str">
        <f>TEXT('Retail Store Sales'!$D419,"yyyy")</f>
        <v>2025</v>
      </c>
      <c r="L419" s="15" t="str">
        <f>TEXT('Retail Store Sales'!$D419,"mmm")</f>
        <v>Jul</v>
      </c>
      <c r="M419" s="16" t="str">
        <f>TEXT('Retail Store Sales'!$D419,"dddd")</f>
        <v>Wednesday</v>
      </c>
      <c r="N419" s="24">
        <f t="shared" si="6"/>
        <v>10</v>
      </c>
      <c r="O419" s="16">
        <f>ROUND('Retail Store Sales'!$F419*'Retail Store Sales'!$G419*_xlfn.XLOOKUP('Retail Store Sales'!$C419,Table2[Product Name],Table2[Cost Percentage],0),0)</f>
        <v>1642</v>
      </c>
      <c r="P419" s="16">
        <f>'Retail Store Sales'!$F419*'Retail Store Sales'!$G419</f>
        <v>2052</v>
      </c>
      <c r="Q419" s="12">
        <f>P419-Table1[[#This Row],[Total cost]]</f>
        <v>410</v>
      </c>
    </row>
    <row r="420" spans="1:17" x14ac:dyDescent="0.45">
      <c r="A420" s="12" t="s">
        <v>464</v>
      </c>
      <c r="B420" s="12" t="s">
        <v>30</v>
      </c>
      <c r="C420" s="12" t="s">
        <v>75</v>
      </c>
      <c r="D420" s="13">
        <v>45972</v>
      </c>
      <c r="E420" s="13">
        <v>45977</v>
      </c>
      <c r="F420" s="12">
        <v>6</v>
      </c>
      <c r="G420" s="12">
        <v>461</v>
      </c>
      <c r="H420" s="12" t="s">
        <v>13</v>
      </c>
      <c r="I420" s="12" t="s">
        <v>549</v>
      </c>
      <c r="J420" s="12" t="s">
        <v>14</v>
      </c>
      <c r="K420" s="14" t="str">
        <f>TEXT('Retail Store Sales'!$D420,"yyyy")</f>
        <v>2025</v>
      </c>
      <c r="L420" s="11" t="str">
        <f>TEXT('Retail Store Sales'!$D420,"mmm")</f>
        <v>Nov</v>
      </c>
      <c r="M420" s="12" t="str">
        <f>TEXT('Retail Store Sales'!$D420,"dddd")</f>
        <v>Tuesday</v>
      </c>
      <c r="N420" s="23">
        <f t="shared" si="6"/>
        <v>5</v>
      </c>
      <c r="O420" s="16">
        <f>ROUND('Retail Store Sales'!$F420*'Retail Store Sales'!$G420*_xlfn.XLOOKUP('Retail Store Sales'!$C420,Table2[Product Name],Table2[Cost Percentage],0),0)</f>
        <v>2075</v>
      </c>
      <c r="P420" s="12">
        <f>'Retail Store Sales'!$F420*'Retail Store Sales'!$G420</f>
        <v>2766</v>
      </c>
      <c r="Q420" s="12">
        <f>P420-Table1[[#This Row],[Total cost]]</f>
        <v>691</v>
      </c>
    </row>
    <row r="421" spans="1:17" x14ac:dyDescent="0.45">
      <c r="A421" s="16" t="s">
        <v>465</v>
      </c>
      <c r="B421" s="16" t="s">
        <v>30</v>
      </c>
      <c r="C421" s="16" t="s">
        <v>49</v>
      </c>
      <c r="D421" s="17">
        <v>45707</v>
      </c>
      <c r="E421" s="17">
        <v>45717</v>
      </c>
      <c r="F421" s="16">
        <v>4</v>
      </c>
      <c r="G421" s="16">
        <v>371</v>
      </c>
      <c r="H421" s="16" t="s">
        <v>27</v>
      </c>
      <c r="I421" s="16" t="s">
        <v>548</v>
      </c>
      <c r="J421" s="16" t="s">
        <v>45</v>
      </c>
      <c r="K421" s="18" t="str">
        <f>TEXT('Retail Store Sales'!$D421,"yyyy")</f>
        <v>2025</v>
      </c>
      <c r="L421" s="15" t="str">
        <f>TEXT('Retail Store Sales'!$D421,"mmm")</f>
        <v>Feb</v>
      </c>
      <c r="M421" s="16" t="str">
        <f>TEXT('Retail Store Sales'!$D421,"dddd")</f>
        <v>Wednesday</v>
      </c>
      <c r="N421" s="24">
        <f t="shared" si="6"/>
        <v>10</v>
      </c>
      <c r="O421" s="16">
        <f>ROUND('Retail Store Sales'!$F421*'Retail Store Sales'!$G421*_xlfn.XLOOKUP('Retail Store Sales'!$C421,Table2[Product Name],Table2[Cost Percentage],0),0)</f>
        <v>1039</v>
      </c>
      <c r="P421" s="16">
        <f>'Retail Store Sales'!$F421*'Retail Store Sales'!$G421</f>
        <v>1484</v>
      </c>
      <c r="Q421" s="12">
        <f>P421-Table1[[#This Row],[Total cost]]</f>
        <v>445</v>
      </c>
    </row>
    <row r="422" spans="1:17" x14ac:dyDescent="0.45">
      <c r="A422" s="12" t="s">
        <v>466</v>
      </c>
      <c r="B422" s="12" t="s">
        <v>16</v>
      </c>
      <c r="C422" s="12" t="s">
        <v>55</v>
      </c>
      <c r="D422" s="13">
        <v>45698</v>
      </c>
      <c r="E422" s="13">
        <v>45707</v>
      </c>
      <c r="F422" s="12">
        <v>1</v>
      </c>
      <c r="G422" s="12">
        <v>200</v>
      </c>
      <c r="H422" s="12" t="s">
        <v>27</v>
      </c>
      <c r="I422" s="12" t="s">
        <v>548</v>
      </c>
      <c r="J422" s="12" t="s">
        <v>18</v>
      </c>
      <c r="K422" s="14" t="str">
        <f>TEXT('Retail Store Sales'!$D422,"yyyy")</f>
        <v>2025</v>
      </c>
      <c r="L422" s="11" t="str">
        <f>TEXT('Retail Store Sales'!$D422,"mmm")</f>
        <v>Feb</v>
      </c>
      <c r="M422" s="12" t="str">
        <f>TEXT('Retail Store Sales'!$D422,"dddd")</f>
        <v>Monday</v>
      </c>
      <c r="N422" s="23">
        <f t="shared" si="6"/>
        <v>9</v>
      </c>
      <c r="O422" s="16">
        <f>ROUND('Retail Store Sales'!$F422*'Retail Store Sales'!$G422*_xlfn.XLOOKUP('Retail Store Sales'!$C422,Table2[Product Name],Table2[Cost Percentage],0),0)</f>
        <v>110</v>
      </c>
      <c r="P422" s="12">
        <f>'Retail Store Sales'!$F422*'Retail Store Sales'!$G422</f>
        <v>200</v>
      </c>
      <c r="Q422" s="12">
        <f>P422-Table1[[#This Row],[Total cost]]</f>
        <v>90</v>
      </c>
    </row>
    <row r="423" spans="1:17" x14ac:dyDescent="0.45">
      <c r="A423" s="16" t="s">
        <v>467</v>
      </c>
      <c r="B423" s="16" t="s">
        <v>11</v>
      </c>
      <c r="C423" s="16" t="s">
        <v>12</v>
      </c>
      <c r="D423" s="17">
        <v>45694</v>
      </c>
      <c r="E423" s="17">
        <v>45703</v>
      </c>
      <c r="F423" s="16">
        <v>3</v>
      </c>
      <c r="G423" s="16">
        <v>356</v>
      </c>
      <c r="H423" s="16" t="s">
        <v>13</v>
      </c>
      <c r="I423" s="16" t="s">
        <v>548</v>
      </c>
      <c r="J423" s="16" t="s">
        <v>45</v>
      </c>
      <c r="K423" s="18" t="str">
        <f>TEXT('Retail Store Sales'!$D423,"yyyy")</f>
        <v>2025</v>
      </c>
      <c r="L423" s="15" t="str">
        <f>TEXT('Retail Store Sales'!$D423,"mmm")</f>
        <v>Feb</v>
      </c>
      <c r="M423" s="16" t="str">
        <f>TEXT('Retail Store Sales'!$D423,"dddd")</f>
        <v>Thursday</v>
      </c>
      <c r="N423" s="24">
        <f t="shared" si="6"/>
        <v>9</v>
      </c>
      <c r="O423" s="16">
        <f>ROUND('Retail Store Sales'!$F423*'Retail Store Sales'!$G423*_xlfn.XLOOKUP('Retail Store Sales'!$C423,Table2[Product Name],Table2[Cost Percentage],0),0)</f>
        <v>801</v>
      </c>
      <c r="P423" s="16">
        <f>'Retail Store Sales'!$F423*'Retail Store Sales'!$G423</f>
        <v>1068</v>
      </c>
      <c r="Q423" s="12">
        <f>P423-Table1[[#This Row],[Total cost]]</f>
        <v>267</v>
      </c>
    </row>
    <row r="424" spans="1:17" x14ac:dyDescent="0.45">
      <c r="A424" s="12" t="s">
        <v>468</v>
      </c>
      <c r="B424" s="12" t="s">
        <v>16</v>
      </c>
      <c r="C424" s="12" t="s">
        <v>17</v>
      </c>
      <c r="D424" s="13">
        <v>45720</v>
      </c>
      <c r="E424" s="13">
        <v>45721</v>
      </c>
      <c r="F424" s="12">
        <v>4</v>
      </c>
      <c r="G424" s="12">
        <v>587</v>
      </c>
      <c r="H424" s="12" t="s">
        <v>13</v>
      </c>
      <c r="I424" s="12" t="s">
        <v>546</v>
      </c>
      <c r="J424" s="12" t="s">
        <v>45</v>
      </c>
      <c r="K424" s="14" t="str">
        <f>TEXT('Retail Store Sales'!$D424,"yyyy")</f>
        <v>2025</v>
      </c>
      <c r="L424" s="11" t="str">
        <f>TEXT('Retail Store Sales'!$D424,"mmm")</f>
        <v>Mar</v>
      </c>
      <c r="M424" s="12" t="str">
        <f>TEXT('Retail Store Sales'!$D424,"dddd")</f>
        <v>Tuesday</v>
      </c>
      <c r="N424" s="23">
        <f t="shared" si="6"/>
        <v>1</v>
      </c>
      <c r="O424" s="16">
        <f>ROUND('Retail Store Sales'!$F424*'Retail Store Sales'!$G424*_xlfn.XLOOKUP('Retail Store Sales'!$C424,Table2[Product Name],Table2[Cost Percentage],0),0)</f>
        <v>1174</v>
      </c>
      <c r="P424" s="12">
        <f>'Retail Store Sales'!$F424*'Retail Store Sales'!$G424</f>
        <v>2348</v>
      </c>
      <c r="Q424" s="12">
        <f>P424-Table1[[#This Row],[Total cost]]</f>
        <v>1174</v>
      </c>
    </row>
    <row r="425" spans="1:17" x14ac:dyDescent="0.45">
      <c r="A425" s="16" t="s">
        <v>469</v>
      </c>
      <c r="B425" s="16" t="s">
        <v>16</v>
      </c>
      <c r="C425" s="16" t="s">
        <v>17</v>
      </c>
      <c r="D425" s="17">
        <v>45835</v>
      </c>
      <c r="E425" s="17">
        <v>45843</v>
      </c>
      <c r="F425" s="16">
        <v>4</v>
      </c>
      <c r="G425" s="16">
        <v>441</v>
      </c>
      <c r="H425" s="16" t="s">
        <v>13</v>
      </c>
      <c r="I425" s="16" t="s">
        <v>32</v>
      </c>
      <c r="J425" s="16" t="s">
        <v>14</v>
      </c>
      <c r="K425" s="18" t="str">
        <f>TEXT('Retail Store Sales'!$D425,"yyyy")</f>
        <v>2025</v>
      </c>
      <c r="L425" s="15" t="str">
        <f>TEXT('Retail Store Sales'!$D425,"mmm")</f>
        <v>Jun</v>
      </c>
      <c r="M425" s="16" t="str">
        <f>TEXT('Retail Store Sales'!$D425,"dddd")</f>
        <v>Friday</v>
      </c>
      <c r="N425" s="24">
        <f t="shared" si="6"/>
        <v>8</v>
      </c>
      <c r="O425" s="16">
        <f>ROUND('Retail Store Sales'!$F425*'Retail Store Sales'!$G425*_xlfn.XLOOKUP('Retail Store Sales'!$C425,Table2[Product Name],Table2[Cost Percentage],0),0)</f>
        <v>882</v>
      </c>
      <c r="P425" s="16">
        <f>'Retail Store Sales'!$F425*'Retail Store Sales'!$G425</f>
        <v>1764</v>
      </c>
      <c r="Q425" s="12">
        <f>P425-Table1[[#This Row],[Total cost]]</f>
        <v>882</v>
      </c>
    </row>
    <row r="426" spans="1:17" x14ac:dyDescent="0.45">
      <c r="A426" s="12" t="s">
        <v>470</v>
      </c>
      <c r="B426" s="12" t="s">
        <v>16</v>
      </c>
      <c r="C426" s="12" t="s">
        <v>63</v>
      </c>
      <c r="D426" s="13">
        <v>46013</v>
      </c>
      <c r="E426" s="13">
        <v>46022</v>
      </c>
      <c r="F426" s="12">
        <v>8</v>
      </c>
      <c r="G426" s="12">
        <v>953</v>
      </c>
      <c r="H426" s="12" t="s">
        <v>13</v>
      </c>
      <c r="I426" s="12" t="s">
        <v>548</v>
      </c>
      <c r="J426" s="12" t="s">
        <v>28</v>
      </c>
      <c r="K426" s="14" t="str">
        <f>TEXT('Retail Store Sales'!$D426,"yyyy")</f>
        <v>2025</v>
      </c>
      <c r="L426" s="11" t="str">
        <f>TEXT('Retail Store Sales'!$D426,"mmm")</f>
        <v>Dec</v>
      </c>
      <c r="M426" s="12" t="str">
        <f>TEXT('Retail Store Sales'!$D426,"dddd")</f>
        <v>Monday</v>
      </c>
      <c r="N426" s="23">
        <f t="shared" si="6"/>
        <v>9</v>
      </c>
      <c r="O426" s="16">
        <f>ROUND('Retail Store Sales'!$F426*'Retail Store Sales'!$G426*_xlfn.XLOOKUP('Retail Store Sales'!$C426,Table2[Product Name],Table2[Cost Percentage],0),0)</f>
        <v>3812</v>
      </c>
      <c r="P426" s="12">
        <f>'Retail Store Sales'!$F426*'Retail Store Sales'!$G426</f>
        <v>7624</v>
      </c>
      <c r="Q426" s="12">
        <f>P426-Table1[[#This Row],[Total cost]]</f>
        <v>3812</v>
      </c>
    </row>
    <row r="427" spans="1:17" x14ac:dyDescent="0.45">
      <c r="A427" s="16" t="s">
        <v>471</v>
      </c>
      <c r="B427" s="16" t="s">
        <v>30</v>
      </c>
      <c r="C427" s="16" t="s">
        <v>31</v>
      </c>
      <c r="D427" s="17">
        <v>45693</v>
      </c>
      <c r="E427" s="17">
        <v>45702</v>
      </c>
      <c r="F427" s="16">
        <v>10</v>
      </c>
      <c r="G427" s="16">
        <v>356</v>
      </c>
      <c r="H427" s="16" t="s">
        <v>13</v>
      </c>
      <c r="I427" s="16" t="s">
        <v>546</v>
      </c>
      <c r="J427" s="16" t="s">
        <v>45</v>
      </c>
      <c r="K427" s="18" t="str">
        <f>TEXT('Retail Store Sales'!$D427,"yyyy")</f>
        <v>2025</v>
      </c>
      <c r="L427" s="15" t="str">
        <f>TEXT('Retail Store Sales'!$D427,"mmm")</f>
        <v>Feb</v>
      </c>
      <c r="M427" s="16" t="str">
        <f>TEXT('Retail Store Sales'!$D427,"dddd")</f>
        <v>Wednesday</v>
      </c>
      <c r="N427" s="24">
        <f t="shared" si="6"/>
        <v>9</v>
      </c>
      <c r="O427" s="16">
        <f>ROUND('Retail Store Sales'!$F427*'Retail Store Sales'!$G427*_xlfn.XLOOKUP('Retail Store Sales'!$C427,Table2[Product Name],Table2[Cost Percentage],0),0)</f>
        <v>2670</v>
      </c>
      <c r="P427" s="16">
        <f>'Retail Store Sales'!$F427*'Retail Store Sales'!$G427</f>
        <v>3560</v>
      </c>
      <c r="Q427" s="12">
        <f>P427-Table1[[#This Row],[Total cost]]</f>
        <v>890</v>
      </c>
    </row>
    <row r="428" spans="1:17" x14ac:dyDescent="0.45">
      <c r="A428" s="12" t="s">
        <v>472</v>
      </c>
      <c r="B428" s="12" t="s">
        <v>20</v>
      </c>
      <c r="C428" s="12" t="s">
        <v>21</v>
      </c>
      <c r="D428" s="13">
        <v>45862</v>
      </c>
      <c r="E428" s="13">
        <v>45865</v>
      </c>
      <c r="F428" s="12">
        <v>9</v>
      </c>
      <c r="G428" s="12">
        <v>855</v>
      </c>
      <c r="H428" s="12" t="s">
        <v>27</v>
      </c>
      <c r="I428" s="12" t="s">
        <v>32</v>
      </c>
      <c r="J428" s="12" t="s">
        <v>18</v>
      </c>
      <c r="K428" s="14" t="str">
        <f>TEXT('Retail Store Sales'!$D428,"yyyy")</f>
        <v>2025</v>
      </c>
      <c r="L428" s="11" t="str">
        <f>TEXT('Retail Store Sales'!$D428,"mmm")</f>
        <v>Jul</v>
      </c>
      <c r="M428" s="12" t="str">
        <f>TEXT('Retail Store Sales'!$D428,"dddd")</f>
        <v>Thursday</v>
      </c>
      <c r="N428" s="23">
        <f t="shared" si="6"/>
        <v>3</v>
      </c>
      <c r="O428" s="16">
        <f>ROUND('Retail Store Sales'!$F428*'Retail Store Sales'!$G428*_xlfn.XLOOKUP('Retail Store Sales'!$C428,Table2[Product Name],Table2[Cost Percentage],0),0)</f>
        <v>5771</v>
      </c>
      <c r="P428" s="12">
        <f>'Retail Store Sales'!$F428*'Retail Store Sales'!$G428</f>
        <v>7695</v>
      </c>
      <c r="Q428" s="12">
        <f>P428-Table1[[#This Row],[Total cost]]</f>
        <v>1924</v>
      </c>
    </row>
    <row r="429" spans="1:17" x14ac:dyDescent="0.45">
      <c r="A429" s="16" t="s">
        <v>473</v>
      </c>
      <c r="B429" s="16" t="s">
        <v>16</v>
      </c>
      <c r="C429" s="16" t="s">
        <v>63</v>
      </c>
      <c r="D429" s="17">
        <v>45773</v>
      </c>
      <c r="E429" s="17">
        <v>45787</v>
      </c>
      <c r="F429" s="16">
        <v>1</v>
      </c>
      <c r="G429" s="16">
        <v>320</v>
      </c>
      <c r="H429" s="16" t="s">
        <v>27</v>
      </c>
      <c r="I429" s="16" t="s">
        <v>550</v>
      </c>
      <c r="J429" s="16" t="s">
        <v>14</v>
      </c>
      <c r="K429" s="18" t="str">
        <f>TEXT('Retail Store Sales'!$D429,"yyyy")</f>
        <v>2025</v>
      </c>
      <c r="L429" s="15" t="str">
        <f>TEXT('Retail Store Sales'!$D429,"mmm")</f>
        <v>Apr</v>
      </c>
      <c r="M429" s="16" t="str">
        <f>TEXT('Retail Store Sales'!$D429,"dddd")</f>
        <v>Saturday</v>
      </c>
      <c r="N429" s="24">
        <f t="shared" si="6"/>
        <v>14</v>
      </c>
      <c r="O429" s="16">
        <f>ROUND('Retail Store Sales'!$F429*'Retail Store Sales'!$G429*_xlfn.XLOOKUP('Retail Store Sales'!$C429,Table2[Product Name],Table2[Cost Percentage],0),0)</f>
        <v>160</v>
      </c>
      <c r="P429" s="16">
        <f>'Retail Store Sales'!$F429*'Retail Store Sales'!$G429</f>
        <v>320</v>
      </c>
      <c r="Q429" s="12">
        <f>P429-Table1[[#This Row],[Total cost]]</f>
        <v>160</v>
      </c>
    </row>
    <row r="430" spans="1:17" x14ac:dyDescent="0.45">
      <c r="A430" s="12" t="s">
        <v>474</v>
      </c>
      <c r="B430" s="12" t="s">
        <v>20</v>
      </c>
      <c r="C430" s="12" t="s">
        <v>82</v>
      </c>
      <c r="D430" s="13">
        <v>46011</v>
      </c>
      <c r="E430" s="13">
        <v>46021</v>
      </c>
      <c r="F430" s="12">
        <v>10</v>
      </c>
      <c r="G430" s="12">
        <v>308</v>
      </c>
      <c r="H430" s="12" t="s">
        <v>27</v>
      </c>
      <c r="I430" s="12" t="s">
        <v>550</v>
      </c>
      <c r="J430" s="12" t="s">
        <v>45</v>
      </c>
      <c r="K430" s="14" t="str">
        <f>TEXT('Retail Store Sales'!$D430,"yyyy")</f>
        <v>2025</v>
      </c>
      <c r="L430" s="11" t="str">
        <f>TEXT('Retail Store Sales'!$D430,"mmm")</f>
        <v>Dec</v>
      </c>
      <c r="M430" s="12" t="str">
        <f>TEXT('Retail Store Sales'!$D430,"dddd")</f>
        <v>Saturday</v>
      </c>
      <c r="N430" s="23">
        <f t="shared" si="6"/>
        <v>10</v>
      </c>
      <c r="O430" s="16">
        <f>ROUND('Retail Store Sales'!$F430*'Retail Store Sales'!$G430*_xlfn.XLOOKUP('Retail Store Sales'!$C430,Table2[Product Name],Table2[Cost Percentage],0),0)</f>
        <v>2464</v>
      </c>
      <c r="P430" s="12">
        <f>'Retail Store Sales'!$F430*'Retail Store Sales'!$G430</f>
        <v>3080</v>
      </c>
      <c r="Q430" s="12">
        <f>P430-Table1[[#This Row],[Total cost]]</f>
        <v>616</v>
      </c>
    </row>
    <row r="431" spans="1:17" x14ac:dyDescent="0.45">
      <c r="A431" s="16" t="s">
        <v>475</v>
      </c>
      <c r="B431" s="16" t="s">
        <v>20</v>
      </c>
      <c r="C431" s="16" t="s">
        <v>21</v>
      </c>
      <c r="D431" s="17">
        <v>46007</v>
      </c>
      <c r="E431" s="17">
        <v>46020</v>
      </c>
      <c r="F431" s="16">
        <v>8</v>
      </c>
      <c r="G431" s="16">
        <v>259</v>
      </c>
      <c r="H431" s="16" t="s">
        <v>27</v>
      </c>
      <c r="I431" s="16" t="s">
        <v>548</v>
      </c>
      <c r="J431" s="16" t="s">
        <v>28</v>
      </c>
      <c r="K431" s="18" t="str">
        <f>TEXT('Retail Store Sales'!$D431,"yyyy")</f>
        <v>2025</v>
      </c>
      <c r="L431" s="15" t="str">
        <f>TEXT('Retail Store Sales'!$D431,"mmm")</f>
        <v>Dec</v>
      </c>
      <c r="M431" s="16" t="str">
        <f>TEXT('Retail Store Sales'!$D431,"dddd")</f>
        <v>Tuesday</v>
      </c>
      <c r="N431" s="24">
        <f t="shared" si="6"/>
        <v>13</v>
      </c>
      <c r="O431" s="16">
        <f>ROUND('Retail Store Sales'!$F431*'Retail Store Sales'!$G431*_xlfn.XLOOKUP('Retail Store Sales'!$C431,Table2[Product Name],Table2[Cost Percentage],0),0)</f>
        <v>1554</v>
      </c>
      <c r="P431" s="16">
        <f>'Retail Store Sales'!$F431*'Retail Store Sales'!$G431</f>
        <v>2072</v>
      </c>
      <c r="Q431" s="12">
        <f>P431-Table1[[#This Row],[Total cost]]</f>
        <v>518</v>
      </c>
    </row>
    <row r="432" spans="1:17" x14ac:dyDescent="0.45">
      <c r="A432" s="12" t="s">
        <v>476</v>
      </c>
      <c r="B432" s="12" t="s">
        <v>20</v>
      </c>
      <c r="C432" s="12" t="s">
        <v>21</v>
      </c>
      <c r="D432" s="13">
        <v>45684</v>
      </c>
      <c r="E432" s="13">
        <v>45686</v>
      </c>
      <c r="F432" s="12">
        <v>8</v>
      </c>
      <c r="G432" s="12">
        <v>684</v>
      </c>
      <c r="H432" s="12" t="s">
        <v>13</v>
      </c>
      <c r="I432" s="12" t="s">
        <v>548</v>
      </c>
      <c r="J432" s="12" t="s">
        <v>28</v>
      </c>
      <c r="K432" s="14" t="str">
        <f>TEXT('Retail Store Sales'!$D432,"yyyy")</f>
        <v>2025</v>
      </c>
      <c r="L432" s="11" t="str">
        <f>TEXT('Retail Store Sales'!$D432,"mmm")</f>
        <v>Jan</v>
      </c>
      <c r="M432" s="12" t="str">
        <f>TEXT('Retail Store Sales'!$D432,"dddd")</f>
        <v>Monday</v>
      </c>
      <c r="N432" s="23">
        <f t="shared" si="6"/>
        <v>2</v>
      </c>
      <c r="O432" s="16">
        <f>ROUND('Retail Store Sales'!$F432*'Retail Store Sales'!$G432*_xlfn.XLOOKUP('Retail Store Sales'!$C432,Table2[Product Name],Table2[Cost Percentage],0),0)</f>
        <v>4104</v>
      </c>
      <c r="P432" s="12">
        <f>'Retail Store Sales'!$F432*'Retail Store Sales'!$G432</f>
        <v>5472</v>
      </c>
      <c r="Q432" s="12">
        <f>P432-Table1[[#This Row],[Total cost]]</f>
        <v>1368</v>
      </c>
    </row>
    <row r="433" spans="1:17" x14ac:dyDescent="0.45">
      <c r="A433" s="16" t="s">
        <v>477</v>
      </c>
      <c r="B433" s="16" t="s">
        <v>20</v>
      </c>
      <c r="C433" s="16" t="s">
        <v>82</v>
      </c>
      <c r="D433" s="17">
        <v>45925</v>
      </c>
      <c r="E433" s="17">
        <v>45930</v>
      </c>
      <c r="F433" s="16">
        <v>6</v>
      </c>
      <c r="G433" s="16">
        <v>993</v>
      </c>
      <c r="H433" s="16" t="s">
        <v>27</v>
      </c>
      <c r="I433" s="16" t="s">
        <v>546</v>
      </c>
      <c r="J433" s="16" t="s">
        <v>14</v>
      </c>
      <c r="K433" s="18" t="str">
        <f>TEXT('Retail Store Sales'!$D433,"yyyy")</f>
        <v>2025</v>
      </c>
      <c r="L433" s="15" t="str">
        <f>TEXT('Retail Store Sales'!$D433,"mmm")</f>
        <v>Sep</v>
      </c>
      <c r="M433" s="16" t="str">
        <f>TEXT('Retail Store Sales'!$D433,"dddd")</f>
        <v>Thursday</v>
      </c>
      <c r="N433" s="24">
        <f t="shared" si="6"/>
        <v>5</v>
      </c>
      <c r="O433" s="16">
        <f>ROUND('Retail Store Sales'!$F433*'Retail Store Sales'!$G433*_xlfn.XLOOKUP('Retail Store Sales'!$C433,Table2[Product Name],Table2[Cost Percentage],0),0)</f>
        <v>4766</v>
      </c>
      <c r="P433" s="16">
        <f>'Retail Store Sales'!$F433*'Retail Store Sales'!$G433</f>
        <v>5958</v>
      </c>
      <c r="Q433" s="12">
        <f>P433-Table1[[#This Row],[Total cost]]</f>
        <v>1192</v>
      </c>
    </row>
    <row r="434" spans="1:17" x14ac:dyDescent="0.45">
      <c r="A434" s="12" t="s">
        <v>478</v>
      </c>
      <c r="B434" s="12" t="s">
        <v>30</v>
      </c>
      <c r="C434" s="12" t="s">
        <v>41</v>
      </c>
      <c r="D434" s="13">
        <v>45798</v>
      </c>
      <c r="E434" s="13">
        <v>45804</v>
      </c>
      <c r="F434" s="12">
        <v>1</v>
      </c>
      <c r="G434" s="12">
        <v>773</v>
      </c>
      <c r="H434" s="12" t="s">
        <v>27</v>
      </c>
      <c r="I434" s="12" t="s">
        <v>32</v>
      </c>
      <c r="J434" s="12" t="s">
        <v>14</v>
      </c>
      <c r="K434" s="14" t="str">
        <f>TEXT('Retail Store Sales'!$D434,"yyyy")</f>
        <v>2025</v>
      </c>
      <c r="L434" s="11" t="str">
        <f>TEXT('Retail Store Sales'!$D434,"mmm")</f>
        <v>May</v>
      </c>
      <c r="M434" s="12" t="str">
        <f>TEXT('Retail Store Sales'!$D434,"dddd")</f>
        <v>Wednesday</v>
      </c>
      <c r="N434" s="23">
        <f t="shared" si="6"/>
        <v>6</v>
      </c>
      <c r="O434" s="16">
        <f>ROUND('Retail Store Sales'!$F434*'Retail Store Sales'!$G434*_xlfn.XLOOKUP('Retail Store Sales'!$C434,Table2[Product Name],Table2[Cost Percentage],0),0)</f>
        <v>502</v>
      </c>
      <c r="P434" s="12">
        <f>'Retail Store Sales'!$F434*'Retail Store Sales'!$G434</f>
        <v>773</v>
      </c>
      <c r="Q434" s="12">
        <f>P434-Table1[[#This Row],[Total cost]]</f>
        <v>271</v>
      </c>
    </row>
    <row r="435" spans="1:17" x14ac:dyDescent="0.45">
      <c r="A435" s="16" t="s">
        <v>479</v>
      </c>
      <c r="B435" s="16" t="s">
        <v>11</v>
      </c>
      <c r="C435" s="16" t="s">
        <v>57</v>
      </c>
      <c r="D435" s="17">
        <v>45663</v>
      </c>
      <c r="E435" s="17">
        <v>45669</v>
      </c>
      <c r="F435" s="16">
        <v>8</v>
      </c>
      <c r="G435" s="16">
        <v>527</v>
      </c>
      <c r="H435" s="16" t="s">
        <v>27</v>
      </c>
      <c r="I435" s="16" t="s">
        <v>550</v>
      </c>
      <c r="J435" s="16" t="s">
        <v>45</v>
      </c>
      <c r="K435" s="18" t="str">
        <f>TEXT('Retail Store Sales'!$D435,"yyyy")</f>
        <v>2025</v>
      </c>
      <c r="L435" s="15" t="str">
        <f>TEXT('Retail Store Sales'!$D435,"mmm")</f>
        <v>Jan</v>
      </c>
      <c r="M435" s="16" t="str">
        <f>TEXT('Retail Store Sales'!$D435,"dddd")</f>
        <v>Monday</v>
      </c>
      <c r="N435" s="24">
        <f t="shared" si="6"/>
        <v>6</v>
      </c>
      <c r="O435" s="16">
        <f>ROUND('Retail Store Sales'!$F435*'Retail Store Sales'!$G435*_xlfn.XLOOKUP('Retail Store Sales'!$C435,Table2[Product Name],Table2[Cost Percentage],0),0)</f>
        <v>3584</v>
      </c>
      <c r="P435" s="16">
        <f>'Retail Store Sales'!$F435*'Retail Store Sales'!$G435</f>
        <v>4216</v>
      </c>
      <c r="Q435" s="12">
        <f>P435-Table1[[#This Row],[Total cost]]</f>
        <v>632</v>
      </c>
    </row>
    <row r="436" spans="1:17" x14ac:dyDescent="0.45">
      <c r="A436" s="12" t="s">
        <v>480</v>
      </c>
      <c r="B436" s="12" t="s">
        <v>20</v>
      </c>
      <c r="C436" s="12" t="s">
        <v>82</v>
      </c>
      <c r="D436" s="13">
        <v>45992</v>
      </c>
      <c r="E436" s="13">
        <v>46002</v>
      </c>
      <c r="F436" s="12">
        <v>10</v>
      </c>
      <c r="G436" s="12">
        <v>752</v>
      </c>
      <c r="H436" s="12" t="s">
        <v>13</v>
      </c>
      <c r="I436" s="12" t="s">
        <v>550</v>
      </c>
      <c r="J436" s="12" t="s">
        <v>14</v>
      </c>
      <c r="K436" s="14" t="str">
        <f>TEXT('Retail Store Sales'!$D436,"yyyy")</f>
        <v>2025</v>
      </c>
      <c r="L436" s="11" t="str">
        <f>TEXT('Retail Store Sales'!$D436,"mmm")</f>
        <v>Dec</v>
      </c>
      <c r="M436" s="12" t="str">
        <f>TEXT('Retail Store Sales'!$D436,"dddd")</f>
        <v>Monday</v>
      </c>
      <c r="N436" s="23">
        <f t="shared" si="6"/>
        <v>10</v>
      </c>
      <c r="O436" s="16">
        <f>ROUND('Retail Store Sales'!$F436*'Retail Store Sales'!$G436*_xlfn.XLOOKUP('Retail Store Sales'!$C436,Table2[Product Name],Table2[Cost Percentage],0),0)</f>
        <v>6016</v>
      </c>
      <c r="P436" s="12">
        <f>'Retail Store Sales'!$F436*'Retail Store Sales'!$G436</f>
        <v>7520</v>
      </c>
      <c r="Q436" s="12">
        <f>P436-Table1[[#This Row],[Total cost]]</f>
        <v>1504</v>
      </c>
    </row>
    <row r="437" spans="1:17" x14ac:dyDescent="0.45">
      <c r="A437" s="16" t="s">
        <v>481</v>
      </c>
      <c r="B437" s="16" t="s">
        <v>23</v>
      </c>
      <c r="C437" s="16" t="s">
        <v>37</v>
      </c>
      <c r="D437" s="17">
        <v>45988</v>
      </c>
      <c r="E437" s="17">
        <v>45995</v>
      </c>
      <c r="F437" s="16">
        <v>1</v>
      </c>
      <c r="G437" s="16">
        <v>821</v>
      </c>
      <c r="H437" s="16" t="s">
        <v>13</v>
      </c>
      <c r="I437" s="16" t="s">
        <v>548</v>
      </c>
      <c r="J437" s="16" t="s">
        <v>14</v>
      </c>
      <c r="K437" s="18" t="str">
        <f>TEXT('Retail Store Sales'!$D437,"yyyy")</f>
        <v>2025</v>
      </c>
      <c r="L437" s="15" t="str">
        <f>TEXT('Retail Store Sales'!$D437,"mmm")</f>
        <v>Nov</v>
      </c>
      <c r="M437" s="16" t="str">
        <f>TEXT('Retail Store Sales'!$D437,"dddd")</f>
        <v>Thursday</v>
      </c>
      <c r="N437" s="24">
        <f t="shared" si="6"/>
        <v>7</v>
      </c>
      <c r="O437" s="16">
        <f>ROUND('Retail Store Sales'!$F437*'Retail Store Sales'!$G437*_xlfn.XLOOKUP('Retail Store Sales'!$C437,Table2[Product Name],Table2[Cost Percentage],0),0)</f>
        <v>411</v>
      </c>
      <c r="P437" s="16">
        <f>'Retail Store Sales'!$F437*'Retail Store Sales'!$G437</f>
        <v>821</v>
      </c>
      <c r="Q437" s="12">
        <f>P437-Table1[[#This Row],[Total cost]]</f>
        <v>410</v>
      </c>
    </row>
    <row r="438" spans="1:17" x14ac:dyDescent="0.45">
      <c r="A438" s="12" t="s">
        <v>482</v>
      </c>
      <c r="B438" s="12" t="s">
        <v>20</v>
      </c>
      <c r="C438" s="12" t="s">
        <v>53</v>
      </c>
      <c r="D438" s="13">
        <v>45928</v>
      </c>
      <c r="E438" s="13">
        <v>45934</v>
      </c>
      <c r="F438" s="12">
        <v>9</v>
      </c>
      <c r="G438" s="12">
        <v>733</v>
      </c>
      <c r="H438" s="12" t="s">
        <v>27</v>
      </c>
      <c r="I438" s="12" t="s">
        <v>549</v>
      </c>
      <c r="J438" s="12" t="s">
        <v>28</v>
      </c>
      <c r="K438" s="14" t="str">
        <f>TEXT('Retail Store Sales'!$D438,"yyyy")</f>
        <v>2025</v>
      </c>
      <c r="L438" s="11" t="str">
        <f>TEXT('Retail Store Sales'!$D438,"mmm")</f>
        <v>Sep</v>
      </c>
      <c r="M438" s="12" t="str">
        <f>TEXT('Retail Store Sales'!$D438,"dddd")</f>
        <v>Sunday</v>
      </c>
      <c r="N438" s="23">
        <f t="shared" si="6"/>
        <v>6</v>
      </c>
      <c r="O438" s="16">
        <f>ROUND('Retail Store Sales'!$F438*'Retail Store Sales'!$G438*_xlfn.XLOOKUP('Retail Store Sales'!$C438,Table2[Product Name],Table2[Cost Percentage],0),0)</f>
        <v>4618</v>
      </c>
      <c r="P438" s="12">
        <f>'Retail Store Sales'!$F438*'Retail Store Sales'!$G438</f>
        <v>6597</v>
      </c>
      <c r="Q438" s="12">
        <f>P438-Table1[[#This Row],[Total cost]]</f>
        <v>1979</v>
      </c>
    </row>
    <row r="439" spans="1:17" x14ac:dyDescent="0.45">
      <c r="A439" s="16" t="s">
        <v>483</v>
      </c>
      <c r="B439" s="16" t="s">
        <v>23</v>
      </c>
      <c r="C439" s="16" t="s">
        <v>69</v>
      </c>
      <c r="D439" s="17">
        <v>45707</v>
      </c>
      <c r="E439" s="17">
        <v>45713</v>
      </c>
      <c r="F439" s="16">
        <v>7</v>
      </c>
      <c r="G439" s="16">
        <v>471</v>
      </c>
      <c r="H439" s="16" t="s">
        <v>27</v>
      </c>
      <c r="I439" s="16" t="s">
        <v>550</v>
      </c>
      <c r="J439" s="16" t="s">
        <v>45</v>
      </c>
      <c r="K439" s="18" t="str">
        <f>TEXT('Retail Store Sales'!$D439,"yyyy")</f>
        <v>2025</v>
      </c>
      <c r="L439" s="15" t="str">
        <f>TEXT('Retail Store Sales'!$D439,"mmm")</f>
        <v>Feb</v>
      </c>
      <c r="M439" s="16" t="str">
        <f>TEXT('Retail Store Sales'!$D439,"dddd")</f>
        <v>Wednesday</v>
      </c>
      <c r="N439" s="24">
        <f t="shared" si="6"/>
        <v>6</v>
      </c>
      <c r="O439" s="16">
        <f>ROUND('Retail Store Sales'!$F439*'Retail Store Sales'!$G439*_xlfn.XLOOKUP('Retail Store Sales'!$C439,Table2[Product Name],Table2[Cost Percentage],0),0)</f>
        <v>1813</v>
      </c>
      <c r="P439" s="16">
        <f>'Retail Store Sales'!$F439*'Retail Store Sales'!$G439</f>
        <v>3297</v>
      </c>
      <c r="Q439" s="12">
        <f>P439-Table1[[#This Row],[Total cost]]</f>
        <v>1484</v>
      </c>
    </row>
    <row r="440" spans="1:17" x14ac:dyDescent="0.45">
      <c r="A440" s="12" t="s">
        <v>484</v>
      </c>
      <c r="B440" s="12" t="s">
        <v>30</v>
      </c>
      <c r="C440" s="12" t="s">
        <v>41</v>
      </c>
      <c r="D440" s="13">
        <v>45738</v>
      </c>
      <c r="E440" s="13">
        <v>45745</v>
      </c>
      <c r="F440" s="12">
        <v>2</v>
      </c>
      <c r="G440" s="12">
        <v>566</v>
      </c>
      <c r="H440" s="12" t="s">
        <v>27</v>
      </c>
      <c r="I440" s="12" t="s">
        <v>549</v>
      </c>
      <c r="J440" s="12" t="s">
        <v>18</v>
      </c>
      <c r="K440" s="14" t="str">
        <f>TEXT('Retail Store Sales'!$D440,"yyyy")</f>
        <v>2025</v>
      </c>
      <c r="L440" s="11" t="str">
        <f>TEXT('Retail Store Sales'!$D440,"mmm")</f>
        <v>Mar</v>
      </c>
      <c r="M440" s="12" t="str">
        <f>TEXT('Retail Store Sales'!$D440,"dddd")</f>
        <v>Saturday</v>
      </c>
      <c r="N440" s="23">
        <f t="shared" si="6"/>
        <v>7</v>
      </c>
      <c r="O440" s="16">
        <f>ROUND('Retail Store Sales'!$F440*'Retail Store Sales'!$G440*_xlfn.XLOOKUP('Retail Store Sales'!$C440,Table2[Product Name],Table2[Cost Percentage],0),0)</f>
        <v>736</v>
      </c>
      <c r="P440" s="12">
        <f>'Retail Store Sales'!$F440*'Retail Store Sales'!$G440</f>
        <v>1132</v>
      </c>
      <c r="Q440" s="12">
        <f>P440-Table1[[#This Row],[Total cost]]</f>
        <v>396</v>
      </c>
    </row>
    <row r="441" spans="1:17" x14ac:dyDescent="0.45">
      <c r="A441" s="16" t="s">
        <v>485</v>
      </c>
      <c r="B441" s="16" t="s">
        <v>20</v>
      </c>
      <c r="C441" s="16" t="s">
        <v>21</v>
      </c>
      <c r="D441" s="17">
        <v>45839</v>
      </c>
      <c r="E441" s="17">
        <v>45846</v>
      </c>
      <c r="F441" s="16">
        <v>1</v>
      </c>
      <c r="G441" s="16">
        <v>284</v>
      </c>
      <c r="H441" s="16" t="s">
        <v>13</v>
      </c>
      <c r="I441" s="16" t="s">
        <v>549</v>
      </c>
      <c r="J441" s="16" t="s">
        <v>45</v>
      </c>
      <c r="K441" s="18" t="str">
        <f>TEXT('Retail Store Sales'!$D441,"yyyy")</f>
        <v>2025</v>
      </c>
      <c r="L441" s="15" t="str">
        <f>TEXT('Retail Store Sales'!$D441,"mmm")</f>
        <v>Jul</v>
      </c>
      <c r="M441" s="16" t="str">
        <f>TEXT('Retail Store Sales'!$D441,"dddd")</f>
        <v>Tuesday</v>
      </c>
      <c r="N441" s="24">
        <f t="shared" si="6"/>
        <v>7</v>
      </c>
      <c r="O441" s="16">
        <f>ROUND('Retail Store Sales'!$F441*'Retail Store Sales'!$G441*_xlfn.XLOOKUP('Retail Store Sales'!$C441,Table2[Product Name],Table2[Cost Percentage],0),0)</f>
        <v>213</v>
      </c>
      <c r="P441" s="16">
        <f>'Retail Store Sales'!$F441*'Retail Store Sales'!$G441</f>
        <v>284</v>
      </c>
      <c r="Q441" s="12">
        <f>P441-Table1[[#This Row],[Total cost]]</f>
        <v>71</v>
      </c>
    </row>
    <row r="442" spans="1:17" x14ac:dyDescent="0.45">
      <c r="A442" s="12" t="s">
        <v>486</v>
      </c>
      <c r="B442" s="12" t="s">
        <v>11</v>
      </c>
      <c r="C442" s="12" t="s">
        <v>12</v>
      </c>
      <c r="D442" s="13">
        <v>45886</v>
      </c>
      <c r="E442" s="13">
        <v>45887</v>
      </c>
      <c r="F442" s="12">
        <v>8</v>
      </c>
      <c r="G442" s="12">
        <v>48</v>
      </c>
      <c r="H442" s="12" t="s">
        <v>13</v>
      </c>
      <c r="I442" s="12" t="s">
        <v>32</v>
      </c>
      <c r="J442" s="12" t="s">
        <v>45</v>
      </c>
      <c r="K442" s="14" t="str">
        <f>TEXT('Retail Store Sales'!$D442,"yyyy")</f>
        <v>2025</v>
      </c>
      <c r="L442" s="11" t="str">
        <f>TEXT('Retail Store Sales'!$D442,"mmm")</f>
        <v>Aug</v>
      </c>
      <c r="M442" s="12" t="str">
        <f>TEXT('Retail Store Sales'!$D442,"dddd")</f>
        <v>Sunday</v>
      </c>
      <c r="N442" s="23">
        <f t="shared" si="6"/>
        <v>1</v>
      </c>
      <c r="O442" s="16">
        <f>ROUND('Retail Store Sales'!$F442*'Retail Store Sales'!$G442*_xlfn.XLOOKUP('Retail Store Sales'!$C442,Table2[Product Name],Table2[Cost Percentage],0),0)</f>
        <v>288</v>
      </c>
      <c r="P442" s="12">
        <f>'Retail Store Sales'!$F442*'Retail Store Sales'!$G442</f>
        <v>384</v>
      </c>
      <c r="Q442" s="12">
        <f>P442-Table1[[#This Row],[Total cost]]</f>
        <v>96</v>
      </c>
    </row>
    <row r="443" spans="1:17" x14ac:dyDescent="0.45">
      <c r="A443" s="16" t="s">
        <v>487</v>
      </c>
      <c r="B443" s="16" t="s">
        <v>20</v>
      </c>
      <c r="C443" s="16" t="s">
        <v>21</v>
      </c>
      <c r="D443" s="17">
        <v>45874</v>
      </c>
      <c r="E443" s="17">
        <v>45880</v>
      </c>
      <c r="F443" s="16">
        <v>3</v>
      </c>
      <c r="G443" s="16">
        <v>262</v>
      </c>
      <c r="H443" s="16" t="s">
        <v>27</v>
      </c>
      <c r="I443" s="16" t="s">
        <v>32</v>
      </c>
      <c r="J443" s="16" t="s">
        <v>28</v>
      </c>
      <c r="K443" s="18" t="str">
        <f>TEXT('Retail Store Sales'!$D443,"yyyy")</f>
        <v>2025</v>
      </c>
      <c r="L443" s="15" t="str">
        <f>TEXT('Retail Store Sales'!$D443,"mmm")</f>
        <v>Aug</v>
      </c>
      <c r="M443" s="16" t="str">
        <f>TEXT('Retail Store Sales'!$D443,"dddd")</f>
        <v>Tuesday</v>
      </c>
      <c r="N443" s="24">
        <f t="shared" si="6"/>
        <v>6</v>
      </c>
      <c r="O443" s="16">
        <f>ROUND('Retail Store Sales'!$F443*'Retail Store Sales'!$G443*_xlfn.XLOOKUP('Retail Store Sales'!$C443,Table2[Product Name],Table2[Cost Percentage],0),0)</f>
        <v>590</v>
      </c>
      <c r="P443" s="16">
        <f>'Retail Store Sales'!$F443*'Retail Store Sales'!$G443</f>
        <v>786</v>
      </c>
      <c r="Q443" s="12">
        <f>P443-Table1[[#This Row],[Total cost]]</f>
        <v>196</v>
      </c>
    </row>
    <row r="444" spans="1:17" x14ac:dyDescent="0.45">
      <c r="A444" s="12" t="s">
        <v>488</v>
      </c>
      <c r="B444" s="12" t="s">
        <v>20</v>
      </c>
      <c r="C444" s="12" t="s">
        <v>39</v>
      </c>
      <c r="D444" s="13">
        <v>45716</v>
      </c>
      <c r="E444" s="13">
        <v>45726</v>
      </c>
      <c r="F444" s="12">
        <v>8</v>
      </c>
      <c r="G444" s="12">
        <v>733</v>
      </c>
      <c r="H444" s="12" t="s">
        <v>13</v>
      </c>
      <c r="I444" s="12" t="s">
        <v>550</v>
      </c>
      <c r="J444" s="12" t="s">
        <v>45</v>
      </c>
      <c r="K444" s="14" t="str">
        <f>TEXT('Retail Store Sales'!$D444,"yyyy")</f>
        <v>2025</v>
      </c>
      <c r="L444" s="11" t="str">
        <f>TEXT('Retail Store Sales'!$D444,"mmm")</f>
        <v>Feb</v>
      </c>
      <c r="M444" s="12" t="str">
        <f>TEXT('Retail Store Sales'!$D444,"dddd")</f>
        <v>Friday</v>
      </c>
      <c r="N444" s="23">
        <f t="shared" si="6"/>
        <v>10</v>
      </c>
      <c r="O444" s="16">
        <f>ROUND('Retail Store Sales'!$F444*'Retail Store Sales'!$G444*_xlfn.XLOOKUP('Retail Store Sales'!$C444,Table2[Product Name],Table2[Cost Percentage],0),0)</f>
        <v>3812</v>
      </c>
      <c r="P444" s="12">
        <f>'Retail Store Sales'!$F444*'Retail Store Sales'!$G444</f>
        <v>5864</v>
      </c>
      <c r="Q444" s="12">
        <f>P444-Table1[[#This Row],[Total cost]]</f>
        <v>2052</v>
      </c>
    </row>
    <row r="445" spans="1:17" x14ac:dyDescent="0.45">
      <c r="A445" s="16" t="s">
        <v>489</v>
      </c>
      <c r="B445" s="16" t="s">
        <v>20</v>
      </c>
      <c r="C445" s="16" t="s">
        <v>21</v>
      </c>
      <c r="D445" s="17">
        <v>45758</v>
      </c>
      <c r="E445" s="17">
        <v>45761</v>
      </c>
      <c r="F445" s="16">
        <v>8</v>
      </c>
      <c r="G445" s="16">
        <v>258</v>
      </c>
      <c r="H445" s="16" t="s">
        <v>13</v>
      </c>
      <c r="I445" s="16" t="s">
        <v>546</v>
      </c>
      <c r="J445" s="16" t="s">
        <v>14</v>
      </c>
      <c r="K445" s="18" t="str">
        <f>TEXT('Retail Store Sales'!$D445,"yyyy")</f>
        <v>2025</v>
      </c>
      <c r="L445" s="15" t="str">
        <f>TEXT('Retail Store Sales'!$D445,"mmm")</f>
        <v>Apr</v>
      </c>
      <c r="M445" s="16" t="str">
        <f>TEXT('Retail Store Sales'!$D445,"dddd")</f>
        <v>Friday</v>
      </c>
      <c r="N445" s="24">
        <f t="shared" si="6"/>
        <v>3</v>
      </c>
      <c r="O445" s="16">
        <f>ROUND('Retail Store Sales'!$F445*'Retail Store Sales'!$G445*_xlfn.XLOOKUP('Retail Store Sales'!$C445,Table2[Product Name],Table2[Cost Percentage],0),0)</f>
        <v>1548</v>
      </c>
      <c r="P445" s="16">
        <f>'Retail Store Sales'!$F445*'Retail Store Sales'!$G445</f>
        <v>2064</v>
      </c>
      <c r="Q445" s="12">
        <f>P445-Table1[[#This Row],[Total cost]]</f>
        <v>516</v>
      </c>
    </row>
    <row r="446" spans="1:17" x14ac:dyDescent="0.45">
      <c r="A446" s="12" t="s">
        <v>490</v>
      </c>
      <c r="B446" s="12" t="s">
        <v>20</v>
      </c>
      <c r="C446" s="12" t="s">
        <v>21</v>
      </c>
      <c r="D446" s="13">
        <v>45742</v>
      </c>
      <c r="E446" s="13">
        <v>45748</v>
      </c>
      <c r="F446" s="12">
        <v>10</v>
      </c>
      <c r="G446" s="12">
        <v>405</v>
      </c>
      <c r="H446" s="12" t="s">
        <v>13</v>
      </c>
      <c r="I446" s="12" t="s">
        <v>32</v>
      </c>
      <c r="J446" s="12" t="s">
        <v>45</v>
      </c>
      <c r="K446" s="14" t="str">
        <f>TEXT('Retail Store Sales'!$D446,"yyyy")</f>
        <v>2025</v>
      </c>
      <c r="L446" s="11" t="str">
        <f>TEXT('Retail Store Sales'!$D446,"mmm")</f>
        <v>Mar</v>
      </c>
      <c r="M446" s="12" t="str">
        <f>TEXT('Retail Store Sales'!$D446,"dddd")</f>
        <v>Wednesday</v>
      </c>
      <c r="N446" s="23">
        <f t="shared" si="6"/>
        <v>6</v>
      </c>
      <c r="O446" s="16">
        <f>ROUND('Retail Store Sales'!$F446*'Retail Store Sales'!$G446*_xlfn.XLOOKUP('Retail Store Sales'!$C446,Table2[Product Name],Table2[Cost Percentage],0),0)</f>
        <v>3038</v>
      </c>
      <c r="P446" s="12">
        <f>'Retail Store Sales'!$F446*'Retail Store Sales'!$G446</f>
        <v>4050</v>
      </c>
      <c r="Q446" s="12">
        <f>P446-Table1[[#This Row],[Total cost]]</f>
        <v>1012</v>
      </c>
    </row>
    <row r="447" spans="1:17" x14ac:dyDescent="0.45">
      <c r="A447" s="16" t="s">
        <v>491</v>
      </c>
      <c r="B447" s="16" t="s">
        <v>20</v>
      </c>
      <c r="C447" s="16" t="s">
        <v>82</v>
      </c>
      <c r="D447" s="17">
        <v>45924</v>
      </c>
      <c r="E447" s="17">
        <v>45925</v>
      </c>
      <c r="F447" s="16">
        <v>6</v>
      </c>
      <c r="G447" s="16">
        <v>252</v>
      </c>
      <c r="H447" s="16" t="s">
        <v>13</v>
      </c>
      <c r="I447" s="16" t="s">
        <v>550</v>
      </c>
      <c r="J447" s="16" t="s">
        <v>14</v>
      </c>
      <c r="K447" s="18" t="str">
        <f>TEXT('Retail Store Sales'!$D447,"yyyy")</f>
        <v>2025</v>
      </c>
      <c r="L447" s="15" t="str">
        <f>TEXT('Retail Store Sales'!$D447,"mmm")</f>
        <v>Sep</v>
      </c>
      <c r="M447" s="16" t="str">
        <f>TEXT('Retail Store Sales'!$D447,"dddd")</f>
        <v>Wednesday</v>
      </c>
      <c r="N447" s="24">
        <f t="shared" si="6"/>
        <v>1</v>
      </c>
      <c r="O447" s="16">
        <f>ROUND('Retail Store Sales'!$F447*'Retail Store Sales'!$G447*_xlfn.XLOOKUP('Retail Store Sales'!$C447,Table2[Product Name],Table2[Cost Percentage],0),0)</f>
        <v>1210</v>
      </c>
      <c r="P447" s="16">
        <f>'Retail Store Sales'!$F447*'Retail Store Sales'!$G447</f>
        <v>1512</v>
      </c>
      <c r="Q447" s="12">
        <f>P447-Table1[[#This Row],[Total cost]]</f>
        <v>302</v>
      </c>
    </row>
    <row r="448" spans="1:17" x14ac:dyDescent="0.45">
      <c r="A448" s="12" t="s">
        <v>492</v>
      </c>
      <c r="B448" s="12" t="s">
        <v>30</v>
      </c>
      <c r="C448" s="12" t="s">
        <v>41</v>
      </c>
      <c r="D448" s="13">
        <v>45965</v>
      </c>
      <c r="E448" s="13">
        <v>45971</v>
      </c>
      <c r="F448" s="12">
        <v>10</v>
      </c>
      <c r="G448" s="12">
        <v>85</v>
      </c>
      <c r="H448" s="12" t="s">
        <v>13</v>
      </c>
      <c r="I448" s="12" t="s">
        <v>546</v>
      </c>
      <c r="J448" s="12" t="s">
        <v>28</v>
      </c>
      <c r="K448" s="14" t="str">
        <f>TEXT('Retail Store Sales'!$D448,"yyyy")</f>
        <v>2025</v>
      </c>
      <c r="L448" s="11" t="str">
        <f>TEXT('Retail Store Sales'!$D448,"mmm")</f>
        <v>Nov</v>
      </c>
      <c r="M448" s="12" t="str">
        <f>TEXT('Retail Store Sales'!$D448,"dddd")</f>
        <v>Tuesday</v>
      </c>
      <c r="N448" s="23">
        <f t="shared" si="6"/>
        <v>6</v>
      </c>
      <c r="O448" s="16">
        <f>ROUND('Retail Store Sales'!$F448*'Retail Store Sales'!$G448*_xlfn.XLOOKUP('Retail Store Sales'!$C448,Table2[Product Name],Table2[Cost Percentage],0),0)</f>
        <v>553</v>
      </c>
      <c r="P448" s="12">
        <f>'Retail Store Sales'!$F448*'Retail Store Sales'!$G448</f>
        <v>850</v>
      </c>
      <c r="Q448" s="12">
        <f>P448-Table1[[#This Row],[Total cost]]</f>
        <v>297</v>
      </c>
    </row>
    <row r="449" spans="1:17" x14ac:dyDescent="0.45">
      <c r="A449" s="16" t="s">
        <v>493</v>
      </c>
      <c r="B449" s="16" t="s">
        <v>30</v>
      </c>
      <c r="C449" s="16" t="s">
        <v>41</v>
      </c>
      <c r="D449" s="17">
        <v>45768</v>
      </c>
      <c r="E449" s="17">
        <v>45772</v>
      </c>
      <c r="F449" s="16">
        <v>9</v>
      </c>
      <c r="G449" s="16">
        <v>67</v>
      </c>
      <c r="H449" s="16" t="s">
        <v>13</v>
      </c>
      <c r="I449" s="16" t="s">
        <v>550</v>
      </c>
      <c r="J449" s="16" t="s">
        <v>14</v>
      </c>
      <c r="K449" s="18" t="str">
        <f>TEXT('Retail Store Sales'!$D449,"yyyy")</f>
        <v>2025</v>
      </c>
      <c r="L449" s="15" t="str">
        <f>TEXT('Retail Store Sales'!$D449,"mmm")</f>
        <v>Apr</v>
      </c>
      <c r="M449" s="16" t="str">
        <f>TEXT('Retail Store Sales'!$D449,"dddd")</f>
        <v>Monday</v>
      </c>
      <c r="N449" s="24">
        <f t="shared" si="6"/>
        <v>4</v>
      </c>
      <c r="O449" s="16">
        <f>ROUND('Retail Store Sales'!$F449*'Retail Store Sales'!$G449*_xlfn.XLOOKUP('Retail Store Sales'!$C449,Table2[Product Name],Table2[Cost Percentage],0),0)</f>
        <v>392</v>
      </c>
      <c r="P449" s="16">
        <f>'Retail Store Sales'!$F449*'Retail Store Sales'!$G449</f>
        <v>603</v>
      </c>
      <c r="Q449" s="12">
        <f>P449-Table1[[#This Row],[Total cost]]</f>
        <v>211</v>
      </c>
    </row>
    <row r="450" spans="1:17" x14ac:dyDescent="0.45">
      <c r="A450" s="12" t="s">
        <v>494</v>
      </c>
      <c r="B450" s="12" t="s">
        <v>20</v>
      </c>
      <c r="C450" s="12" t="s">
        <v>53</v>
      </c>
      <c r="D450" s="13">
        <v>45812</v>
      </c>
      <c r="E450" s="13">
        <v>45818</v>
      </c>
      <c r="F450" s="12">
        <v>3</v>
      </c>
      <c r="G450" s="12">
        <v>723</v>
      </c>
      <c r="H450" s="12" t="s">
        <v>13</v>
      </c>
      <c r="I450" s="12" t="s">
        <v>550</v>
      </c>
      <c r="J450" s="12" t="s">
        <v>45</v>
      </c>
      <c r="K450" s="14" t="str">
        <f>TEXT('Retail Store Sales'!$D450,"yyyy")</f>
        <v>2025</v>
      </c>
      <c r="L450" s="11" t="str">
        <f>TEXT('Retail Store Sales'!$D450,"mmm")</f>
        <v>Jun</v>
      </c>
      <c r="M450" s="12" t="str">
        <f>TEXT('Retail Store Sales'!$D450,"dddd")</f>
        <v>Wednesday</v>
      </c>
      <c r="N450" s="23">
        <f t="shared" ref="N450:N513" si="7">DATEDIF(D450,E450,"D")</f>
        <v>6</v>
      </c>
      <c r="O450" s="16">
        <f>ROUND('Retail Store Sales'!$F450*'Retail Store Sales'!$G450*_xlfn.XLOOKUP('Retail Store Sales'!$C450,Table2[Product Name],Table2[Cost Percentage],0),0)</f>
        <v>1518</v>
      </c>
      <c r="P450" s="12">
        <f>'Retail Store Sales'!$F450*'Retail Store Sales'!$G450</f>
        <v>2169</v>
      </c>
      <c r="Q450" s="12">
        <f>P450-Table1[[#This Row],[Total cost]]</f>
        <v>651</v>
      </c>
    </row>
    <row r="451" spans="1:17" x14ac:dyDescent="0.45">
      <c r="A451" s="16" t="s">
        <v>495</v>
      </c>
      <c r="B451" s="16" t="s">
        <v>30</v>
      </c>
      <c r="C451" s="16" t="s">
        <v>31</v>
      </c>
      <c r="D451" s="17">
        <v>45762</v>
      </c>
      <c r="E451" s="17">
        <v>45766</v>
      </c>
      <c r="F451" s="16">
        <v>2</v>
      </c>
      <c r="G451" s="16">
        <v>919</v>
      </c>
      <c r="H451" s="16" t="s">
        <v>13</v>
      </c>
      <c r="I451" s="16" t="s">
        <v>550</v>
      </c>
      <c r="J451" s="16" t="s">
        <v>18</v>
      </c>
      <c r="K451" s="18" t="str">
        <f>TEXT('Retail Store Sales'!$D451,"yyyy")</f>
        <v>2025</v>
      </c>
      <c r="L451" s="15" t="str">
        <f>TEXT('Retail Store Sales'!$D451,"mmm")</f>
        <v>Apr</v>
      </c>
      <c r="M451" s="16" t="str">
        <f>TEXT('Retail Store Sales'!$D451,"dddd")</f>
        <v>Tuesday</v>
      </c>
      <c r="N451" s="24">
        <f t="shared" si="7"/>
        <v>4</v>
      </c>
      <c r="O451" s="16">
        <f>ROUND('Retail Store Sales'!$F451*'Retail Store Sales'!$G451*_xlfn.XLOOKUP('Retail Store Sales'!$C451,Table2[Product Name],Table2[Cost Percentage],0),0)</f>
        <v>1379</v>
      </c>
      <c r="P451" s="16">
        <f>'Retail Store Sales'!$F451*'Retail Store Sales'!$G451</f>
        <v>1838</v>
      </c>
      <c r="Q451" s="12">
        <f>P451-Table1[[#This Row],[Total cost]]</f>
        <v>459</v>
      </c>
    </row>
    <row r="452" spans="1:17" x14ac:dyDescent="0.45">
      <c r="A452" s="12" t="s">
        <v>496</v>
      </c>
      <c r="B452" s="12" t="s">
        <v>11</v>
      </c>
      <c r="C452" s="12" t="s">
        <v>57</v>
      </c>
      <c r="D452" s="13">
        <v>45871</v>
      </c>
      <c r="E452" s="13">
        <v>45877</v>
      </c>
      <c r="F452" s="12">
        <v>2</v>
      </c>
      <c r="G452" s="12">
        <v>315</v>
      </c>
      <c r="H452" s="12" t="s">
        <v>13</v>
      </c>
      <c r="I452" s="12" t="s">
        <v>32</v>
      </c>
      <c r="J452" s="12" t="s">
        <v>45</v>
      </c>
      <c r="K452" s="14" t="str">
        <f>TEXT('Retail Store Sales'!$D452,"yyyy")</f>
        <v>2025</v>
      </c>
      <c r="L452" s="11" t="str">
        <f>TEXT('Retail Store Sales'!$D452,"mmm")</f>
        <v>Aug</v>
      </c>
      <c r="M452" s="12" t="str">
        <f>TEXT('Retail Store Sales'!$D452,"dddd")</f>
        <v>Saturday</v>
      </c>
      <c r="N452" s="23">
        <f t="shared" si="7"/>
        <v>6</v>
      </c>
      <c r="O452" s="16">
        <f>ROUND('Retail Store Sales'!$F452*'Retail Store Sales'!$G452*_xlfn.XLOOKUP('Retail Store Sales'!$C452,Table2[Product Name],Table2[Cost Percentage],0),0)</f>
        <v>536</v>
      </c>
      <c r="P452" s="12">
        <f>'Retail Store Sales'!$F452*'Retail Store Sales'!$G452</f>
        <v>630</v>
      </c>
      <c r="Q452" s="12">
        <f>P452-Table1[[#This Row],[Total cost]]</f>
        <v>94</v>
      </c>
    </row>
    <row r="453" spans="1:17" x14ac:dyDescent="0.45">
      <c r="A453" s="16" t="s">
        <v>497</v>
      </c>
      <c r="B453" s="16" t="s">
        <v>11</v>
      </c>
      <c r="C453" s="16" t="s">
        <v>35</v>
      </c>
      <c r="D453" s="17">
        <v>45739</v>
      </c>
      <c r="E453" s="17">
        <v>45745</v>
      </c>
      <c r="F453" s="16">
        <v>3</v>
      </c>
      <c r="G453" s="16">
        <v>561</v>
      </c>
      <c r="H453" s="16" t="s">
        <v>13</v>
      </c>
      <c r="I453" s="16" t="s">
        <v>32</v>
      </c>
      <c r="J453" s="16" t="s">
        <v>28</v>
      </c>
      <c r="K453" s="18" t="str">
        <f>TEXT('Retail Store Sales'!$D453,"yyyy")</f>
        <v>2025</v>
      </c>
      <c r="L453" s="15" t="str">
        <f>TEXT('Retail Store Sales'!$D453,"mmm")</f>
        <v>Mar</v>
      </c>
      <c r="M453" s="16" t="str">
        <f>TEXT('Retail Store Sales'!$D453,"dddd")</f>
        <v>Sunday</v>
      </c>
      <c r="N453" s="24">
        <f t="shared" si="7"/>
        <v>6</v>
      </c>
      <c r="O453" s="16">
        <f>ROUND('Retail Store Sales'!$F453*'Retail Store Sales'!$G453*_xlfn.XLOOKUP('Retail Store Sales'!$C453,Table2[Product Name],Table2[Cost Percentage],0),0)</f>
        <v>1346</v>
      </c>
      <c r="P453" s="16">
        <f>'Retail Store Sales'!$F453*'Retail Store Sales'!$G453</f>
        <v>1683</v>
      </c>
      <c r="Q453" s="12">
        <f>P453-Table1[[#This Row],[Total cost]]</f>
        <v>337</v>
      </c>
    </row>
    <row r="454" spans="1:17" x14ac:dyDescent="0.45">
      <c r="A454" s="12" t="s">
        <v>498</v>
      </c>
      <c r="B454" s="12" t="s">
        <v>11</v>
      </c>
      <c r="C454" s="12" t="s">
        <v>12</v>
      </c>
      <c r="D454" s="13">
        <v>45834</v>
      </c>
      <c r="E454" s="13">
        <v>45838</v>
      </c>
      <c r="F454" s="12">
        <v>1</v>
      </c>
      <c r="G454" s="12">
        <v>934</v>
      </c>
      <c r="H454" s="12" t="s">
        <v>13</v>
      </c>
      <c r="I454" s="12" t="s">
        <v>32</v>
      </c>
      <c r="J454" s="12" t="s">
        <v>14</v>
      </c>
      <c r="K454" s="14" t="str">
        <f>TEXT('Retail Store Sales'!$D454,"yyyy")</f>
        <v>2025</v>
      </c>
      <c r="L454" s="11" t="str">
        <f>TEXT('Retail Store Sales'!$D454,"mmm")</f>
        <v>Jun</v>
      </c>
      <c r="M454" s="12" t="str">
        <f>TEXT('Retail Store Sales'!$D454,"dddd")</f>
        <v>Thursday</v>
      </c>
      <c r="N454" s="23">
        <f t="shared" si="7"/>
        <v>4</v>
      </c>
      <c r="O454" s="16">
        <f>ROUND('Retail Store Sales'!$F454*'Retail Store Sales'!$G454*_xlfn.XLOOKUP('Retail Store Sales'!$C454,Table2[Product Name],Table2[Cost Percentage],0),0)</f>
        <v>701</v>
      </c>
      <c r="P454" s="12">
        <f>'Retail Store Sales'!$F454*'Retail Store Sales'!$G454</f>
        <v>934</v>
      </c>
      <c r="Q454" s="12">
        <f>P454-Table1[[#This Row],[Total cost]]</f>
        <v>233</v>
      </c>
    </row>
    <row r="455" spans="1:17" x14ac:dyDescent="0.45">
      <c r="A455" s="16" t="s">
        <v>499</v>
      </c>
      <c r="B455" s="16" t="s">
        <v>11</v>
      </c>
      <c r="C455" s="16" t="s">
        <v>57</v>
      </c>
      <c r="D455" s="17">
        <v>46008</v>
      </c>
      <c r="E455" s="17">
        <v>46013</v>
      </c>
      <c r="F455" s="16">
        <v>1</v>
      </c>
      <c r="G455" s="16">
        <v>979</v>
      </c>
      <c r="H455" s="16" t="s">
        <v>27</v>
      </c>
      <c r="I455" s="16" t="s">
        <v>550</v>
      </c>
      <c r="J455" s="16" t="s">
        <v>28</v>
      </c>
      <c r="K455" s="18" t="str">
        <f>TEXT('Retail Store Sales'!$D455,"yyyy")</f>
        <v>2025</v>
      </c>
      <c r="L455" s="15" t="str">
        <f>TEXT('Retail Store Sales'!$D455,"mmm")</f>
        <v>Dec</v>
      </c>
      <c r="M455" s="16" t="str">
        <f>TEXT('Retail Store Sales'!$D455,"dddd")</f>
        <v>Wednesday</v>
      </c>
      <c r="N455" s="24">
        <f t="shared" si="7"/>
        <v>5</v>
      </c>
      <c r="O455" s="16">
        <f>ROUND('Retail Store Sales'!$F455*'Retail Store Sales'!$G455*_xlfn.XLOOKUP('Retail Store Sales'!$C455,Table2[Product Name],Table2[Cost Percentage],0),0)</f>
        <v>832</v>
      </c>
      <c r="P455" s="16">
        <f>'Retail Store Sales'!$F455*'Retail Store Sales'!$G455</f>
        <v>979</v>
      </c>
      <c r="Q455" s="12">
        <f>P455-Table1[[#This Row],[Total cost]]</f>
        <v>147</v>
      </c>
    </row>
    <row r="456" spans="1:17" x14ac:dyDescent="0.45">
      <c r="A456" s="12" t="s">
        <v>500</v>
      </c>
      <c r="B456" s="12" t="s">
        <v>30</v>
      </c>
      <c r="C456" s="12" t="s">
        <v>31</v>
      </c>
      <c r="D456" s="13">
        <v>45917</v>
      </c>
      <c r="E456" s="13">
        <v>45923</v>
      </c>
      <c r="F456" s="12">
        <v>1</v>
      </c>
      <c r="G456" s="12">
        <v>805</v>
      </c>
      <c r="H456" s="12" t="s">
        <v>27</v>
      </c>
      <c r="I456" s="12" t="s">
        <v>548</v>
      </c>
      <c r="J456" s="12" t="s">
        <v>28</v>
      </c>
      <c r="K456" s="14" t="str">
        <f>TEXT('Retail Store Sales'!$D456,"yyyy")</f>
        <v>2025</v>
      </c>
      <c r="L456" s="11" t="str">
        <f>TEXT('Retail Store Sales'!$D456,"mmm")</f>
        <v>Sep</v>
      </c>
      <c r="M456" s="12" t="str">
        <f>TEXT('Retail Store Sales'!$D456,"dddd")</f>
        <v>Wednesday</v>
      </c>
      <c r="N456" s="23">
        <f t="shared" si="7"/>
        <v>6</v>
      </c>
      <c r="O456" s="16">
        <f>ROUND('Retail Store Sales'!$F456*'Retail Store Sales'!$G456*_xlfn.XLOOKUP('Retail Store Sales'!$C456,Table2[Product Name],Table2[Cost Percentage],0),0)</f>
        <v>604</v>
      </c>
      <c r="P456" s="12">
        <f>'Retail Store Sales'!$F456*'Retail Store Sales'!$G456</f>
        <v>805</v>
      </c>
      <c r="Q456" s="12">
        <f>P456-Table1[[#This Row],[Total cost]]</f>
        <v>201</v>
      </c>
    </row>
    <row r="457" spans="1:17" x14ac:dyDescent="0.45">
      <c r="A457" s="16" t="s">
        <v>501</v>
      </c>
      <c r="B457" s="16" t="s">
        <v>16</v>
      </c>
      <c r="C457" s="16" t="s">
        <v>17</v>
      </c>
      <c r="D457" s="17">
        <v>45666</v>
      </c>
      <c r="E457" s="17">
        <v>45673</v>
      </c>
      <c r="F457" s="16">
        <v>3</v>
      </c>
      <c r="G457" s="16">
        <v>319</v>
      </c>
      <c r="H457" s="16" t="s">
        <v>13</v>
      </c>
      <c r="I457" s="16" t="s">
        <v>550</v>
      </c>
      <c r="J457" s="16" t="s">
        <v>45</v>
      </c>
      <c r="K457" s="18" t="str">
        <f>TEXT('Retail Store Sales'!$D457,"yyyy")</f>
        <v>2025</v>
      </c>
      <c r="L457" s="15" t="str">
        <f>TEXT('Retail Store Sales'!$D457,"mmm")</f>
        <v>Jan</v>
      </c>
      <c r="M457" s="16" t="str">
        <f>TEXT('Retail Store Sales'!$D457,"dddd")</f>
        <v>Thursday</v>
      </c>
      <c r="N457" s="24">
        <f t="shared" si="7"/>
        <v>7</v>
      </c>
      <c r="O457" s="16">
        <f>ROUND('Retail Store Sales'!$F457*'Retail Store Sales'!$G457*_xlfn.XLOOKUP('Retail Store Sales'!$C457,Table2[Product Name],Table2[Cost Percentage],0),0)</f>
        <v>479</v>
      </c>
      <c r="P457" s="16">
        <f>'Retail Store Sales'!$F457*'Retail Store Sales'!$G457</f>
        <v>957</v>
      </c>
      <c r="Q457" s="12">
        <f>P457-Table1[[#This Row],[Total cost]]</f>
        <v>478</v>
      </c>
    </row>
    <row r="458" spans="1:17" x14ac:dyDescent="0.45">
      <c r="A458" s="12" t="s">
        <v>502</v>
      </c>
      <c r="B458" s="12" t="s">
        <v>16</v>
      </c>
      <c r="C458" s="12" t="s">
        <v>43</v>
      </c>
      <c r="D458" s="13">
        <v>45779</v>
      </c>
      <c r="E458" s="13">
        <v>45789</v>
      </c>
      <c r="F458" s="12">
        <v>4</v>
      </c>
      <c r="G458" s="12">
        <v>872</v>
      </c>
      <c r="H458" s="12" t="s">
        <v>13</v>
      </c>
      <c r="I458" s="12" t="s">
        <v>549</v>
      </c>
      <c r="J458" s="12" t="s">
        <v>28</v>
      </c>
      <c r="K458" s="14" t="str">
        <f>TEXT('Retail Store Sales'!$D458,"yyyy")</f>
        <v>2025</v>
      </c>
      <c r="L458" s="11" t="str">
        <f>TEXT('Retail Store Sales'!$D458,"mmm")</f>
        <v>May</v>
      </c>
      <c r="M458" s="12" t="str">
        <f>TEXT('Retail Store Sales'!$D458,"dddd")</f>
        <v>Friday</v>
      </c>
      <c r="N458" s="23">
        <f t="shared" si="7"/>
        <v>10</v>
      </c>
      <c r="O458" s="16">
        <f>ROUND('Retail Store Sales'!$F458*'Retail Store Sales'!$G458*_xlfn.XLOOKUP('Retail Store Sales'!$C458,Table2[Product Name],Table2[Cost Percentage],0),0)</f>
        <v>2093</v>
      </c>
      <c r="P458" s="12">
        <f>'Retail Store Sales'!$F458*'Retail Store Sales'!$G458</f>
        <v>3488</v>
      </c>
      <c r="Q458" s="12">
        <f>P458-Table1[[#This Row],[Total cost]]</f>
        <v>1395</v>
      </c>
    </row>
    <row r="459" spans="1:17" x14ac:dyDescent="0.45">
      <c r="A459" s="16" t="s">
        <v>503</v>
      </c>
      <c r="B459" s="16" t="s">
        <v>23</v>
      </c>
      <c r="C459" s="16" t="s">
        <v>69</v>
      </c>
      <c r="D459" s="17">
        <v>45728</v>
      </c>
      <c r="E459" s="17">
        <v>45732</v>
      </c>
      <c r="F459" s="16">
        <v>3</v>
      </c>
      <c r="G459" s="16">
        <v>154</v>
      </c>
      <c r="H459" s="16" t="s">
        <v>27</v>
      </c>
      <c r="I459" s="16" t="s">
        <v>549</v>
      </c>
      <c r="J459" s="16" t="s">
        <v>28</v>
      </c>
      <c r="K459" s="18" t="str">
        <f>TEXT('Retail Store Sales'!$D459,"yyyy")</f>
        <v>2025</v>
      </c>
      <c r="L459" s="15" t="str">
        <f>TEXT('Retail Store Sales'!$D459,"mmm")</f>
        <v>Mar</v>
      </c>
      <c r="M459" s="16" t="str">
        <f>TEXT('Retail Store Sales'!$D459,"dddd")</f>
        <v>Wednesday</v>
      </c>
      <c r="N459" s="24">
        <f t="shared" si="7"/>
        <v>4</v>
      </c>
      <c r="O459" s="16">
        <f>ROUND('Retail Store Sales'!$F459*'Retail Store Sales'!$G459*_xlfn.XLOOKUP('Retail Store Sales'!$C459,Table2[Product Name],Table2[Cost Percentage],0),0)</f>
        <v>254</v>
      </c>
      <c r="P459" s="16">
        <f>'Retail Store Sales'!$F459*'Retail Store Sales'!$G459</f>
        <v>462</v>
      </c>
      <c r="Q459" s="12">
        <f>P459-Table1[[#This Row],[Total cost]]</f>
        <v>208</v>
      </c>
    </row>
    <row r="460" spans="1:17" x14ac:dyDescent="0.45">
      <c r="A460" s="12" t="s">
        <v>504</v>
      </c>
      <c r="B460" s="12" t="s">
        <v>11</v>
      </c>
      <c r="C460" s="12" t="s">
        <v>12</v>
      </c>
      <c r="D460" s="13">
        <v>45842</v>
      </c>
      <c r="E460" s="13">
        <v>45844</v>
      </c>
      <c r="F460" s="12">
        <v>10</v>
      </c>
      <c r="G460" s="12">
        <v>674</v>
      </c>
      <c r="H460" s="12" t="s">
        <v>27</v>
      </c>
      <c r="I460" s="12" t="s">
        <v>548</v>
      </c>
      <c r="J460" s="12" t="s">
        <v>18</v>
      </c>
      <c r="K460" s="14" t="str">
        <f>TEXT('Retail Store Sales'!$D460,"yyyy")</f>
        <v>2025</v>
      </c>
      <c r="L460" s="11" t="str">
        <f>TEXT('Retail Store Sales'!$D460,"mmm")</f>
        <v>Jul</v>
      </c>
      <c r="M460" s="12" t="str">
        <f>TEXT('Retail Store Sales'!$D460,"dddd")</f>
        <v>Friday</v>
      </c>
      <c r="N460" s="23">
        <f t="shared" si="7"/>
        <v>2</v>
      </c>
      <c r="O460" s="16">
        <f>ROUND('Retail Store Sales'!$F460*'Retail Store Sales'!$G460*_xlfn.XLOOKUP('Retail Store Sales'!$C460,Table2[Product Name],Table2[Cost Percentage],0),0)</f>
        <v>5055</v>
      </c>
      <c r="P460" s="12">
        <f>'Retail Store Sales'!$F460*'Retail Store Sales'!$G460</f>
        <v>6740</v>
      </c>
      <c r="Q460" s="12">
        <f>P460-Table1[[#This Row],[Total cost]]</f>
        <v>1685</v>
      </c>
    </row>
    <row r="461" spans="1:17" x14ac:dyDescent="0.45">
      <c r="A461" s="16" t="s">
        <v>505</v>
      </c>
      <c r="B461" s="16" t="s">
        <v>16</v>
      </c>
      <c r="C461" s="16" t="s">
        <v>17</v>
      </c>
      <c r="D461" s="17">
        <v>45925</v>
      </c>
      <c r="E461" s="17">
        <v>45930</v>
      </c>
      <c r="F461" s="16">
        <v>8</v>
      </c>
      <c r="G461" s="16">
        <v>203</v>
      </c>
      <c r="H461" s="16" t="s">
        <v>13</v>
      </c>
      <c r="I461" s="16" t="s">
        <v>546</v>
      </c>
      <c r="J461" s="16" t="s">
        <v>18</v>
      </c>
      <c r="K461" s="18" t="str">
        <f>TEXT('Retail Store Sales'!$D461,"yyyy")</f>
        <v>2025</v>
      </c>
      <c r="L461" s="15" t="str">
        <f>TEXT('Retail Store Sales'!$D461,"mmm")</f>
        <v>Sep</v>
      </c>
      <c r="M461" s="16" t="str">
        <f>TEXT('Retail Store Sales'!$D461,"dddd")</f>
        <v>Thursday</v>
      </c>
      <c r="N461" s="24">
        <f t="shared" si="7"/>
        <v>5</v>
      </c>
      <c r="O461" s="16">
        <f>ROUND('Retail Store Sales'!$F461*'Retail Store Sales'!$G461*_xlfn.XLOOKUP('Retail Store Sales'!$C461,Table2[Product Name],Table2[Cost Percentage],0),0)</f>
        <v>812</v>
      </c>
      <c r="P461" s="16">
        <f>'Retail Store Sales'!$F461*'Retail Store Sales'!$G461</f>
        <v>1624</v>
      </c>
      <c r="Q461" s="12">
        <f>P461-Table1[[#This Row],[Total cost]]</f>
        <v>812</v>
      </c>
    </row>
    <row r="462" spans="1:17" x14ac:dyDescent="0.45">
      <c r="A462" s="12" t="s">
        <v>506</v>
      </c>
      <c r="B462" s="12" t="s">
        <v>30</v>
      </c>
      <c r="C462" s="12" t="s">
        <v>49</v>
      </c>
      <c r="D462" s="13">
        <v>45759</v>
      </c>
      <c r="E462" s="13">
        <v>45765</v>
      </c>
      <c r="F462" s="12">
        <v>5</v>
      </c>
      <c r="G462" s="12">
        <v>608</v>
      </c>
      <c r="H462" s="12" t="s">
        <v>27</v>
      </c>
      <c r="I462" s="12" t="s">
        <v>550</v>
      </c>
      <c r="J462" s="12" t="s">
        <v>45</v>
      </c>
      <c r="K462" s="14" t="str">
        <f>TEXT('Retail Store Sales'!$D462,"yyyy")</f>
        <v>2025</v>
      </c>
      <c r="L462" s="11" t="str">
        <f>TEXT('Retail Store Sales'!$D462,"mmm")</f>
        <v>Apr</v>
      </c>
      <c r="M462" s="12" t="str">
        <f>TEXT('Retail Store Sales'!$D462,"dddd")</f>
        <v>Saturday</v>
      </c>
      <c r="N462" s="23">
        <f t="shared" si="7"/>
        <v>6</v>
      </c>
      <c r="O462" s="16">
        <f>ROUND('Retail Store Sales'!$F462*'Retail Store Sales'!$G462*_xlfn.XLOOKUP('Retail Store Sales'!$C462,Table2[Product Name],Table2[Cost Percentage],0),0)</f>
        <v>2128</v>
      </c>
      <c r="P462" s="12">
        <f>'Retail Store Sales'!$F462*'Retail Store Sales'!$G462</f>
        <v>3040</v>
      </c>
      <c r="Q462" s="12">
        <f>P462-Table1[[#This Row],[Total cost]]</f>
        <v>912</v>
      </c>
    </row>
    <row r="463" spans="1:17" x14ac:dyDescent="0.45">
      <c r="A463" s="16" t="s">
        <v>507</v>
      </c>
      <c r="B463" s="16" t="s">
        <v>30</v>
      </c>
      <c r="C463" s="16" t="s">
        <v>41</v>
      </c>
      <c r="D463" s="17">
        <v>45768</v>
      </c>
      <c r="E463" s="17">
        <v>45772</v>
      </c>
      <c r="F463" s="16">
        <v>5</v>
      </c>
      <c r="G463" s="16">
        <v>664</v>
      </c>
      <c r="H463" s="16" t="s">
        <v>27</v>
      </c>
      <c r="I463" s="16" t="s">
        <v>32</v>
      </c>
      <c r="J463" s="16" t="s">
        <v>18</v>
      </c>
      <c r="K463" s="18" t="str">
        <f>TEXT('Retail Store Sales'!$D463,"yyyy")</f>
        <v>2025</v>
      </c>
      <c r="L463" s="15" t="str">
        <f>TEXT('Retail Store Sales'!$D463,"mmm")</f>
        <v>Apr</v>
      </c>
      <c r="M463" s="16" t="str">
        <f>TEXT('Retail Store Sales'!$D463,"dddd")</f>
        <v>Monday</v>
      </c>
      <c r="N463" s="24">
        <f t="shared" si="7"/>
        <v>4</v>
      </c>
      <c r="O463" s="16">
        <f>ROUND('Retail Store Sales'!$F463*'Retail Store Sales'!$G463*_xlfn.XLOOKUP('Retail Store Sales'!$C463,Table2[Product Name],Table2[Cost Percentage],0),0)</f>
        <v>2158</v>
      </c>
      <c r="P463" s="16">
        <f>'Retail Store Sales'!$F463*'Retail Store Sales'!$G463</f>
        <v>3320</v>
      </c>
      <c r="Q463" s="12">
        <f>P463-Table1[[#This Row],[Total cost]]</f>
        <v>1162</v>
      </c>
    </row>
    <row r="464" spans="1:17" x14ac:dyDescent="0.45">
      <c r="A464" s="12" t="s">
        <v>508</v>
      </c>
      <c r="B464" s="12" t="s">
        <v>30</v>
      </c>
      <c r="C464" s="12" t="s">
        <v>41</v>
      </c>
      <c r="D464" s="13">
        <v>45802</v>
      </c>
      <c r="E464" s="13">
        <v>45814</v>
      </c>
      <c r="F464" s="12">
        <v>9</v>
      </c>
      <c r="G464" s="12">
        <v>164</v>
      </c>
      <c r="H464" s="12" t="s">
        <v>27</v>
      </c>
      <c r="I464" s="12" t="s">
        <v>546</v>
      </c>
      <c r="J464" s="12" t="s">
        <v>14</v>
      </c>
      <c r="K464" s="14" t="str">
        <f>TEXT('Retail Store Sales'!$D464,"yyyy")</f>
        <v>2025</v>
      </c>
      <c r="L464" s="11" t="str">
        <f>TEXT('Retail Store Sales'!$D464,"mmm")</f>
        <v>May</v>
      </c>
      <c r="M464" s="12" t="str">
        <f>TEXT('Retail Store Sales'!$D464,"dddd")</f>
        <v>Sunday</v>
      </c>
      <c r="N464" s="23">
        <f t="shared" si="7"/>
        <v>12</v>
      </c>
      <c r="O464" s="16">
        <f>ROUND('Retail Store Sales'!$F464*'Retail Store Sales'!$G464*_xlfn.XLOOKUP('Retail Store Sales'!$C464,Table2[Product Name],Table2[Cost Percentage],0),0)</f>
        <v>959</v>
      </c>
      <c r="P464" s="12">
        <f>'Retail Store Sales'!$F464*'Retail Store Sales'!$G464</f>
        <v>1476</v>
      </c>
      <c r="Q464" s="12">
        <f>P464-Table1[[#This Row],[Total cost]]</f>
        <v>517</v>
      </c>
    </row>
    <row r="465" spans="1:17" x14ac:dyDescent="0.45">
      <c r="A465" s="16" t="s">
        <v>509</v>
      </c>
      <c r="B465" s="16" t="s">
        <v>20</v>
      </c>
      <c r="C465" s="16" t="s">
        <v>21</v>
      </c>
      <c r="D465" s="17">
        <v>45683</v>
      </c>
      <c r="E465" s="17">
        <v>45686</v>
      </c>
      <c r="F465" s="16">
        <v>4</v>
      </c>
      <c r="G465" s="16">
        <v>200</v>
      </c>
      <c r="H465" s="16" t="s">
        <v>13</v>
      </c>
      <c r="I465" s="16" t="s">
        <v>548</v>
      </c>
      <c r="J465" s="16" t="s">
        <v>45</v>
      </c>
      <c r="K465" s="18" t="str">
        <f>TEXT('Retail Store Sales'!$D465,"yyyy")</f>
        <v>2025</v>
      </c>
      <c r="L465" s="15" t="str">
        <f>TEXT('Retail Store Sales'!$D465,"mmm")</f>
        <v>Jan</v>
      </c>
      <c r="M465" s="16" t="str">
        <f>TEXT('Retail Store Sales'!$D465,"dddd")</f>
        <v>Sunday</v>
      </c>
      <c r="N465" s="24">
        <f t="shared" si="7"/>
        <v>3</v>
      </c>
      <c r="O465" s="16">
        <f>ROUND('Retail Store Sales'!$F465*'Retail Store Sales'!$G465*_xlfn.XLOOKUP('Retail Store Sales'!$C465,Table2[Product Name],Table2[Cost Percentage],0),0)</f>
        <v>600</v>
      </c>
      <c r="P465" s="16">
        <f>'Retail Store Sales'!$F465*'Retail Store Sales'!$G465</f>
        <v>800</v>
      </c>
      <c r="Q465" s="12">
        <f>P465-Table1[[#This Row],[Total cost]]</f>
        <v>200</v>
      </c>
    </row>
    <row r="466" spans="1:17" x14ac:dyDescent="0.45">
      <c r="A466" s="12" t="s">
        <v>510</v>
      </c>
      <c r="B466" s="12" t="s">
        <v>23</v>
      </c>
      <c r="C466" s="12" t="s">
        <v>37</v>
      </c>
      <c r="D466" s="13">
        <v>45793</v>
      </c>
      <c r="E466" s="13">
        <v>45802</v>
      </c>
      <c r="F466" s="12">
        <v>4</v>
      </c>
      <c r="G466" s="12">
        <v>959</v>
      </c>
      <c r="H466" s="12" t="s">
        <v>13</v>
      </c>
      <c r="I466" s="12" t="s">
        <v>549</v>
      </c>
      <c r="J466" s="12" t="s">
        <v>28</v>
      </c>
      <c r="K466" s="14" t="str">
        <f>TEXT('Retail Store Sales'!$D466,"yyyy")</f>
        <v>2025</v>
      </c>
      <c r="L466" s="11" t="str">
        <f>TEXT('Retail Store Sales'!$D466,"mmm")</f>
        <v>May</v>
      </c>
      <c r="M466" s="12" t="str">
        <f>TEXT('Retail Store Sales'!$D466,"dddd")</f>
        <v>Friday</v>
      </c>
      <c r="N466" s="23">
        <f t="shared" si="7"/>
        <v>9</v>
      </c>
      <c r="O466" s="16">
        <f>ROUND('Retail Store Sales'!$F466*'Retail Store Sales'!$G466*_xlfn.XLOOKUP('Retail Store Sales'!$C466,Table2[Product Name],Table2[Cost Percentage],0),0)</f>
        <v>1918</v>
      </c>
      <c r="P466" s="12">
        <f>'Retail Store Sales'!$F466*'Retail Store Sales'!$G466</f>
        <v>3836</v>
      </c>
      <c r="Q466" s="12">
        <f>P466-Table1[[#This Row],[Total cost]]</f>
        <v>1918</v>
      </c>
    </row>
    <row r="467" spans="1:17" x14ac:dyDescent="0.45">
      <c r="A467" s="16" t="s">
        <v>511</v>
      </c>
      <c r="B467" s="16" t="s">
        <v>23</v>
      </c>
      <c r="C467" s="16" t="s">
        <v>37</v>
      </c>
      <c r="D467" s="17">
        <v>45942</v>
      </c>
      <c r="E467" s="17">
        <v>45945</v>
      </c>
      <c r="F467" s="16">
        <v>3</v>
      </c>
      <c r="G467" s="16">
        <v>960</v>
      </c>
      <c r="H467" s="16" t="s">
        <v>13</v>
      </c>
      <c r="I467" s="16" t="s">
        <v>546</v>
      </c>
      <c r="J467" s="16" t="s">
        <v>45</v>
      </c>
      <c r="K467" s="18" t="str">
        <f>TEXT('Retail Store Sales'!$D467,"yyyy")</f>
        <v>2025</v>
      </c>
      <c r="L467" s="15" t="str">
        <f>TEXT('Retail Store Sales'!$D467,"mmm")</f>
        <v>Oct</v>
      </c>
      <c r="M467" s="16" t="str">
        <f>TEXT('Retail Store Sales'!$D467,"dddd")</f>
        <v>Sunday</v>
      </c>
      <c r="N467" s="24">
        <f t="shared" si="7"/>
        <v>3</v>
      </c>
      <c r="O467" s="16">
        <f>ROUND('Retail Store Sales'!$F467*'Retail Store Sales'!$G467*_xlfn.XLOOKUP('Retail Store Sales'!$C467,Table2[Product Name],Table2[Cost Percentage],0),0)</f>
        <v>1440</v>
      </c>
      <c r="P467" s="16">
        <f>'Retail Store Sales'!$F467*'Retail Store Sales'!$G467</f>
        <v>2880</v>
      </c>
      <c r="Q467" s="12">
        <f>P467-Table1[[#This Row],[Total cost]]</f>
        <v>1440</v>
      </c>
    </row>
    <row r="468" spans="1:17" x14ac:dyDescent="0.45">
      <c r="A468" s="12" t="s">
        <v>512</v>
      </c>
      <c r="B468" s="12" t="s">
        <v>23</v>
      </c>
      <c r="C468" s="12" t="s">
        <v>69</v>
      </c>
      <c r="D468" s="13">
        <v>45878</v>
      </c>
      <c r="E468" s="13">
        <v>45882</v>
      </c>
      <c r="F468" s="12">
        <v>1</v>
      </c>
      <c r="G468" s="12">
        <v>269</v>
      </c>
      <c r="H468" s="12" t="s">
        <v>13</v>
      </c>
      <c r="I468" s="12" t="s">
        <v>549</v>
      </c>
      <c r="J468" s="12" t="s">
        <v>14</v>
      </c>
      <c r="K468" s="14" t="str">
        <f>TEXT('Retail Store Sales'!$D468,"yyyy")</f>
        <v>2025</v>
      </c>
      <c r="L468" s="11" t="str">
        <f>TEXT('Retail Store Sales'!$D468,"mmm")</f>
        <v>Aug</v>
      </c>
      <c r="M468" s="12" t="str">
        <f>TEXT('Retail Store Sales'!$D468,"dddd")</f>
        <v>Saturday</v>
      </c>
      <c r="N468" s="23">
        <f t="shared" si="7"/>
        <v>4</v>
      </c>
      <c r="O468" s="16">
        <f>ROUND('Retail Store Sales'!$F468*'Retail Store Sales'!$G468*_xlfn.XLOOKUP('Retail Store Sales'!$C468,Table2[Product Name],Table2[Cost Percentage],0),0)</f>
        <v>148</v>
      </c>
      <c r="P468" s="12">
        <f>'Retail Store Sales'!$F468*'Retail Store Sales'!$G468</f>
        <v>269</v>
      </c>
      <c r="Q468" s="12">
        <f>P468-Table1[[#This Row],[Total cost]]</f>
        <v>121</v>
      </c>
    </row>
    <row r="469" spans="1:17" x14ac:dyDescent="0.45">
      <c r="A469" s="16" t="s">
        <v>513</v>
      </c>
      <c r="B469" s="16" t="s">
        <v>11</v>
      </c>
      <c r="C469" s="16" t="s">
        <v>26</v>
      </c>
      <c r="D469" s="17">
        <v>45680</v>
      </c>
      <c r="E469" s="17">
        <v>45689</v>
      </c>
      <c r="F469" s="16">
        <v>9</v>
      </c>
      <c r="G469" s="16">
        <v>498</v>
      </c>
      <c r="H469" s="16" t="s">
        <v>13</v>
      </c>
      <c r="I469" s="16" t="s">
        <v>550</v>
      </c>
      <c r="J469" s="16" t="s">
        <v>45</v>
      </c>
      <c r="K469" s="18" t="str">
        <f>TEXT('Retail Store Sales'!$D469,"yyyy")</f>
        <v>2025</v>
      </c>
      <c r="L469" s="15" t="str">
        <f>TEXT('Retail Store Sales'!$D469,"mmm")</f>
        <v>Jan</v>
      </c>
      <c r="M469" s="16" t="str">
        <f>TEXT('Retail Store Sales'!$D469,"dddd")</f>
        <v>Thursday</v>
      </c>
      <c r="N469" s="24">
        <f t="shared" si="7"/>
        <v>9</v>
      </c>
      <c r="O469" s="16">
        <f>ROUND('Retail Store Sales'!$F469*'Retail Store Sales'!$G469*_xlfn.XLOOKUP('Retail Store Sales'!$C469,Table2[Product Name],Table2[Cost Percentage],0),0)</f>
        <v>2913</v>
      </c>
      <c r="P469" s="16">
        <f>'Retail Store Sales'!$F469*'Retail Store Sales'!$G469</f>
        <v>4482</v>
      </c>
      <c r="Q469" s="12">
        <f>P469-Table1[[#This Row],[Total cost]]</f>
        <v>1569</v>
      </c>
    </row>
    <row r="470" spans="1:17" x14ac:dyDescent="0.45">
      <c r="A470" s="12" t="s">
        <v>514</v>
      </c>
      <c r="B470" s="12" t="s">
        <v>20</v>
      </c>
      <c r="C470" s="12" t="s">
        <v>82</v>
      </c>
      <c r="D470" s="13">
        <v>45736</v>
      </c>
      <c r="E470" s="13">
        <v>45743</v>
      </c>
      <c r="F470" s="12">
        <v>6</v>
      </c>
      <c r="G470" s="12">
        <v>662</v>
      </c>
      <c r="H470" s="12" t="s">
        <v>13</v>
      </c>
      <c r="I470" s="12" t="s">
        <v>549</v>
      </c>
      <c r="J470" s="12" t="s">
        <v>45</v>
      </c>
      <c r="K470" s="14" t="str">
        <f>TEXT('Retail Store Sales'!$D470,"yyyy")</f>
        <v>2025</v>
      </c>
      <c r="L470" s="11" t="str">
        <f>TEXT('Retail Store Sales'!$D470,"mmm")</f>
        <v>Mar</v>
      </c>
      <c r="M470" s="12" t="str">
        <f>TEXT('Retail Store Sales'!$D470,"dddd")</f>
        <v>Thursday</v>
      </c>
      <c r="N470" s="23">
        <f t="shared" si="7"/>
        <v>7</v>
      </c>
      <c r="O470" s="16">
        <f>ROUND('Retail Store Sales'!$F470*'Retail Store Sales'!$G470*_xlfn.XLOOKUP('Retail Store Sales'!$C470,Table2[Product Name],Table2[Cost Percentage],0),0)</f>
        <v>3178</v>
      </c>
      <c r="P470" s="12">
        <f>'Retail Store Sales'!$F470*'Retail Store Sales'!$G470</f>
        <v>3972</v>
      </c>
      <c r="Q470" s="12">
        <f>P470-Table1[[#This Row],[Total cost]]</f>
        <v>794</v>
      </c>
    </row>
    <row r="471" spans="1:17" x14ac:dyDescent="0.45">
      <c r="A471" s="16" t="s">
        <v>515</v>
      </c>
      <c r="B471" s="16" t="s">
        <v>23</v>
      </c>
      <c r="C471" s="16" t="s">
        <v>37</v>
      </c>
      <c r="D471" s="17">
        <v>45681</v>
      </c>
      <c r="E471" s="17">
        <v>45691</v>
      </c>
      <c r="F471" s="16">
        <v>1</v>
      </c>
      <c r="G471" s="16">
        <v>909</v>
      </c>
      <c r="H471" s="16" t="s">
        <v>27</v>
      </c>
      <c r="I471" s="16" t="s">
        <v>32</v>
      </c>
      <c r="J471" s="16" t="s">
        <v>14</v>
      </c>
      <c r="K471" s="18" t="str">
        <f>TEXT('Retail Store Sales'!$D471,"yyyy")</f>
        <v>2025</v>
      </c>
      <c r="L471" s="15" t="str">
        <f>TEXT('Retail Store Sales'!$D471,"mmm")</f>
        <v>Jan</v>
      </c>
      <c r="M471" s="16" t="str">
        <f>TEXT('Retail Store Sales'!$D471,"dddd")</f>
        <v>Friday</v>
      </c>
      <c r="N471" s="24">
        <f t="shared" si="7"/>
        <v>10</v>
      </c>
      <c r="O471" s="16">
        <f>ROUND('Retail Store Sales'!$F471*'Retail Store Sales'!$G471*_xlfn.XLOOKUP('Retail Store Sales'!$C471,Table2[Product Name],Table2[Cost Percentage],0),0)</f>
        <v>455</v>
      </c>
      <c r="P471" s="16">
        <f>'Retail Store Sales'!$F471*'Retail Store Sales'!$G471</f>
        <v>909</v>
      </c>
      <c r="Q471" s="12">
        <f>P471-Table1[[#This Row],[Total cost]]</f>
        <v>454</v>
      </c>
    </row>
    <row r="472" spans="1:17" x14ac:dyDescent="0.45">
      <c r="A472" s="12" t="s">
        <v>516</v>
      </c>
      <c r="B472" s="12" t="s">
        <v>30</v>
      </c>
      <c r="C472" s="12" t="s">
        <v>31</v>
      </c>
      <c r="D472" s="13">
        <v>46012</v>
      </c>
      <c r="E472" s="13">
        <v>46015</v>
      </c>
      <c r="F472" s="12">
        <v>8</v>
      </c>
      <c r="G472" s="12">
        <v>189</v>
      </c>
      <c r="H472" s="12" t="s">
        <v>13</v>
      </c>
      <c r="I472" s="12" t="s">
        <v>550</v>
      </c>
      <c r="J472" s="12" t="s">
        <v>28</v>
      </c>
      <c r="K472" s="14" t="str">
        <f>TEXT('Retail Store Sales'!$D472,"yyyy")</f>
        <v>2025</v>
      </c>
      <c r="L472" s="11" t="str">
        <f>TEXT('Retail Store Sales'!$D472,"mmm")</f>
        <v>Dec</v>
      </c>
      <c r="M472" s="12" t="str">
        <f>TEXT('Retail Store Sales'!$D472,"dddd")</f>
        <v>Sunday</v>
      </c>
      <c r="N472" s="23">
        <f t="shared" si="7"/>
        <v>3</v>
      </c>
      <c r="O472" s="16">
        <f>ROUND('Retail Store Sales'!$F472*'Retail Store Sales'!$G472*_xlfn.XLOOKUP('Retail Store Sales'!$C472,Table2[Product Name],Table2[Cost Percentage],0),0)</f>
        <v>1134</v>
      </c>
      <c r="P472" s="12">
        <f>'Retail Store Sales'!$F472*'Retail Store Sales'!$G472</f>
        <v>1512</v>
      </c>
      <c r="Q472" s="12">
        <f>P472-Table1[[#This Row],[Total cost]]</f>
        <v>378</v>
      </c>
    </row>
    <row r="473" spans="1:17" x14ac:dyDescent="0.45">
      <c r="A473" s="16" t="s">
        <v>517</v>
      </c>
      <c r="B473" s="16" t="s">
        <v>23</v>
      </c>
      <c r="C473" s="16" t="s">
        <v>24</v>
      </c>
      <c r="D473" s="17">
        <v>45770</v>
      </c>
      <c r="E473" s="17">
        <v>45779</v>
      </c>
      <c r="F473" s="16">
        <v>4</v>
      </c>
      <c r="G473" s="16">
        <v>689</v>
      </c>
      <c r="H473" s="16" t="s">
        <v>27</v>
      </c>
      <c r="I473" s="16" t="s">
        <v>548</v>
      </c>
      <c r="J473" s="16" t="s">
        <v>18</v>
      </c>
      <c r="K473" s="18" t="str">
        <f>TEXT('Retail Store Sales'!$D473,"yyyy")</f>
        <v>2025</v>
      </c>
      <c r="L473" s="15" t="str">
        <f>TEXT('Retail Store Sales'!$D473,"mmm")</f>
        <v>Apr</v>
      </c>
      <c r="M473" s="16" t="str">
        <f>TEXT('Retail Store Sales'!$D473,"dddd")</f>
        <v>Wednesday</v>
      </c>
      <c r="N473" s="24">
        <f t="shared" si="7"/>
        <v>9</v>
      </c>
      <c r="O473" s="16">
        <f>ROUND('Retail Store Sales'!$F473*'Retail Store Sales'!$G473*_xlfn.XLOOKUP('Retail Store Sales'!$C473,Table2[Product Name],Table2[Cost Percentage],0),0)</f>
        <v>1516</v>
      </c>
      <c r="P473" s="16">
        <f>'Retail Store Sales'!$F473*'Retail Store Sales'!$G473</f>
        <v>2756</v>
      </c>
      <c r="Q473" s="12">
        <f>P473-Table1[[#This Row],[Total cost]]</f>
        <v>1240</v>
      </c>
    </row>
    <row r="474" spans="1:17" x14ac:dyDescent="0.45">
      <c r="A474" s="12" t="s">
        <v>518</v>
      </c>
      <c r="B474" s="12" t="s">
        <v>16</v>
      </c>
      <c r="C474" s="12" t="s">
        <v>43</v>
      </c>
      <c r="D474" s="13">
        <v>45921</v>
      </c>
      <c r="E474" s="13">
        <v>45928</v>
      </c>
      <c r="F474" s="12">
        <v>9</v>
      </c>
      <c r="G474" s="12">
        <v>485</v>
      </c>
      <c r="H474" s="12" t="s">
        <v>27</v>
      </c>
      <c r="I474" s="12" t="s">
        <v>549</v>
      </c>
      <c r="J474" s="12" t="s">
        <v>28</v>
      </c>
      <c r="K474" s="14" t="str">
        <f>TEXT('Retail Store Sales'!$D474,"yyyy")</f>
        <v>2025</v>
      </c>
      <c r="L474" s="11" t="str">
        <f>TEXT('Retail Store Sales'!$D474,"mmm")</f>
        <v>Sep</v>
      </c>
      <c r="M474" s="12" t="str">
        <f>TEXT('Retail Store Sales'!$D474,"dddd")</f>
        <v>Sunday</v>
      </c>
      <c r="N474" s="23">
        <f t="shared" si="7"/>
        <v>7</v>
      </c>
      <c r="O474" s="16">
        <f>ROUND('Retail Store Sales'!$F474*'Retail Store Sales'!$G474*_xlfn.XLOOKUP('Retail Store Sales'!$C474,Table2[Product Name],Table2[Cost Percentage],0),0)</f>
        <v>2619</v>
      </c>
      <c r="P474" s="12">
        <f>'Retail Store Sales'!$F474*'Retail Store Sales'!$G474</f>
        <v>4365</v>
      </c>
      <c r="Q474" s="12">
        <f>P474-Table1[[#This Row],[Total cost]]</f>
        <v>1746</v>
      </c>
    </row>
    <row r="475" spans="1:17" x14ac:dyDescent="0.45">
      <c r="A475" s="16" t="s">
        <v>519</v>
      </c>
      <c r="B475" s="16" t="s">
        <v>23</v>
      </c>
      <c r="C475" s="16" t="s">
        <v>24</v>
      </c>
      <c r="D475" s="17">
        <v>45909</v>
      </c>
      <c r="E475" s="17">
        <v>45911</v>
      </c>
      <c r="F475" s="16">
        <v>2</v>
      </c>
      <c r="G475" s="16">
        <v>31</v>
      </c>
      <c r="H475" s="16" t="s">
        <v>27</v>
      </c>
      <c r="I475" s="16" t="s">
        <v>546</v>
      </c>
      <c r="J475" s="16" t="s">
        <v>14</v>
      </c>
      <c r="K475" s="18" t="str">
        <f>TEXT('Retail Store Sales'!$D475,"yyyy")</f>
        <v>2025</v>
      </c>
      <c r="L475" s="15" t="str">
        <f>TEXT('Retail Store Sales'!$D475,"mmm")</f>
        <v>Sep</v>
      </c>
      <c r="M475" s="16" t="str">
        <f>TEXT('Retail Store Sales'!$D475,"dddd")</f>
        <v>Tuesday</v>
      </c>
      <c r="N475" s="24">
        <f t="shared" si="7"/>
        <v>2</v>
      </c>
      <c r="O475" s="16">
        <f>ROUND('Retail Store Sales'!$F475*'Retail Store Sales'!$G475*_xlfn.XLOOKUP('Retail Store Sales'!$C475,Table2[Product Name],Table2[Cost Percentage],0),0)</f>
        <v>34</v>
      </c>
      <c r="P475" s="16">
        <f>'Retail Store Sales'!$F475*'Retail Store Sales'!$G475</f>
        <v>62</v>
      </c>
      <c r="Q475" s="12">
        <f>P475-Table1[[#This Row],[Total cost]]</f>
        <v>28</v>
      </c>
    </row>
    <row r="476" spans="1:17" x14ac:dyDescent="0.45">
      <c r="A476" s="12" t="s">
        <v>520</v>
      </c>
      <c r="B476" s="12" t="s">
        <v>16</v>
      </c>
      <c r="C476" s="12" t="s">
        <v>55</v>
      </c>
      <c r="D476" s="13">
        <v>45912</v>
      </c>
      <c r="E476" s="13">
        <v>45914</v>
      </c>
      <c r="F476" s="12">
        <v>6</v>
      </c>
      <c r="G476" s="12">
        <v>806</v>
      </c>
      <c r="H476" s="12" t="s">
        <v>13</v>
      </c>
      <c r="I476" s="12" t="s">
        <v>32</v>
      </c>
      <c r="J476" s="12" t="s">
        <v>14</v>
      </c>
      <c r="K476" s="14" t="str">
        <f>TEXT('Retail Store Sales'!$D476,"yyyy")</f>
        <v>2025</v>
      </c>
      <c r="L476" s="11" t="str">
        <f>TEXT('Retail Store Sales'!$D476,"mmm")</f>
        <v>Sep</v>
      </c>
      <c r="M476" s="12" t="str">
        <f>TEXT('Retail Store Sales'!$D476,"dddd")</f>
        <v>Friday</v>
      </c>
      <c r="N476" s="23">
        <f t="shared" si="7"/>
        <v>2</v>
      </c>
      <c r="O476" s="16">
        <f>ROUND('Retail Store Sales'!$F476*'Retail Store Sales'!$G476*_xlfn.XLOOKUP('Retail Store Sales'!$C476,Table2[Product Name],Table2[Cost Percentage],0),0)</f>
        <v>2660</v>
      </c>
      <c r="P476" s="12">
        <f>'Retail Store Sales'!$F476*'Retail Store Sales'!$G476</f>
        <v>4836</v>
      </c>
      <c r="Q476" s="12">
        <f>P476-Table1[[#This Row],[Total cost]]</f>
        <v>2176</v>
      </c>
    </row>
    <row r="477" spans="1:17" x14ac:dyDescent="0.45">
      <c r="A477" s="16" t="s">
        <v>521</v>
      </c>
      <c r="B477" s="16" t="s">
        <v>30</v>
      </c>
      <c r="C477" s="16" t="s">
        <v>41</v>
      </c>
      <c r="D477" s="17">
        <v>45938</v>
      </c>
      <c r="E477" s="17">
        <v>45940</v>
      </c>
      <c r="F477" s="16">
        <v>5</v>
      </c>
      <c r="G477" s="16">
        <v>720</v>
      </c>
      <c r="H477" s="16" t="s">
        <v>13</v>
      </c>
      <c r="I477" s="16" t="s">
        <v>550</v>
      </c>
      <c r="J477" s="16" t="s">
        <v>28</v>
      </c>
      <c r="K477" s="18" t="str">
        <f>TEXT('Retail Store Sales'!$D477,"yyyy")</f>
        <v>2025</v>
      </c>
      <c r="L477" s="15" t="str">
        <f>TEXT('Retail Store Sales'!$D477,"mmm")</f>
        <v>Oct</v>
      </c>
      <c r="M477" s="16" t="str">
        <f>TEXT('Retail Store Sales'!$D477,"dddd")</f>
        <v>Wednesday</v>
      </c>
      <c r="N477" s="24">
        <f t="shared" si="7"/>
        <v>2</v>
      </c>
      <c r="O477" s="16">
        <f>ROUND('Retail Store Sales'!$F477*'Retail Store Sales'!$G477*_xlfn.XLOOKUP('Retail Store Sales'!$C477,Table2[Product Name],Table2[Cost Percentage],0),0)</f>
        <v>2340</v>
      </c>
      <c r="P477" s="16">
        <f>'Retail Store Sales'!$F477*'Retail Store Sales'!$G477</f>
        <v>3600</v>
      </c>
      <c r="Q477" s="12">
        <f>P477-Table1[[#This Row],[Total cost]]</f>
        <v>1260</v>
      </c>
    </row>
    <row r="478" spans="1:17" x14ac:dyDescent="0.45">
      <c r="A478" s="12" t="s">
        <v>522</v>
      </c>
      <c r="B478" s="12" t="s">
        <v>30</v>
      </c>
      <c r="C478" s="12" t="s">
        <v>41</v>
      </c>
      <c r="D478" s="13">
        <v>45855</v>
      </c>
      <c r="E478" s="13">
        <v>45861</v>
      </c>
      <c r="F478" s="12">
        <v>2</v>
      </c>
      <c r="G478" s="12">
        <v>420</v>
      </c>
      <c r="H478" s="12" t="s">
        <v>13</v>
      </c>
      <c r="I478" s="12" t="s">
        <v>548</v>
      </c>
      <c r="J478" s="12" t="s">
        <v>45</v>
      </c>
      <c r="K478" s="14" t="str">
        <f>TEXT('Retail Store Sales'!$D478,"yyyy")</f>
        <v>2025</v>
      </c>
      <c r="L478" s="11" t="str">
        <f>TEXT('Retail Store Sales'!$D478,"mmm")</f>
        <v>Jul</v>
      </c>
      <c r="M478" s="12" t="str">
        <f>TEXT('Retail Store Sales'!$D478,"dddd")</f>
        <v>Thursday</v>
      </c>
      <c r="N478" s="23">
        <f t="shared" si="7"/>
        <v>6</v>
      </c>
      <c r="O478" s="16">
        <f>ROUND('Retail Store Sales'!$F478*'Retail Store Sales'!$G478*_xlfn.XLOOKUP('Retail Store Sales'!$C478,Table2[Product Name],Table2[Cost Percentage],0),0)</f>
        <v>546</v>
      </c>
      <c r="P478" s="12">
        <f>'Retail Store Sales'!$F478*'Retail Store Sales'!$G478</f>
        <v>840</v>
      </c>
      <c r="Q478" s="12">
        <f>P478-Table1[[#This Row],[Total cost]]</f>
        <v>294</v>
      </c>
    </row>
    <row r="479" spans="1:17" x14ac:dyDescent="0.45">
      <c r="A479" s="16" t="s">
        <v>523</v>
      </c>
      <c r="B479" s="16" t="s">
        <v>23</v>
      </c>
      <c r="C479" s="16" t="s">
        <v>69</v>
      </c>
      <c r="D479" s="17">
        <v>46007</v>
      </c>
      <c r="E479" s="17">
        <v>46017</v>
      </c>
      <c r="F479" s="16">
        <v>3</v>
      </c>
      <c r="G479" s="16">
        <v>10</v>
      </c>
      <c r="H479" s="16" t="s">
        <v>13</v>
      </c>
      <c r="I479" s="16" t="s">
        <v>32</v>
      </c>
      <c r="J479" s="16" t="s">
        <v>45</v>
      </c>
      <c r="K479" s="18" t="str">
        <f>TEXT('Retail Store Sales'!$D479,"yyyy")</f>
        <v>2025</v>
      </c>
      <c r="L479" s="15" t="str">
        <f>TEXT('Retail Store Sales'!$D479,"mmm")</f>
        <v>Dec</v>
      </c>
      <c r="M479" s="16" t="str">
        <f>TEXT('Retail Store Sales'!$D479,"dddd")</f>
        <v>Tuesday</v>
      </c>
      <c r="N479" s="24">
        <f t="shared" si="7"/>
        <v>10</v>
      </c>
      <c r="O479" s="16">
        <f>ROUND('Retail Store Sales'!$F479*'Retail Store Sales'!$G479*_xlfn.XLOOKUP('Retail Store Sales'!$C479,Table2[Product Name],Table2[Cost Percentage],0),0)</f>
        <v>17</v>
      </c>
      <c r="P479" s="16">
        <f>'Retail Store Sales'!$F479*'Retail Store Sales'!$G479</f>
        <v>30</v>
      </c>
      <c r="Q479" s="12">
        <f>P479-Table1[[#This Row],[Total cost]]</f>
        <v>13</v>
      </c>
    </row>
    <row r="480" spans="1:17" x14ac:dyDescent="0.45">
      <c r="A480" s="12" t="s">
        <v>524</v>
      </c>
      <c r="B480" s="12" t="s">
        <v>16</v>
      </c>
      <c r="C480" s="12" t="s">
        <v>17</v>
      </c>
      <c r="D480" s="13">
        <v>45953</v>
      </c>
      <c r="E480" s="13">
        <v>45963</v>
      </c>
      <c r="F480" s="12">
        <v>1</v>
      </c>
      <c r="G480" s="12">
        <v>950</v>
      </c>
      <c r="H480" s="12" t="s">
        <v>13</v>
      </c>
      <c r="I480" s="12" t="s">
        <v>548</v>
      </c>
      <c r="J480" s="12" t="s">
        <v>18</v>
      </c>
      <c r="K480" s="14" t="str">
        <f>TEXT('Retail Store Sales'!$D480,"yyyy")</f>
        <v>2025</v>
      </c>
      <c r="L480" s="11" t="str">
        <f>TEXT('Retail Store Sales'!$D480,"mmm")</f>
        <v>Oct</v>
      </c>
      <c r="M480" s="12" t="str">
        <f>TEXT('Retail Store Sales'!$D480,"dddd")</f>
        <v>Thursday</v>
      </c>
      <c r="N480" s="23">
        <f t="shared" si="7"/>
        <v>10</v>
      </c>
      <c r="O480" s="16">
        <f>ROUND('Retail Store Sales'!$F480*'Retail Store Sales'!$G480*_xlfn.XLOOKUP('Retail Store Sales'!$C480,Table2[Product Name],Table2[Cost Percentage],0),0)</f>
        <v>475</v>
      </c>
      <c r="P480" s="12">
        <f>'Retail Store Sales'!$F480*'Retail Store Sales'!$G480</f>
        <v>950</v>
      </c>
      <c r="Q480" s="12">
        <f>P480-Table1[[#This Row],[Total cost]]</f>
        <v>475</v>
      </c>
    </row>
    <row r="481" spans="1:17" x14ac:dyDescent="0.45">
      <c r="A481" s="16" t="s">
        <v>525</v>
      </c>
      <c r="B481" s="16" t="s">
        <v>20</v>
      </c>
      <c r="C481" s="16" t="s">
        <v>39</v>
      </c>
      <c r="D481" s="17">
        <v>45716</v>
      </c>
      <c r="E481" s="17">
        <v>45722</v>
      </c>
      <c r="F481" s="16">
        <v>7</v>
      </c>
      <c r="G481" s="16">
        <v>996</v>
      </c>
      <c r="H481" s="16" t="s">
        <v>13</v>
      </c>
      <c r="I481" s="16" t="s">
        <v>546</v>
      </c>
      <c r="J481" s="16" t="s">
        <v>14</v>
      </c>
      <c r="K481" s="18" t="str">
        <f>TEXT('Retail Store Sales'!$D481,"yyyy")</f>
        <v>2025</v>
      </c>
      <c r="L481" s="15" t="str">
        <f>TEXT('Retail Store Sales'!$D481,"mmm")</f>
        <v>Feb</v>
      </c>
      <c r="M481" s="16" t="str">
        <f>TEXT('Retail Store Sales'!$D481,"dddd")</f>
        <v>Friday</v>
      </c>
      <c r="N481" s="24">
        <f t="shared" si="7"/>
        <v>6</v>
      </c>
      <c r="O481" s="16">
        <f>ROUND('Retail Store Sales'!$F481*'Retail Store Sales'!$G481*_xlfn.XLOOKUP('Retail Store Sales'!$C481,Table2[Product Name],Table2[Cost Percentage],0),0)</f>
        <v>4532</v>
      </c>
      <c r="P481" s="16">
        <f>'Retail Store Sales'!$F481*'Retail Store Sales'!$G481</f>
        <v>6972</v>
      </c>
      <c r="Q481" s="12">
        <f>P481-Table1[[#This Row],[Total cost]]</f>
        <v>2440</v>
      </c>
    </row>
    <row r="482" spans="1:17" x14ac:dyDescent="0.45">
      <c r="A482" s="12" t="s">
        <v>526</v>
      </c>
      <c r="B482" s="12" t="s">
        <v>16</v>
      </c>
      <c r="C482" s="12" t="s">
        <v>55</v>
      </c>
      <c r="D482" s="13">
        <v>45689</v>
      </c>
      <c r="E482" s="13">
        <v>45693</v>
      </c>
      <c r="F482" s="12">
        <v>4</v>
      </c>
      <c r="G482" s="12">
        <v>439</v>
      </c>
      <c r="H482" s="12" t="s">
        <v>13</v>
      </c>
      <c r="I482" s="12" t="s">
        <v>549</v>
      </c>
      <c r="J482" s="12" t="s">
        <v>28</v>
      </c>
      <c r="K482" s="14" t="str">
        <f>TEXT('Retail Store Sales'!$D482,"yyyy")</f>
        <v>2025</v>
      </c>
      <c r="L482" s="11" t="str">
        <f>TEXT('Retail Store Sales'!$D482,"mmm")</f>
        <v>Feb</v>
      </c>
      <c r="M482" s="12" t="str">
        <f>TEXT('Retail Store Sales'!$D482,"dddd")</f>
        <v>Saturday</v>
      </c>
      <c r="N482" s="23">
        <f t="shared" si="7"/>
        <v>4</v>
      </c>
      <c r="O482" s="16">
        <f>ROUND('Retail Store Sales'!$F482*'Retail Store Sales'!$G482*_xlfn.XLOOKUP('Retail Store Sales'!$C482,Table2[Product Name],Table2[Cost Percentage],0),0)</f>
        <v>966</v>
      </c>
      <c r="P482" s="12">
        <f>'Retail Store Sales'!$F482*'Retail Store Sales'!$G482</f>
        <v>1756</v>
      </c>
      <c r="Q482" s="12">
        <f>P482-Table1[[#This Row],[Total cost]]</f>
        <v>790</v>
      </c>
    </row>
    <row r="483" spans="1:17" x14ac:dyDescent="0.45">
      <c r="A483" s="16" t="s">
        <v>527</v>
      </c>
      <c r="B483" s="16" t="s">
        <v>16</v>
      </c>
      <c r="C483" s="16" t="s">
        <v>55</v>
      </c>
      <c r="D483" s="17">
        <v>45660</v>
      </c>
      <c r="E483" s="17">
        <v>45667</v>
      </c>
      <c r="F483" s="16">
        <v>9</v>
      </c>
      <c r="G483" s="16">
        <v>727</v>
      </c>
      <c r="H483" s="16" t="s">
        <v>13</v>
      </c>
      <c r="I483" s="16" t="s">
        <v>550</v>
      </c>
      <c r="J483" s="16" t="s">
        <v>14</v>
      </c>
      <c r="K483" s="18" t="str">
        <f>TEXT('Retail Store Sales'!$D483,"yyyy")</f>
        <v>2025</v>
      </c>
      <c r="L483" s="15" t="str">
        <f>TEXT('Retail Store Sales'!$D483,"mmm")</f>
        <v>Jan</v>
      </c>
      <c r="M483" s="16" t="str">
        <f>TEXT('Retail Store Sales'!$D483,"dddd")</f>
        <v>Friday</v>
      </c>
      <c r="N483" s="24">
        <f t="shared" si="7"/>
        <v>7</v>
      </c>
      <c r="O483" s="16">
        <f>ROUND('Retail Store Sales'!$F483*'Retail Store Sales'!$G483*_xlfn.XLOOKUP('Retail Store Sales'!$C483,Table2[Product Name],Table2[Cost Percentage],0),0)</f>
        <v>3599</v>
      </c>
      <c r="P483" s="16">
        <f>'Retail Store Sales'!$F483*'Retail Store Sales'!$G483</f>
        <v>6543</v>
      </c>
      <c r="Q483" s="12">
        <f>P483-Table1[[#This Row],[Total cost]]</f>
        <v>2944</v>
      </c>
    </row>
    <row r="484" spans="1:17" x14ac:dyDescent="0.45">
      <c r="A484" s="12" t="s">
        <v>528</v>
      </c>
      <c r="B484" s="12" t="s">
        <v>11</v>
      </c>
      <c r="C484" s="12" t="s">
        <v>26</v>
      </c>
      <c r="D484" s="13">
        <v>45704</v>
      </c>
      <c r="E484" s="13">
        <v>45708</v>
      </c>
      <c r="F484" s="12">
        <v>5</v>
      </c>
      <c r="G484" s="12">
        <v>314</v>
      </c>
      <c r="H484" s="12" t="s">
        <v>13</v>
      </c>
      <c r="I484" s="12" t="s">
        <v>32</v>
      </c>
      <c r="J484" s="12" t="s">
        <v>28</v>
      </c>
      <c r="K484" s="14" t="str">
        <f>TEXT('Retail Store Sales'!$D484,"yyyy")</f>
        <v>2025</v>
      </c>
      <c r="L484" s="11" t="str">
        <f>TEXT('Retail Store Sales'!$D484,"mmm")</f>
        <v>Feb</v>
      </c>
      <c r="M484" s="12" t="str">
        <f>TEXT('Retail Store Sales'!$D484,"dddd")</f>
        <v>Sunday</v>
      </c>
      <c r="N484" s="23">
        <f t="shared" si="7"/>
        <v>4</v>
      </c>
      <c r="O484" s="16">
        <f>ROUND('Retail Store Sales'!$F484*'Retail Store Sales'!$G484*_xlfn.XLOOKUP('Retail Store Sales'!$C484,Table2[Product Name],Table2[Cost Percentage],0),0)</f>
        <v>1021</v>
      </c>
      <c r="P484" s="12">
        <f>'Retail Store Sales'!$F484*'Retail Store Sales'!$G484</f>
        <v>1570</v>
      </c>
      <c r="Q484" s="12">
        <f>P484-Table1[[#This Row],[Total cost]]</f>
        <v>549</v>
      </c>
    </row>
    <row r="485" spans="1:17" x14ac:dyDescent="0.45">
      <c r="A485" s="16" t="s">
        <v>529</v>
      </c>
      <c r="B485" s="16" t="s">
        <v>30</v>
      </c>
      <c r="C485" s="16" t="s">
        <v>75</v>
      </c>
      <c r="D485" s="17">
        <v>45920</v>
      </c>
      <c r="E485" s="17">
        <v>45924</v>
      </c>
      <c r="F485" s="16">
        <v>8</v>
      </c>
      <c r="G485" s="16">
        <v>419</v>
      </c>
      <c r="H485" s="16" t="s">
        <v>27</v>
      </c>
      <c r="I485" s="16" t="s">
        <v>550</v>
      </c>
      <c r="J485" s="16" t="s">
        <v>45</v>
      </c>
      <c r="K485" s="18" t="str">
        <f>TEXT('Retail Store Sales'!$D485,"yyyy")</f>
        <v>2025</v>
      </c>
      <c r="L485" s="15" t="str">
        <f>TEXT('Retail Store Sales'!$D485,"mmm")</f>
        <v>Sep</v>
      </c>
      <c r="M485" s="16" t="str">
        <f>TEXT('Retail Store Sales'!$D485,"dddd")</f>
        <v>Saturday</v>
      </c>
      <c r="N485" s="24">
        <f t="shared" si="7"/>
        <v>4</v>
      </c>
      <c r="O485" s="16">
        <f>ROUND('Retail Store Sales'!$F485*'Retail Store Sales'!$G485*_xlfn.XLOOKUP('Retail Store Sales'!$C485,Table2[Product Name],Table2[Cost Percentage],0),0)</f>
        <v>2514</v>
      </c>
      <c r="P485" s="16">
        <f>'Retail Store Sales'!$F485*'Retail Store Sales'!$G485</f>
        <v>3352</v>
      </c>
      <c r="Q485" s="12">
        <f>P485-Table1[[#This Row],[Total cost]]</f>
        <v>838</v>
      </c>
    </row>
    <row r="486" spans="1:17" x14ac:dyDescent="0.45">
      <c r="A486" s="12" t="s">
        <v>38</v>
      </c>
      <c r="B486" s="12" t="s">
        <v>16</v>
      </c>
      <c r="C486" s="12" t="s">
        <v>43</v>
      </c>
      <c r="D486" s="13">
        <v>45987</v>
      </c>
      <c r="E486" s="13">
        <v>45996</v>
      </c>
      <c r="F486" s="12">
        <v>5</v>
      </c>
      <c r="G486" s="12">
        <v>900</v>
      </c>
      <c r="H486" s="12" t="s">
        <v>27</v>
      </c>
      <c r="I486" s="12" t="s">
        <v>548</v>
      </c>
      <c r="J486" s="12" t="s">
        <v>45</v>
      </c>
      <c r="K486" s="14" t="str">
        <f>TEXT('Retail Store Sales'!$D486,"yyyy")</f>
        <v>2025</v>
      </c>
      <c r="L486" s="11" t="str">
        <f>TEXT('Retail Store Sales'!$D486,"mmm")</f>
        <v>Nov</v>
      </c>
      <c r="M486" s="12" t="str">
        <f>TEXT('Retail Store Sales'!$D486,"dddd")</f>
        <v>Wednesday</v>
      </c>
      <c r="N486" s="23">
        <f t="shared" si="7"/>
        <v>9</v>
      </c>
      <c r="O486" s="16">
        <f>ROUND('Retail Store Sales'!$F486*'Retail Store Sales'!$G486*_xlfn.XLOOKUP('Retail Store Sales'!$C486,Table2[Product Name],Table2[Cost Percentage],0),0)</f>
        <v>2700</v>
      </c>
      <c r="P486" s="12">
        <f>'Retail Store Sales'!$F486*'Retail Store Sales'!$G486</f>
        <v>4500</v>
      </c>
      <c r="Q486" s="12">
        <f>P486-Table1[[#This Row],[Total cost]]</f>
        <v>1800</v>
      </c>
    </row>
    <row r="487" spans="1:17" x14ac:dyDescent="0.45">
      <c r="A487" s="16" t="s">
        <v>40</v>
      </c>
      <c r="B487" s="16" t="s">
        <v>23</v>
      </c>
      <c r="C487" s="16" t="s">
        <v>24</v>
      </c>
      <c r="D487" s="17">
        <v>45988</v>
      </c>
      <c r="E487" s="17">
        <v>45994</v>
      </c>
      <c r="F487" s="16">
        <v>7</v>
      </c>
      <c r="G487" s="16">
        <v>444</v>
      </c>
      <c r="H487" s="16" t="s">
        <v>27</v>
      </c>
      <c r="I487" s="16" t="s">
        <v>548</v>
      </c>
      <c r="J487" s="16" t="s">
        <v>45</v>
      </c>
      <c r="K487" s="18" t="str">
        <f>TEXT('Retail Store Sales'!$D487,"yyyy")</f>
        <v>2025</v>
      </c>
      <c r="L487" s="15" t="str">
        <f>TEXT('Retail Store Sales'!$D487,"mmm")</f>
        <v>Nov</v>
      </c>
      <c r="M487" s="16" t="str">
        <f>TEXT('Retail Store Sales'!$D487,"dddd")</f>
        <v>Thursday</v>
      </c>
      <c r="N487" s="24">
        <f t="shared" si="7"/>
        <v>6</v>
      </c>
      <c r="O487" s="16">
        <f>ROUND('Retail Store Sales'!$F487*'Retail Store Sales'!$G487*_xlfn.XLOOKUP('Retail Store Sales'!$C487,Table2[Product Name],Table2[Cost Percentage],0),0)</f>
        <v>1709</v>
      </c>
      <c r="P487" s="16">
        <f>'Retail Store Sales'!$F487*'Retail Store Sales'!$G487</f>
        <v>3108</v>
      </c>
      <c r="Q487" s="12">
        <f>P487-Table1[[#This Row],[Total cost]]</f>
        <v>1399</v>
      </c>
    </row>
    <row r="488" spans="1:17" x14ac:dyDescent="0.45">
      <c r="A488" s="12" t="s">
        <v>42</v>
      </c>
      <c r="B488" s="12" t="s">
        <v>23</v>
      </c>
      <c r="C488" s="12" t="s">
        <v>24</v>
      </c>
      <c r="D488" s="13">
        <v>45814</v>
      </c>
      <c r="E488" s="13">
        <v>45817</v>
      </c>
      <c r="F488" s="12">
        <v>5</v>
      </c>
      <c r="G488" s="12">
        <v>615</v>
      </c>
      <c r="H488" s="12" t="s">
        <v>27</v>
      </c>
      <c r="I488" s="12" t="s">
        <v>548</v>
      </c>
      <c r="J488" s="12" t="s">
        <v>14</v>
      </c>
      <c r="K488" s="14" t="str">
        <f>TEXT('Retail Store Sales'!$D488,"yyyy")</f>
        <v>2025</v>
      </c>
      <c r="L488" s="11" t="str">
        <f>TEXT('Retail Store Sales'!$D488,"mmm")</f>
        <v>Jun</v>
      </c>
      <c r="M488" s="12" t="str">
        <f>TEXT('Retail Store Sales'!$D488,"dddd")</f>
        <v>Friday</v>
      </c>
      <c r="N488" s="23">
        <f t="shared" si="7"/>
        <v>3</v>
      </c>
      <c r="O488" s="16">
        <f>ROUND('Retail Store Sales'!$F488*'Retail Store Sales'!$G488*_xlfn.XLOOKUP('Retail Store Sales'!$C488,Table2[Product Name],Table2[Cost Percentage],0),0)</f>
        <v>1691</v>
      </c>
      <c r="P488" s="12">
        <f>'Retail Store Sales'!$F488*'Retail Store Sales'!$G488</f>
        <v>3075</v>
      </c>
      <c r="Q488" s="12">
        <f>P488-Table1[[#This Row],[Total cost]]</f>
        <v>1384</v>
      </c>
    </row>
    <row r="489" spans="1:17" x14ac:dyDescent="0.45">
      <c r="A489" s="16" t="s">
        <v>44</v>
      </c>
      <c r="B489" s="16" t="s">
        <v>16</v>
      </c>
      <c r="C489" s="16" t="s">
        <v>63</v>
      </c>
      <c r="D489" s="17">
        <v>46006</v>
      </c>
      <c r="E489" s="17">
        <v>46007</v>
      </c>
      <c r="F489" s="16">
        <v>7</v>
      </c>
      <c r="G489" s="16">
        <v>595</v>
      </c>
      <c r="H489" s="16" t="s">
        <v>13</v>
      </c>
      <c r="I489" s="16" t="s">
        <v>550</v>
      </c>
      <c r="J489" s="16" t="s">
        <v>18</v>
      </c>
      <c r="K489" s="18" t="str">
        <f>TEXT('Retail Store Sales'!$D489,"yyyy")</f>
        <v>2025</v>
      </c>
      <c r="L489" s="15" t="str">
        <f>TEXT('Retail Store Sales'!$D489,"mmm")</f>
        <v>Dec</v>
      </c>
      <c r="M489" s="16" t="str">
        <f>TEXT('Retail Store Sales'!$D489,"dddd")</f>
        <v>Monday</v>
      </c>
      <c r="N489" s="24">
        <f t="shared" si="7"/>
        <v>1</v>
      </c>
      <c r="O489" s="16">
        <f>ROUND('Retail Store Sales'!$F489*'Retail Store Sales'!$G489*_xlfn.XLOOKUP('Retail Store Sales'!$C489,Table2[Product Name],Table2[Cost Percentage],0),0)</f>
        <v>2083</v>
      </c>
      <c r="P489" s="16">
        <f>'Retail Store Sales'!$F489*'Retail Store Sales'!$G489</f>
        <v>4165</v>
      </c>
      <c r="Q489" s="12">
        <f>P489-Table1[[#This Row],[Total cost]]</f>
        <v>2082</v>
      </c>
    </row>
    <row r="490" spans="1:17" x14ac:dyDescent="0.45">
      <c r="A490" s="12" t="s">
        <v>46</v>
      </c>
      <c r="B490" s="12" t="s">
        <v>30</v>
      </c>
      <c r="C490" s="12" t="s">
        <v>49</v>
      </c>
      <c r="D490" s="13">
        <v>45660</v>
      </c>
      <c r="E490" s="13">
        <v>45669</v>
      </c>
      <c r="F490" s="12">
        <v>1</v>
      </c>
      <c r="G490" s="12">
        <v>669</v>
      </c>
      <c r="H490" s="12" t="s">
        <v>13</v>
      </c>
      <c r="I490" s="12" t="s">
        <v>550</v>
      </c>
      <c r="J490" s="12" t="s">
        <v>18</v>
      </c>
      <c r="K490" s="14" t="str">
        <f>TEXT('Retail Store Sales'!$D490,"yyyy")</f>
        <v>2025</v>
      </c>
      <c r="L490" s="11" t="str">
        <f>TEXT('Retail Store Sales'!$D490,"mmm")</f>
        <v>Jan</v>
      </c>
      <c r="M490" s="12" t="str">
        <f>TEXT('Retail Store Sales'!$D490,"dddd")</f>
        <v>Friday</v>
      </c>
      <c r="N490" s="23">
        <f t="shared" si="7"/>
        <v>9</v>
      </c>
      <c r="O490" s="16">
        <f>ROUND('Retail Store Sales'!$F490*'Retail Store Sales'!$G490*_xlfn.XLOOKUP('Retail Store Sales'!$C490,Table2[Product Name],Table2[Cost Percentage],0),0)</f>
        <v>468</v>
      </c>
      <c r="P490" s="12">
        <f>'Retail Store Sales'!$F490*'Retail Store Sales'!$G490</f>
        <v>669</v>
      </c>
      <c r="Q490" s="12">
        <f>P490-Table1[[#This Row],[Total cost]]</f>
        <v>201</v>
      </c>
    </row>
    <row r="491" spans="1:17" x14ac:dyDescent="0.45">
      <c r="A491" s="16" t="s">
        <v>47</v>
      </c>
      <c r="B491" s="16" t="s">
        <v>20</v>
      </c>
      <c r="C491" s="16" t="s">
        <v>39</v>
      </c>
      <c r="D491" s="17">
        <v>45879</v>
      </c>
      <c r="E491" s="17">
        <v>45882</v>
      </c>
      <c r="F491" s="16">
        <v>9</v>
      </c>
      <c r="G491" s="16">
        <v>967</v>
      </c>
      <c r="H491" s="16" t="s">
        <v>13</v>
      </c>
      <c r="I491" s="16" t="s">
        <v>32</v>
      </c>
      <c r="J491" s="16" t="s">
        <v>18</v>
      </c>
      <c r="K491" s="18" t="str">
        <f>TEXT('Retail Store Sales'!$D491,"yyyy")</f>
        <v>2025</v>
      </c>
      <c r="L491" s="15" t="str">
        <f>TEXT('Retail Store Sales'!$D491,"mmm")</f>
        <v>Aug</v>
      </c>
      <c r="M491" s="16" t="str">
        <f>TEXT('Retail Store Sales'!$D491,"dddd")</f>
        <v>Sunday</v>
      </c>
      <c r="N491" s="24">
        <f t="shared" si="7"/>
        <v>3</v>
      </c>
      <c r="O491" s="16">
        <f>ROUND('Retail Store Sales'!$F491*'Retail Store Sales'!$G491*_xlfn.XLOOKUP('Retail Store Sales'!$C491,Table2[Product Name],Table2[Cost Percentage],0),0)</f>
        <v>5657</v>
      </c>
      <c r="P491" s="16">
        <f>'Retail Store Sales'!$F491*'Retail Store Sales'!$G491</f>
        <v>8703</v>
      </c>
      <c r="Q491" s="12">
        <f>P491-Table1[[#This Row],[Total cost]]</f>
        <v>3046</v>
      </c>
    </row>
    <row r="492" spans="1:17" x14ac:dyDescent="0.45">
      <c r="A492" s="12" t="s">
        <v>48</v>
      </c>
      <c r="B492" s="12" t="s">
        <v>11</v>
      </c>
      <c r="C492" s="12" t="s">
        <v>12</v>
      </c>
      <c r="D492" s="13">
        <v>45759</v>
      </c>
      <c r="E492" s="13">
        <v>45765</v>
      </c>
      <c r="F492" s="12">
        <v>5</v>
      </c>
      <c r="G492" s="12">
        <v>874</v>
      </c>
      <c r="H492" s="12" t="s">
        <v>13</v>
      </c>
      <c r="I492" s="12" t="s">
        <v>32</v>
      </c>
      <c r="J492" s="12" t="s">
        <v>45</v>
      </c>
      <c r="K492" s="14" t="str">
        <f>TEXT('Retail Store Sales'!$D492,"yyyy")</f>
        <v>2025</v>
      </c>
      <c r="L492" s="11" t="str">
        <f>TEXT('Retail Store Sales'!$D492,"mmm")</f>
        <v>Apr</v>
      </c>
      <c r="M492" s="12" t="str">
        <f>TEXT('Retail Store Sales'!$D492,"dddd")</f>
        <v>Saturday</v>
      </c>
      <c r="N492" s="23">
        <f t="shared" si="7"/>
        <v>6</v>
      </c>
      <c r="O492" s="16">
        <f>ROUND('Retail Store Sales'!$F492*'Retail Store Sales'!$G492*_xlfn.XLOOKUP('Retail Store Sales'!$C492,Table2[Product Name],Table2[Cost Percentage],0),0)</f>
        <v>3278</v>
      </c>
      <c r="P492" s="12">
        <f>'Retail Store Sales'!$F492*'Retail Store Sales'!$G492</f>
        <v>4370</v>
      </c>
      <c r="Q492" s="12">
        <f>P492-Table1[[#This Row],[Total cost]]</f>
        <v>1092</v>
      </c>
    </row>
    <row r="493" spans="1:17" x14ac:dyDescent="0.45">
      <c r="A493" s="16" t="s">
        <v>50</v>
      </c>
      <c r="B493" s="16" t="s">
        <v>23</v>
      </c>
      <c r="C493" s="16" t="s">
        <v>37</v>
      </c>
      <c r="D493" s="17">
        <v>45948</v>
      </c>
      <c r="E493" s="17">
        <v>45955</v>
      </c>
      <c r="F493" s="16">
        <v>6</v>
      </c>
      <c r="G493" s="16">
        <v>124</v>
      </c>
      <c r="H493" s="16" t="s">
        <v>27</v>
      </c>
      <c r="I493" s="16" t="s">
        <v>550</v>
      </c>
      <c r="J493" s="16" t="s">
        <v>45</v>
      </c>
      <c r="K493" s="18" t="str">
        <f>TEXT('Retail Store Sales'!$D493,"yyyy")</f>
        <v>2025</v>
      </c>
      <c r="L493" s="15" t="str">
        <f>TEXT('Retail Store Sales'!$D493,"mmm")</f>
        <v>Oct</v>
      </c>
      <c r="M493" s="16" t="str">
        <f>TEXT('Retail Store Sales'!$D493,"dddd")</f>
        <v>Saturday</v>
      </c>
      <c r="N493" s="24">
        <f t="shared" si="7"/>
        <v>7</v>
      </c>
      <c r="O493" s="16">
        <f>ROUND('Retail Store Sales'!$F493*'Retail Store Sales'!$G493*_xlfn.XLOOKUP('Retail Store Sales'!$C493,Table2[Product Name],Table2[Cost Percentage],0),0)</f>
        <v>372</v>
      </c>
      <c r="P493" s="16">
        <f>'Retail Store Sales'!$F493*'Retail Store Sales'!$G493</f>
        <v>744</v>
      </c>
      <c r="Q493" s="12">
        <f>P493-Table1[[#This Row],[Total cost]]</f>
        <v>372</v>
      </c>
    </row>
    <row r="494" spans="1:17" x14ac:dyDescent="0.45">
      <c r="A494" s="12" t="s">
        <v>52</v>
      </c>
      <c r="B494" s="12" t="s">
        <v>16</v>
      </c>
      <c r="C494" s="12" t="s">
        <v>43</v>
      </c>
      <c r="D494" s="13">
        <v>45956</v>
      </c>
      <c r="E494" s="13">
        <v>45962</v>
      </c>
      <c r="F494" s="12">
        <v>6</v>
      </c>
      <c r="G494" s="12">
        <v>894</v>
      </c>
      <c r="H494" s="12" t="s">
        <v>27</v>
      </c>
      <c r="I494" s="12" t="s">
        <v>32</v>
      </c>
      <c r="J494" s="12" t="s">
        <v>14</v>
      </c>
      <c r="K494" s="14" t="str">
        <f>TEXT('Retail Store Sales'!$D494,"yyyy")</f>
        <v>2025</v>
      </c>
      <c r="L494" s="11" t="str">
        <f>TEXT('Retail Store Sales'!$D494,"mmm")</f>
        <v>Oct</v>
      </c>
      <c r="M494" s="12" t="str">
        <f>TEXT('Retail Store Sales'!$D494,"dddd")</f>
        <v>Sunday</v>
      </c>
      <c r="N494" s="23">
        <f t="shared" si="7"/>
        <v>6</v>
      </c>
      <c r="O494" s="16">
        <f>ROUND('Retail Store Sales'!$F494*'Retail Store Sales'!$G494*_xlfn.XLOOKUP('Retail Store Sales'!$C494,Table2[Product Name],Table2[Cost Percentage],0),0)</f>
        <v>3218</v>
      </c>
      <c r="P494" s="12">
        <f>'Retail Store Sales'!$F494*'Retail Store Sales'!$G494</f>
        <v>5364</v>
      </c>
      <c r="Q494" s="12">
        <f>P494-Table1[[#This Row],[Total cost]]</f>
        <v>2146</v>
      </c>
    </row>
    <row r="495" spans="1:17" x14ac:dyDescent="0.45">
      <c r="A495" s="16" t="s">
        <v>54</v>
      </c>
      <c r="B495" s="16" t="s">
        <v>20</v>
      </c>
      <c r="C495" s="16" t="s">
        <v>53</v>
      </c>
      <c r="D495" s="17">
        <v>45800</v>
      </c>
      <c r="E495" s="17">
        <v>45803</v>
      </c>
      <c r="F495" s="16">
        <v>4</v>
      </c>
      <c r="G495" s="16">
        <v>740</v>
      </c>
      <c r="H495" s="16" t="s">
        <v>13</v>
      </c>
      <c r="I495" s="16" t="s">
        <v>548</v>
      </c>
      <c r="J495" s="16" t="s">
        <v>28</v>
      </c>
      <c r="K495" s="18" t="str">
        <f>TEXT('Retail Store Sales'!$D495,"yyyy")</f>
        <v>2025</v>
      </c>
      <c r="L495" s="15" t="str">
        <f>TEXT('Retail Store Sales'!$D495,"mmm")</f>
        <v>May</v>
      </c>
      <c r="M495" s="16" t="str">
        <f>TEXT('Retail Store Sales'!$D495,"dddd")</f>
        <v>Friday</v>
      </c>
      <c r="N495" s="24">
        <f t="shared" si="7"/>
        <v>3</v>
      </c>
      <c r="O495" s="16">
        <f>ROUND('Retail Store Sales'!$F495*'Retail Store Sales'!$G495*_xlfn.XLOOKUP('Retail Store Sales'!$C495,Table2[Product Name],Table2[Cost Percentage],0),0)</f>
        <v>2072</v>
      </c>
      <c r="P495" s="16">
        <f>'Retail Store Sales'!$F495*'Retail Store Sales'!$G495</f>
        <v>2960</v>
      </c>
      <c r="Q495" s="12">
        <f>P495-Table1[[#This Row],[Total cost]]</f>
        <v>888</v>
      </c>
    </row>
    <row r="496" spans="1:17" x14ac:dyDescent="0.45">
      <c r="A496" s="12" t="s">
        <v>56</v>
      </c>
      <c r="B496" s="12" t="s">
        <v>30</v>
      </c>
      <c r="C496" s="12" t="s">
        <v>49</v>
      </c>
      <c r="D496" s="13">
        <v>45916</v>
      </c>
      <c r="E496" s="13">
        <v>45919</v>
      </c>
      <c r="F496" s="12">
        <v>10</v>
      </c>
      <c r="G496" s="12">
        <v>741</v>
      </c>
      <c r="H496" s="12" t="s">
        <v>27</v>
      </c>
      <c r="I496" s="12" t="s">
        <v>546</v>
      </c>
      <c r="J496" s="12" t="s">
        <v>45</v>
      </c>
      <c r="K496" s="14" t="str">
        <f>TEXT('Retail Store Sales'!$D496,"yyyy")</f>
        <v>2025</v>
      </c>
      <c r="L496" s="11" t="str">
        <f>TEXT('Retail Store Sales'!$D496,"mmm")</f>
        <v>Sep</v>
      </c>
      <c r="M496" s="12" t="str">
        <f>TEXT('Retail Store Sales'!$D496,"dddd")</f>
        <v>Tuesday</v>
      </c>
      <c r="N496" s="23">
        <f t="shared" si="7"/>
        <v>3</v>
      </c>
      <c r="O496" s="16">
        <f>ROUND('Retail Store Sales'!$F496*'Retail Store Sales'!$G496*_xlfn.XLOOKUP('Retail Store Sales'!$C496,Table2[Product Name],Table2[Cost Percentage],0),0)</f>
        <v>5187</v>
      </c>
      <c r="P496" s="12">
        <f>'Retail Store Sales'!$F496*'Retail Store Sales'!$G496</f>
        <v>7410</v>
      </c>
      <c r="Q496" s="12">
        <f>P496-Table1[[#This Row],[Total cost]]</f>
        <v>2223</v>
      </c>
    </row>
    <row r="497" spans="1:17" x14ac:dyDescent="0.45">
      <c r="A497" s="16" t="s">
        <v>42</v>
      </c>
      <c r="B497" s="16" t="s">
        <v>11</v>
      </c>
      <c r="C497" s="16" t="s">
        <v>12</v>
      </c>
      <c r="D497" s="17">
        <v>45709</v>
      </c>
      <c r="E497" s="17">
        <v>45718</v>
      </c>
      <c r="F497" s="16">
        <v>1</v>
      </c>
      <c r="G497" s="16">
        <v>474</v>
      </c>
      <c r="H497" s="16" t="s">
        <v>27</v>
      </c>
      <c r="I497" s="16" t="s">
        <v>32</v>
      </c>
      <c r="J497" s="16" t="s">
        <v>28</v>
      </c>
      <c r="K497" s="18" t="str">
        <f>TEXT('Retail Store Sales'!$D497,"yyyy")</f>
        <v>2025</v>
      </c>
      <c r="L497" s="15" t="str">
        <f>TEXT('Retail Store Sales'!$D497,"mmm")</f>
        <v>Feb</v>
      </c>
      <c r="M497" s="16" t="str">
        <f>TEXT('Retail Store Sales'!$D497,"dddd")</f>
        <v>Friday</v>
      </c>
      <c r="N497" s="24">
        <f t="shared" si="7"/>
        <v>9</v>
      </c>
      <c r="O497" s="16">
        <f>ROUND('Retail Store Sales'!$F497*'Retail Store Sales'!$G497*_xlfn.XLOOKUP('Retail Store Sales'!$C497,Table2[Product Name],Table2[Cost Percentage],0),0)</f>
        <v>356</v>
      </c>
      <c r="P497" s="16">
        <f>'Retail Store Sales'!$F497*'Retail Store Sales'!$G497</f>
        <v>474</v>
      </c>
      <c r="Q497" s="12">
        <f>P497-Table1[[#This Row],[Total cost]]</f>
        <v>118</v>
      </c>
    </row>
    <row r="498" spans="1:17" x14ac:dyDescent="0.45">
      <c r="A498" s="12" t="s">
        <v>58</v>
      </c>
      <c r="B498" s="12" t="s">
        <v>30</v>
      </c>
      <c r="C498" s="12" t="s">
        <v>75</v>
      </c>
      <c r="D498" s="13">
        <v>45691</v>
      </c>
      <c r="E498" s="13">
        <v>45696</v>
      </c>
      <c r="F498" s="12">
        <v>7</v>
      </c>
      <c r="G498" s="12">
        <v>811</v>
      </c>
      <c r="H498" s="12" t="s">
        <v>27</v>
      </c>
      <c r="I498" s="12" t="s">
        <v>549</v>
      </c>
      <c r="J498" s="12" t="s">
        <v>14</v>
      </c>
      <c r="K498" s="14" t="str">
        <f>TEXT('Retail Store Sales'!$D498,"yyyy")</f>
        <v>2025</v>
      </c>
      <c r="L498" s="11" t="str">
        <f>TEXT('Retail Store Sales'!$D498,"mmm")</f>
        <v>Feb</v>
      </c>
      <c r="M498" s="12" t="str">
        <f>TEXT('Retail Store Sales'!$D498,"dddd")</f>
        <v>Monday</v>
      </c>
      <c r="N498" s="23">
        <f t="shared" si="7"/>
        <v>5</v>
      </c>
      <c r="O498" s="16">
        <f>ROUND('Retail Store Sales'!$F498*'Retail Store Sales'!$G498*_xlfn.XLOOKUP('Retail Store Sales'!$C498,Table2[Product Name],Table2[Cost Percentage],0),0)</f>
        <v>4258</v>
      </c>
      <c r="P498" s="12">
        <f>'Retail Store Sales'!$F498*'Retail Store Sales'!$G498</f>
        <v>5677</v>
      </c>
      <c r="Q498" s="12">
        <f>P498-Table1[[#This Row],[Total cost]]</f>
        <v>1419</v>
      </c>
    </row>
    <row r="499" spans="1:17" x14ac:dyDescent="0.45">
      <c r="A499" s="16" t="s">
        <v>60</v>
      </c>
      <c r="B499" s="16" t="s">
        <v>23</v>
      </c>
      <c r="C499" s="16" t="s">
        <v>24</v>
      </c>
      <c r="D499" s="17">
        <v>45741</v>
      </c>
      <c r="E499" s="17">
        <v>45745</v>
      </c>
      <c r="F499" s="16">
        <v>4</v>
      </c>
      <c r="G499" s="16">
        <v>247</v>
      </c>
      <c r="H499" s="16" t="s">
        <v>13</v>
      </c>
      <c r="I499" s="16" t="s">
        <v>32</v>
      </c>
      <c r="J499" s="16" t="s">
        <v>45</v>
      </c>
      <c r="K499" s="18" t="str">
        <f>TEXT('Retail Store Sales'!$D499,"yyyy")</f>
        <v>2025</v>
      </c>
      <c r="L499" s="15" t="str">
        <f>TEXT('Retail Store Sales'!$D499,"mmm")</f>
        <v>Mar</v>
      </c>
      <c r="M499" s="16" t="str">
        <f>TEXT('Retail Store Sales'!$D499,"dddd")</f>
        <v>Tuesday</v>
      </c>
      <c r="N499" s="24">
        <f t="shared" si="7"/>
        <v>4</v>
      </c>
      <c r="O499" s="16">
        <f>ROUND('Retail Store Sales'!$F499*'Retail Store Sales'!$G499*_xlfn.XLOOKUP('Retail Store Sales'!$C499,Table2[Product Name],Table2[Cost Percentage],0),0)</f>
        <v>543</v>
      </c>
      <c r="P499" s="16">
        <f>'Retail Store Sales'!$F499*'Retail Store Sales'!$G499</f>
        <v>988</v>
      </c>
      <c r="Q499" s="12">
        <f>P499-Table1[[#This Row],[Total cost]]</f>
        <v>445</v>
      </c>
    </row>
    <row r="500" spans="1:17" x14ac:dyDescent="0.45">
      <c r="A500" s="12" t="s">
        <v>61</v>
      </c>
      <c r="B500" s="12" t="s">
        <v>30</v>
      </c>
      <c r="C500" s="12" t="s">
        <v>31</v>
      </c>
      <c r="D500" s="13">
        <v>45741</v>
      </c>
      <c r="E500" s="13">
        <v>45752</v>
      </c>
      <c r="F500" s="12">
        <v>3</v>
      </c>
      <c r="G500" s="12">
        <v>774</v>
      </c>
      <c r="H500" s="12" t="s">
        <v>27</v>
      </c>
      <c r="I500" s="12" t="s">
        <v>546</v>
      </c>
      <c r="J500" s="12" t="s">
        <v>18</v>
      </c>
      <c r="K500" s="14" t="str">
        <f>TEXT('Retail Store Sales'!$D500,"yyyy")</f>
        <v>2025</v>
      </c>
      <c r="L500" s="11" t="str">
        <f>TEXT('Retail Store Sales'!$D500,"mmm")</f>
        <v>Mar</v>
      </c>
      <c r="M500" s="12" t="str">
        <f>TEXT('Retail Store Sales'!$D500,"dddd")</f>
        <v>Tuesday</v>
      </c>
      <c r="N500" s="23">
        <f t="shared" si="7"/>
        <v>11</v>
      </c>
      <c r="O500" s="16">
        <f>ROUND('Retail Store Sales'!$F500*'Retail Store Sales'!$G500*_xlfn.XLOOKUP('Retail Store Sales'!$C500,Table2[Product Name],Table2[Cost Percentage],0),0)</f>
        <v>1742</v>
      </c>
      <c r="P500" s="12">
        <f>'Retail Store Sales'!$F500*'Retail Store Sales'!$G500</f>
        <v>2322</v>
      </c>
      <c r="Q500" s="12">
        <f>P500-Table1[[#This Row],[Total cost]]</f>
        <v>580</v>
      </c>
    </row>
    <row r="501" spans="1:17" x14ac:dyDescent="0.45">
      <c r="A501" s="16" t="s">
        <v>62</v>
      </c>
      <c r="B501" s="16" t="s">
        <v>20</v>
      </c>
      <c r="C501" s="16" t="s">
        <v>82</v>
      </c>
      <c r="D501" s="17">
        <v>45753</v>
      </c>
      <c r="E501" s="17">
        <v>45759</v>
      </c>
      <c r="F501" s="16">
        <v>5</v>
      </c>
      <c r="G501" s="16">
        <v>63</v>
      </c>
      <c r="H501" s="16" t="s">
        <v>13</v>
      </c>
      <c r="I501" s="16" t="s">
        <v>548</v>
      </c>
      <c r="J501" s="16" t="s">
        <v>45</v>
      </c>
      <c r="K501" s="18" t="str">
        <f>TEXT('Retail Store Sales'!$D501,"yyyy")</f>
        <v>2025</v>
      </c>
      <c r="L501" s="15" t="str">
        <f>TEXT('Retail Store Sales'!$D501,"mmm")</f>
        <v>Apr</v>
      </c>
      <c r="M501" s="16" t="str">
        <f>TEXT('Retail Store Sales'!$D501,"dddd")</f>
        <v>Sunday</v>
      </c>
      <c r="N501" s="24">
        <f t="shared" si="7"/>
        <v>6</v>
      </c>
      <c r="O501" s="16">
        <f>ROUND('Retail Store Sales'!$F501*'Retail Store Sales'!$G501*_xlfn.XLOOKUP('Retail Store Sales'!$C501,Table2[Product Name],Table2[Cost Percentage],0),0)</f>
        <v>252</v>
      </c>
      <c r="P501" s="16">
        <f>'Retail Store Sales'!$F501*'Retail Store Sales'!$G501</f>
        <v>315</v>
      </c>
      <c r="Q501" s="12">
        <f>P501-Table1[[#This Row],[Total cost]]</f>
        <v>63</v>
      </c>
    </row>
    <row r="502" spans="1:17" x14ac:dyDescent="0.45">
      <c r="A502" s="12" t="s">
        <v>64</v>
      </c>
      <c r="B502" s="12" t="s">
        <v>30</v>
      </c>
      <c r="C502" s="12" t="s">
        <v>31</v>
      </c>
      <c r="D502" s="13">
        <v>45764</v>
      </c>
      <c r="E502" s="13">
        <v>45770</v>
      </c>
      <c r="F502" s="12">
        <v>1</v>
      </c>
      <c r="G502" s="12">
        <v>30</v>
      </c>
      <c r="H502" s="12" t="s">
        <v>27</v>
      </c>
      <c r="I502" s="12" t="s">
        <v>32</v>
      </c>
      <c r="J502" s="12" t="s">
        <v>14</v>
      </c>
      <c r="K502" s="14" t="str">
        <f>TEXT('Retail Store Sales'!$D502,"yyyy")</f>
        <v>2025</v>
      </c>
      <c r="L502" s="11" t="str">
        <f>TEXT('Retail Store Sales'!$D502,"mmm")</f>
        <v>Apr</v>
      </c>
      <c r="M502" s="12" t="str">
        <f>TEXT('Retail Store Sales'!$D502,"dddd")</f>
        <v>Thursday</v>
      </c>
      <c r="N502" s="23">
        <f t="shared" si="7"/>
        <v>6</v>
      </c>
      <c r="O502" s="16">
        <f>ROUND('Retail Store Sales'!$F502*'Retail Store Sales'!$G502*_xlfn.XLOOKUP('Retail Store Sales'!$C502,Table2[Product Name],Table2[Cost Percentage],0),0)</f>
        <v>23</v>
      </c>
      <c r="P502" s="12">
        <f>'Retail Store Sales'!$F502*'Retail Store Sales'!$G502</f>
        <v>30</v>
      </c>
      <c r="Q502" s="12">
        <f>P502-Table1[[#This Row],[Total cost]]</f>
        <v>7</v>
      </c>
    </row>
    <row r="503" spans="1:17" x14ac:dyDescent="0.45">
      <c r="A503" s="16" t="s">
        <v>65</v>
      </c>
      <c r="B503" s="16" t="s">
        <v>11</v>
      </c>
      <c r="C503" s="16" t="s">
        <v>12</v>
      </c>
      <c r="D503" s="17">
        <v>45931</v>
      </c>
      <c r="E503" s="17">
        <v>45933</v>
      </c>
      <c r="F503" s="16">
        <v>7</v>
      </c>
      <c r="G503" s="16">
        <v>149</v>
      </c>
      <c r="H503" s="16" t="s">
        <v>27</v>
      </c>
      <c r="I503" s="16" t="s">
        <v>550</v>
      </c>
      <c r="J503" s="16" t="s">
        <v>28</v>
      </c>
      <c r="K503" s="18" t="str">
        <f>TEXT('Retail Store Sales'!$D503,"yyyy")</f>
        <v>2025</v>
      </c>
      <c r="L503" s="15" t="str">
        <f>TEXT('Retail Store Sales'!$D503,"mmm")</f>
        <v>Oct</v>
      </c>
      <c r="M503" s="16" t="str">
        <f>TEXT('Retail Store Sales'!$D503,"dddd")</f>
        <v>Wednesday</v>
      </c>
      <c r="N503" s="24">
        <f t="shared" si="7"/>
        <v>2</v>
      </c>
      <c r="O503" s="16">
        <f>ROUND('Retail Store Sales'!$F503*'Retail Store Sales'!$G503*_xlfn.XLOOKUP('Retail Store Sales'!$C503,Table2[Product Name],Table2[Cost Percentage],0),0)</f>
        <v>782</v>
      </c>
      <c r="P503" s="16">
        <f>'Retail Store Sales'!$F503*'Retail Store Sales'!$G503</f>
        <v>1043</v>
      </c>
      <c r="Q503" s="12">
        <f>P503-Table1[[#This Row],[Total cost]]</f>
        <v>261</v>
      </c>
    </row>
    <row r="504" spans="1:17" x14ac:dyDescent="0.45">
      <c r="A504" s="12" t="s">
        <v>66</v>
      </c>
      <c r="B504" s="12" t="s">
        <v>30</v>
      </c>
      <c r="C504" s="12" t="s">
        <v>41</v>
      </c>
      <c r="D504" s="13">
        <v>45662</v>
      </c>
      <c r="E504" s="13">
        <v>45663</v>
      </c>
      <c r="F504" s="12">
        <v>4</v>
      </c>
      <c r="G504" s="12">
        <v>212</v>
      </c>
      <c r="H504" s="12" t="s">
        <v>13</v>
      </c>
      <c r="I504" s="12" t="s">
        <v>549</v>
      </c>
      <c r="J504" s="12" t="s">
        <v>14</v>
      </c>
      <c r="K504" s="14" t="str">
        <f>TEXT('Retail Store Sales'!$D504,"yyyy")</f>
        <v>2025</v>
      </c>
      <c r="L504" s="11" t="str">
        <f>TEXT('Retail Store Sales'!$D504,"mmm")</f>
        <v>Jan</v>
      </c>
      <c r="M504" s="12" t="str">
        <f>TEXT('Retail Store Sales'!$D504,"dddd")</f>
        <v>Sunday</v>
      </c>
      <c r="N504" s="23">
        <f t="shared" si="7"/>
        <v>1</v>
      </c>
      <c r="O504" s="16">
        <f>ROUND('Retail Store Sales'!$F504*'Retail Store Sales'!$G504*_xlfn.XLOOKUP('Retail Store Sales'!$C504,Table2[Product Name],Table2[Cost Percentage],0),0)</f>
        <v>551</v>
      </c>
      <c r="P504" s="12">
        <f>'Retail Store Sales'!$F504*'Retail Store Sales'!$G504</f>
        <v>848</v>
      </c>
      <c r="Q504" s="12">
        <f>P504-Table1[[#This Row],[Total cost]]</f>
        <v>297</v>
      </c>
    </row>
    <row r="505" spans="1:17" x14ac:dyDescent="0.45">
      <c r="A505" s="16" t="s">
        <v>67</v>
      </c>
      <c r="B505" s="16" t="s">
        <v>23</v>
      </c>
      <c r="C505" s="16" t="s">
        <v>69</v>
      </c>
      <c r="D505" s="17">
        <v>45669</v>
      </c>
      <c r="E505" s="17">
        <v>45684</v>
      </c>
      <c r="F505" s="16">
        <v>10</v>
      </c>
      <c r="G505" s="16">
        <v>639</v>
      </c>
      <c r="H505" s="16" t="s">
        <v>27</v>
      </c>
      <c r="I505" s="16" t="s">
        <v>546</v>
      </c>
      <c r="J505" s="16" t="s">
        <v>45</v>
      </c>
      <c r="K505" s="18" t="str">
        <f>TEXT('Retail Store Sales'!$D505,"yyyy")</f>
        <v>2025</v>
      </c>
      <c r="L505" s="15" t="str">
        <f>TEXT('Retail Store Sales'!$D505,"mmm")</f>
        <v>Jan</v>
      </c>
      <c r="M505" s="16" t="str">
        <f>TEXT('Retail Store Sales'!$D505,"dddd")</f>
        <v>Sunday</v>
      </c>
      <c r="N505" s="24">
        <f t="shared" si="7"/>
        <v>15</v>
      </c>
      <c r="O505" s="16">
        <f>ROUND('Retail Store Sales'!$F505*'Retail Store Sales'!$G505*_xlfn.XLOOKUP('Retail Store Sales'!$C505,Table2[Product Name],Table2[Cost Percentage],0),0)</f>
        <v>3515</v>
      </c>
      <c r="P505" s="16">
        <f>'Retail Store Sales'!$F505*'Retail Store Sales'!$G505</f>
        <v>6390</v>
      </c>
      <c r="Q505" s="12">
        <f>P505-Table1[[#This Row],[Total cost]]</f>
        <v>2875</v>
      </c>
    </row>
    <row r="506" spans="1:17" x14ac:dyDescent="0.45">
      <c r="A506" s="12" t="s">
        <v>68</v>
      </c>
      <c r="B506" s="12" t="s">
        <v>16</v>
      </c>
      <c r="C506" s="12" t="s">
        <v>43</v>
      </c>
      <c r="D506" s="13">
        <v>45682</v>
      </c>
      <c r="E506" s="13">
        <v>45683</v>
      </c>
      <c r="F506" s="12">
        <v>7</v>
      </c>
      <c r="G506" s="12">
        <v>785</v>
      </c>
      <c r="H506" s="12" t="s">
        <v>13</v>
      </c>
      <c r="I506" s="12" t="s">
        <v>546</v>
      </c>
      <c r="J506" s="12" t="s">
        <v>18</v>
      </c>
      <c r="K506" s="14" t="str">
        <f>TEXT('Retail Store Sales'!$D506,"yyyy")</f>
        <v>2025</v>
      </c>
      <c r="L506" s="11" t="str">
        <f>TEXT('Retail Store Sales'!$D506,"mmm")</f>
        <v>Jan</v>
      </c>
      <c r="M506" s="12" t="str">
        <f>TEXT('Retail Store Sales'!$D506,"dddd")</f>
        <v>Saturday</v>
      </c>
      <c r="N506" s="23">
        <f t="shared" si="7"/>
        <v>1</v>
      </c>
      <c r="O506" s="16">
        <f>ROUND('Retail Store Sales'!$F506*'Retail Store Sales'!$G506*_xlfn.XLOOKUP('Retail Store Sales'!$C506,Table2[Product Name],Table2[Cost Percentage],0),0)</f>
        <v>3297</v>
      </c>
      <c r="P506" s="12">
        <f>'Retail Store Sales'!$F506*'Retail Store Sales'!$G506</f>
        <v>5495</v>
      </c>
      <c r="Q506" s="12">
        <f>P506-Table1[[#This Row],[Total cost]]</f>
        <v>2198</v>
      </c>
    </row>
    <row r="507" spans="1:17" x14ac:dyDescent="0.45">
      <c r="A507" s="16" t="s">
        <v>70</v>
      </c>
      <c r="B507" s="16" t="s">
        <v>20</v>
      </c>
      <c r="C507" s="16" t="s">
        <v>53</v>
      </c>
      <c r="D507" s="17">
        <v>45915</v>
      </c>
      <c r="E507" s="17">
        <v>45918</v>
      </c>
      <c r="F507" s="16">
        <v>8</v>
      </c>
      <c r="G507" s="16">
        <v>656</v>
      </c>
      <c r="H507" s="16" t="s">
        <v>13</v>
      </c>
      <c r="I507" s="16" t="s">
        <v>550</v>
      </c>
      <c r="J507" s="16" t="s">
        <v>45</v>
      </c>
      <c r="K507" s="18" t="str">
        <f>TEXT('Retail Store Sales'!$D507,"yyyy")</f>
        <v>2025</v>
      </c>
      <c r="L507" s="15" t="str">
        <f>TEXT('Retail Store Sales'!$D507,"mmm")</f>
        <v>Sep</v>
      </c>
      <c r="M507" s="16" t="str">
        <f>TEXT('Retail Store Sales'!$D507,"dddd")</f>
        <v>Monday</v>
      </c>
      <c r="N507" s="24">
        <f t="shared" si="7"/>
        <v>3</v>
      </c>
      <c r="O507" s="16">
        <f>ROUND('Retail Store Sales'!$F507*'Retail Store Sales'!$G507*_xlfn.XLOOKUP('Retail Store Sales'!$C507,Table2[Product Name],Table2[Cost Percentage],0),0)</f>
        <v>3674</v>
      </c>
      <c r="P507" s="16">
        <f>'Retail Store Sales'!$F507*'Retail Store Sales'!$G507</f>
        <v>5248</v>
      </c>
      <c r="Q507" s="12">
        <f>P507-Table1[[#This Row],[Total cost]]</f>
        <v>1574</v>
      </c>
    </row>
    <row r="508" spans="1:17" x14ac:dyDescent="0.45">
      <c r="A508" s="12" t="s">
        <v>71</v>
      </c>
      <c r="B508" s="12" t="s">
        <v>20</v>
      </c>
      <c r="C508" s="12" t="s">
        <v>82</v>
      </c>
      <c r="D508" s="13">
        <v>45691</v>
      </c>
      <c r="E508" s="13">
        <v>45699</v>
      </c>
      <c r="F508" s="12">
        <v>3</v>
      </c>
      <c r="G508" s="12">
        <v>703</v>
      </c>
      <c r="H508" s="12" t="s">
        <v>13</v>
      </c>
      <c r="I508" s="12" t="s">
        <v>546</v>
      </c>
      <c r="J508" s="12" t="s">
        <v>28</v>
      </c>
      <c r="K508" s="14" t="str">
        <f>TEXT('Retail Store Sales'!$D508,"yyyy")</f>
        <v>2025</v>
      </c>
      <c r="L508" s="11" t="str">
        <f>TEXT('Retail Store Sales'!$D508,"mmm")</f>
        <v>Feb</v>
      </c>
      <c r="M508" s="12" t="str">
        <f>TEXT('Retail Store Sales'!$D508,"dddd")</f>
        <v>Monday</v>
      </c>
      <c r="N508" s="23">
        <f t="shared" si="7"/>
        <v>8</v>
      </c>
      <c r="O508" s="16">
        <f>ROUND('Retail Store Sales'!$F508*'Retail Store Sales'!$G508*_xlfn.XLOOKUP('Retail Store Sales'!$C508,Table2[Product Name],Table2[Cost Percentage],0),0)</f>
        <v>1687</v>
      </c>
      <c r="P508" s="12">
        <f>'Retail Store Sales'!$F508*'Retail Store Sales'!$G508</f>
        <v>2109</v>
      </c>
      <c r="Q508" s="12">
        <f>P508-Table1[[#This Row],[Total cost]]</f>
        <v>422</v>
      </c>
    </row>
    <row r="509" spans="1:17" x14ac:dyDescent="0.45">
      <c r="A509" s="16" t="s">
        <v>72</v>
      </c>
      <c r="B509" s="16" t="s">
        <v>16</v>
      </c>
      <c r="C509" s="16" t="s">
        <v>17</v>
      </c>
      <c r="D509" s="17">
        <v>45936</v>
      </c>
      <c r="E509" s="17">
        <v>45940</v>
      </c>
      <c r="F509" s="16">
        <v>3</v>
      </c>
      <c r="G509" s="16">
        <v>908</v>
      </c>
      <c r="H509" s="16" t="s">
        <v>27</v>
      </c>
      <c r="I509" s="16" t="s">
        <v>546</v>
      </c>
      <c r="J509" s="16" t="s">
        <v>14</v>
      </c>
      <c r="K509" s="18" t="str">
        <f>TEXT('Retail Store Sales'!$D509,"yyyy")</f>
        <v>2025</v>
      </c>
      <c r="L509" s="15" t="str">
        <f>TEXT('Retail Store Sales'!$D509,"mmm")</f>
        <v>Oct</v>
      </c>
      <c r="M509" s="16" t="str">
        <f>TEXT('Retail Store Sales'!$D509,"dddd")</f>
        <v>Monday</v>
      </c>
      <c r="N509" s="24">
        <f t="shared" si="7"/>
        <v>4</v>
      </c>
      <c r="O509" s="16">
        <f>ROUND('Retail Store Sales'!$F509*'Retail Store Sales'!$G509*_xlfn.XLOOKUP('Retail Store Sales'!$C509,Table2[Product Name],Table2[Cost Percentage],0),0)</f>
        <v>1362</v>
      </c>
      <c r="P509" s="16">
        <f>'Retail Store Sales'!$F509*'Retail Store Sales'!$G509</f>
        <v>2724</v>
      </c>
      <c r="Q509" s="12">
        <f>P509-Table1[[#This Row],[Total cost]]</f>
        <v>1362</v>
      </c>
    </row>
    <row r="510" spans="1:17" x14ac:dyDescent="0.45">
      <c r="A510" s="12" t="s">
        <v>73</v>
      </c>
      <c r="B510" s="12" t="s">
        <v>30</v>
      </c>
      <c r="C510" s="12" t="s">
        <v>49</v>
      </c>
      <c r="D510" s="13">
        <v>45949</v>
      </c>
      <c r="E510" s="13">
        <v>45961</v>
      </c>
      <c r="F510" s="12">
        <v>7</v>
      </c>
      <c r="G510" s="12">
        <v>50</v>
      </c>
      <c r="H510" s="12" t="s">
        <v>27</v>
      </c>
      <c r="I510" s="12" t="s">
        <v>549</v>
      </c>
      <c r="J510" s="12" t="s">
        <v>28</v>
      </c>
      <c r="K510" s="14" t="str">
        <f>TEXT('Retail Store Sales'!$D510,"yyyy")</f>
        <v>2025</v>
      </c>
      <c r="L510" s="11" t="str">
        <f>TEXT('Retail Store Sales'!$D510,"mmm")</f>
        <v>Oct</v>
      </c>
      <c r="M510" s="12" t="str">
        <f>TEXT('Retail Store Sales'!$D510,"dddd")</f>
        <v>Sunday</v>
      </c>
      <c r="N510" s="23">
        <f t="shared" si="7"/>
        <v>12</v>
      </c>
      <c r="O510" s="16">
        <f>ROUND('Retail Store Sales'!$F510*'Retail Store Sales'!$G510*_xlfn.XLOOKUP('Retail Store Sales'!$C510,Table2[Product Name],Table2[Cost Percentage],0),0)</f>
        <v>245</v>
      </c>
      <c r="P510" s="12">
        <f>'Retail Store Sales'!$F510*'Retail Store Sales'!$G510</f>
        <v>350</v>
      </c>
      <c r="Q510" s="12">
        <f>P510-Table1[[#This Row],[Total cost]]</f>
        <v>105</v>
      </c>
    </row>
    <row r="511" spans="1:17" x14ac:dyDescent="0.45">
      <c r="A511" s="16" t="s">
        <v>74</v>
      </c>
      <c r="B511" s="16" t="s">
        <v>20</v>
      </c>
      <c r="C511" s="16" t="s">
        <v>53</v>
      </c>
      <c r="D511" s="17">
        <v>45804</v>
      </c>
      <c r="E511" s="17">
        <v>45812</v>
      </c>
      <c r="F511" s="16">
        <v>10</v>
      </c>
      <c r="G511" s="16">
        <v>723</v>
      </c>
      <c r="H511" s="16" t="s">
        <v>27</v>
      </c>
      <c r="I511" s="16" t="s">
        <v>548</v>
      </c>
      <c r="J511" s="16" t="s">
        <v>28</v>
      </c>
      <c r="K511" s="18" t="str">
        <f>TEXT('Retail Store Sales'!$D511,"yyyy")</f>
        <v>2025</v>
      </c>
      <c r="L511" s="15" t="str">
        <f>TEXT('Retail Store Sales'!$D511,"mmm")</f>
        <v>May</v>
      </c>
      <c r="M511" s="16" t="str">
        <f>TEXT('Retail Store Sales'!$D511,"dddd")</f>
        <v>Tuesday</v>
      </c>
      <c r="N511" s="24">
        <f t="shared" si="7"/>
        <v>8</v>
      </c>
      <c r="O511" s="16">
        <f>ROUND('Retail Store Sales'!$F511*'Retail Store Sales'!$G511*_xlfn.XLOOKUP('Retail Store Sales'!$C511,Table2[Product Name],Table2[Cost Percentage],0),0)</f>
        <v>5061</v>
      </c>
      <c r="P511" s="16">
        <f>'Retail Store Sales'!$F511*'Retail Store Sales'!$G511</f>
        <v>7230</v>
      </c>
      <c r="Q511" s="12">
        <f>P511-Table1[[#This Row],[Total cost]]</f>
        <v>2169</v>
      </c>
    </row>
    <row r="512" spans="1:17" x14ac:dyDescent="0.45">
      <c r="A512" s="12" t="s">
        <v>76</v>
      </c>
      <c r="B512" s="12" t="s">
        <v>20</v>
      </c>
      <c r="C512" s="12" t="s">
        <v>53</v>
      </c>
      <c r="D512" s="13">
        <v>45967</v>
      </c>
      <c r="E512" s="13">
        <v>45973</v>
      </c>
      <c r="F512" s="12">
        <v>7</v>
      </c>
      <c r="G512" s="12">
        <v>568</v>
      </c>
      <c r="H512" s="12" t="s">
        <v>27</v>
      </c>
      <c r="I512" s="12" t="s">
        <v>546</v>
      </c>
      <c r="J512" s="12" t="s">
        <v>45</v>
      </c>
      <c r="K512" s="14" t="str">
        <f>TEXT('Retail Store Sales'!$D512,"yyyy")</f>
        <v>2025</v>
      </c>
      <c r="L512" s="11" t="str">
        <f>TEXT('Retail Store Sales'!$D512,"mmm")</f>
        <v>Nov</v>
      </c>
      <c r="M512" s="12" t="str">
        <f>TEXT('Retail Store Sales'!$D512,"dddd")</f>
        <v>Thursday</v>
      </c>
      <c r="N512" s="23">
        <f t="shared" si="7"/>
        <v>6</v>
      </c>
      <c r="O512" s="16">
        <f>ROUND('Retail Store Sales'!$F512*'Retail Store Sales'!$G512*_xlfn.XLOOKUP('Retail Store Sales'!$C512,Table2[Product Name],Table2[Cost Percentage],0),0)</f>
        <v>2783</v>
      </c>
      <c r="P512" s="12">
        <f>'Retail Store Sales'!$F512*'Retail Store Sales'!$G512</f>
        <v>3976</v>
      </c>
      <c r="Q512" s="12">
        <f>P512-Table1[[#This Row],[Total cost]]</f>
        <v>1193</v>
      </c>
    </row>
    <row r="513" spans="1:17" x14ac:dyDescent="0.45">
      <c r="A513" s="16" t="s">
        <v>77</v>
      </c>
      <c r="B513" s="16" t="s">
        <v>20</v>
      </c>
      <c r="C513" s="16" t="s">
        <v>82</v>
      </c>
      <c r="D513" s="17">
        <v>45972</v>
      </c>
      <c r="E513" s="17">
        <v>45987</v>
      </c>
      <c r="F513" s="16">
        <v>6</v>
      </c>
      <c r="G513" s="16">
        <v>250</v>
      </c>
      <c r="H513" s="16" t="s">
        <v>27</v>
      </c>
      <c r="I513" s="16" t="s">
        <v>549</v>
      </c>
      <c r="J513" s="16" t="s">
        <v>28</v>
      </c>
      <c r="K513" s="18" t="str">
        <f>TEXT('Retail Store Sales'!$D513,"yyyy")</f>
        <v>2025</v>
      </c>
      <c r="L513" s="15" t="str">
        <f>TEXT('Retail Store Sales'!$D513,"mmm")</f>
        <v>Nov</v>
      </c>
      <c r="M513" s="16" t="str">
        <f>TEXT('Retail Store Sales'!$D513,"dddd")</f>
        <v>Tuesday</v>
      </c>
      <c r="N513" s="24">
        <f t="shared" si="7"/>
        <v>15</v>
      </c>
      <c r="O513" s="16">
        <f>ROUND('Retail Store Sales'!$F513*'Retail Store Sales'!$G513*_xlfn.XLOOKUP('Retail Store Sales'!$C513,Table2[Product Name],Table2[Cost Percentage],0),0)</f>
        <v>1200</v>
      </c>
      <c r="P513" s="16">
        <f>'Retail Store Sales'!$F513*'Retail Store Sales'!$G513</f>
        <v>1500</v>
      </c>
      <c r="Q513" s="12">
        <f>P513-Table1[[#This Row],[Total cost]]</f>
        <v>300</v>
      </c>
    </row>
    <row r="514" spans="1:17" x14ac:dyDescent="0.45">
      <c r="A514" s="12" t="s">
        <v>79</v>
      </c>
      <c r="B514" s="12" t="s">
        <v>11</v>
      </c>
      <c r="C514" s="12" t="s">
        <v>57</v>
      </c>
      <c r="D514" s="13">
        <v>45693</v>
      </c>
      <c r="E514" s="13">
        <v>45694</v>
      </c>
      <c r="F514" s="12">
        <v>4</v>
      </c>
      <c r="G514" s="12">
        <v>572</v>
      </c>
      <c r="H514" s="12" t="s">
        <v>13</v>
      </c>
      <c r="I514" s="12" t="s">
        <v>549</v>
      </c>
      <c r="J514" s="12" t="s">
        <v>28</v>
      </c>
      <c r="K514" s="14" t="str">
        <f>TEXT('Retail Store Sales'!$D514,"yyyy")</f>
        <v>2025</v>
      </c>
      <c r="L514" s="11" t="str">
        <f>TEXT('Retail Store Sales'!$D514,"mmm")</f>
        <v>Feb</v>
      </c>
      <c r="M514" s="12" t="str">
        <f>TEXT('Retail Store Sales'!$D514,"dddd")</f>
        <v>Wednesday</v>
      </c>
      <c r="N514" s="23">
        <f t="shared" ref="N514:N556" si="8">DATEDIF(D514,E514,"D")</f>
        <v>1</v>
      </c>
      <c r="O514" s="16">
        <f>ROUND('Retail Store Sales'!$F514*'Retail Store Sales'!$G514*_xlfn.XLOOKUP('Retail Store Sales'!$C514,Table2[Product Name],Table2[Cost Percentage],0),0)</f>
        <v>1945</v>
      </c>
      <c r="P514" s="12">
        <f>'Retail Store Sales'!$F514*'Retail Store Sales'!$G514</f>
        <v>2288</v>
      </c>
      <c r="Q514" s="12">
        <f>P514-Table1[[#This Row],[Total cost]]</f>
        <v>343</v>
      </c>
    </row>
    <row r="515" spans="1:17" x14ac:dyDescent="0.45">
      <c r="A515" s="16" t="s">
        <v>80</v>
      </c>
      <c r="B515" s="16" t="s">
        <v>30</v>
      </c>
      <c r="C515" s="16" t="s">
        <v>41</v>
      </c>
      <c r="D515" s="17">
        <v>45678</v>
      </c>
      <c r="E515" s="17">
        <v>45692</v>
      </c>
      <c r="F515" s="16">
        <v>8</v>
      </c>
      <c r="G515" s="16">
        <v>849</v>
      </c>
      <c r="H515" s="16" t="s">
        <v>27</v>
      </c>
      <c r="I515" s="16" t="s">
        <v>550</v>
      </c>
      <c r="J515" s="16" t="s">
        <v>18</v>
      </c>
      <c r="K515" s="18" t="str">
        <f>TEXT('Retail Store Sales'!$D515,"yyyy")</f>
        <v>2025</v>
      </c>
      <c r="L515" s="15" t="str">
        <f>TEXT('Retail Store Sales'!$D515,"mmm")</f>
        <v>Jan</v>
      </c>
      <c r="M515" s="16" t="str">
        <f>TEXT('Retail Store Sales'!$D515,"dddd")</f>
        <v>Tuesday</v>
      </c>
      <c r="N515" s="24">
        <f t="shared" si="8"/>
        <v>14</v>
      </c>
      <c r="O515" s="16">
        <f>ROUND('Retail Store Sales'!$F515*'Retail Store Sales'!$G515*_xlfn.XLOOKUP('Retail Store Sales'!$C515,Table2[Product Name],Table2[Cost Percentage],0),0)</f>
        <v>4415</v>
      </c>
      <c r="P515" s="16">
        <f>'Retail Store Sales'!$F515*'Retail Store Sales'!$G515</f>
        <v>6792</v>
      </c>
      <c r="Q515" s="12">
        <f>P515-Table1[[#This Row],[Total cost]]</f>
        <v>2377</v>
      </c>
    </row>
    <row r="516" spans="1:17" x14ac:dyDescent="0.45">
      <c r="A516" s="12" t="s">
        <v>81</v>
      </c>
      <c r="B516" s="12" t="s">
        <v>23</v>
      </c>
      <c r="C516" s="12" t="s">
        <v>24</v>
      </c>
      <c r="D516" s="13">
        <v>45733</v>
      </c>
      <c r="E516" s="13">
        <v>45736</v>
      </c>
      <c r="F516" s="12">
        <v>8</v>
      </c>
      <c r="G516" s="12">
        <v>858</v>
      </c>
      <c r="H516" s="12" t="s">
        <v>27</v>
      </c>
      <c r="I516" s="12" t="s">
        <v>546</v>
      </c>
      <c r="J516" s="12" t="s">
        <v>18</v>
      </c>
      <c r="K516" s="14" t="str">
        <f>TEXT('Retail Store Sales'!$D516,"yyyy")</f>
        <v>2025</v>
      </c>
      <c r="L516" s="11" t="str">
        <f>TEXT('Retail Store Sales'!$D516,"mmm")</f>
        <v>Mar</v>
      </c>
      <c r="M516" s="12" t="str">
        <f>TEXT('Retail Store Sales'!$D516,"dddd")</f>
        <v>Monday</v>
      </c>
      <c r="N516" s="23">
        <f t="shared" si="8"/>
        <v>3</v>
      </c>
      <c r="O516" s="16">
        <f>ROUND('Retail Store Sales'!$F516*'Retail Store Sales'!$G516*_xlfn.XLOOKUP('Retail Store Sales'!$C516,Table2[Product Name],Table2[Cost Percentage],0),0)</f>
        <v>3775</v>
      </c>
      <c r="P516" s="12">
        <f>'Retail Store Sales'!$F516*'Retail Store Sales'!$G516</f>
        <v>6864</v>
      </c>
      <c r="Q516" s="12">
        <f>P516-Table1[[#This Row],[Total cost]]</f>
        <v>3089</v>
      </c>
    </row>
    <row r="517" spans="1:17" x14ac:dyDescent="0.45">
      <c r="A517" s="16" t="s">
        <v>83</v>
      </c>
      <c r="B517" s="16" t="s">
        <v>16</v>
      </c>
      <c r="C517" s="16" t="s">
        <v>43</v>
      </c>
      <c r="D517" s="17">
        <v>45844</v>
      </c>
      <c r="E517" s="17">
        <v>45852</v>
      </c>
      <c r="F517" s="16">
        <v>1</v>
      </c>
      <c r="G517" s="16">
        <v>256</v>
      </c>
      <c r="H517" s="16" t="s">
        <v>13</v>
      </c>
      <c r="I517" s="16" t="s">
        <v>32</v>
      </c>
      <c r="J517" s="16" t="s">
        <v>45</v>
      </c>
      <c r="K517" s="18" t="str">
        <f>TEXT('Retail Store Sales'!$D517,"yyyy")</f>
        <v>2025</v>
      </c>
      <c r="L517" s="15" t="str">
        <f>TEXT('Retail Store Sales'!$D517,"mmm")</f>
        <v>Jul</v>
      </c>
      <c r="M517" s="16" t="str">
        <f>TEXT('Retail Store Sales'!$D517,"dddd")</f>
        <v>Sunday</v>
      </c>
      <c r="N517" s="24">
        <f t="shared" si="8"/>
        <v>8</v>
      </c>
      <c r="O517" s="16">
        <f>ROUND('Retail Store Sales'!$F517*'Retail Store Sales'!$G517*_xlfn.XLOOKUP('Retail Store Sales'!$C517,Table2[Product Name],Table2[Cost Percentage],0),0)</f>
        <v>154</v>
      </c>
      <c r="P517" s="16">
        <f>'Retail Store Sales'!$F517*'Retail Store Sales'!$G517</f>
        <v>256</v>
      </c>
      <c r="Q517" s="12">
        <f>P517-Table1[[#This Row],[Total cost]]</f>
        <v>102</v>
      </c>
    </row>
    <row r="518" spans="1:17" x14ac:dyDescent="0.45">
      <c r="A518" s="12" t="s">
        <v>84</v>
      </c>
      <c r="B518" s="12" t="s">
        <v>11</v>
      </c>
      <c r="C518" s="12" t="s">
        <v>12</v>
      </c>
      <c r="D518" s="13">
        <v>45799</v>
      </c>
      <c r="E518" s="13">
        <v>45806</v>
      </c>
      <c r="F518" s="12">
        <v>8</v>
      </c>
      <c r="G518" s="12">
        <v>453</v>
      </c>
      <c r="H518" s="12" t="s">
        <v>27</v>
      </c>
      <c r="I518" s="12" t="s">
        <v>548</v>
      </c>
      <c r="J518" s="12" t="s">
        <v>18</v>
      </c>
      <c r="K518" s="14" t="str">
        <f>TEXT('Retail Store Sales'!$D518,"yyyy")</f>
        <v>2025</v>
      </c>
      <c r="L518" s="11" t="str">
        <f>TEXT('Retail Store Sales'!$D518,"mmm")</f>
        <v>May</v>
      </c>
      <c r="M518" s="12" t="str">
        <f>TEXT('Retail Store Sales'!$D518,"dddd")</f>
        <v>Thursday</v>
      </c>
      <c r="N518" s="23">
        <f t="shared" si="8"/>
        <v>7</v>
      </c>
      <c r="O518" s="16">
        <f>ROUND('Retail Store Sales'!$F518*'Retail Store Sales'!$G518*_xlfn.XLOOKUP('Retail Store Sales'!$C518,Table2[Product Name],Table2[Cost Percentage],0),0)</f>
        <v>2718</v>
      </c>
      <c r="P518" s="12">
        <f>'Retail Store Sales'!$F518*'Retail Store Sales'!$G518</f>
        <v>3624</v>
      </c>
      <c r="Q518" s="12">
        <f>P518-Table1[[#This Row],[Total cost]]</f>
        <v>906</v>
      </c>
    </row>
    <row r="519" spans="1:17" x14ac:dyDescent="0.45">
      <c r="A519" s="16" t="s">
        <v>85</v>
      </c>
      <c r="B519" s="16" t="s">
        <v>23</v>
      </c>
      <c r="C519" s="16" t="s">
        <v>24</v>
      </c>
      <c r="D519" s="17">
        <v>45822</v>
      </c>
      <c r="E519" s="17">
        <v>45836</v>
      </c>
      <c r="F519" s="16">
        <v>6</v>
      </c>
      <c r="G519" s="16">
        <v>218</v>
      </c>
      <c r="H519" s="16" t="s">
        <v>27</v>
      </c>
      <c r="I519" s="16" t="s">
        <v>32</v>
      </c>
      <c r="J519" s="16" t="s">
        <v>14</v>
      </c>
      <c r="K519" s="18" t="str">
        <f>TEXT('Retail Store Sales'!$D519,"yyyy")</f>
        <v>2025</v>
      </c>
      <c r="L519" s="15" t="str">
        <f>TEXT('Retail Store Sales'!$D519,"mmm")</f>
        <v>Jun</v>
      </c>
      <c r="M519" s="16" t="str">
        <f>TEXT('Retail Store Sales'!$D519,"dddd")</f>
        <v>Saturday</v>
      </c>
      <c r="N519" s="24">
        <f t="shared" si="8"/>
        <v>14</v>
      </c>
      <c r="O519" s="16">
        <f>ROUND('Retail Store Sales'!$F519*'Retail Store Sales'!$G519*_xlfn.XLOOKUP('Retail Store Sales'!$C519,Table2[Product Name],Table2[Cost Percentage],0),0)</f>
        <v>719</v>
      </c>
      <c r="P519" s="16">
        <f>'Retail Store Sales'!$F519*'Retail Store Sales'!$G519</f>
        <v>1308</v>
      </c>
      <c r="Q519" s="12">
        <f>P519-Table1[[#This Row],[Total cost]]</f>
        <v>589</v>
      </c>
    </row>
    <row r="520" spans="1:17" x14ac:dyDescent="0.45">
      <c r="A520" s="12" t="s">
        <v>86</v>
      </c>
      <c r="B520" s="12" t="s">
        <v>16</v>
      </c>
      <c r="C520" s="12" t="s">
        <v>43</v>
      </c>
      <c r="D520" s="13">
        <v>46009</v>
      </c>
      <c r="E520" s="13">
        <v>46018</v>
      </c>
      <c r="F520" s="12">
        <v>7</v>
      </c>
      <c r="G520" s="12">
        <v>481</v>
      </c>
      <c r="H520" s="12" t="s">
        <v>27</v>
      </c>
      <c r="I520" s="12" t="s">
        <v>548</v>
      </c>
      <c r="J520" s="12" t="s">
        <v>45</v>
      </c>
      <c r="K520" s="14" t="str">
        <f>TEXT('Retail Store Sales'!$D520,"yyyy")</f>
        <v>2025</v>
      </c>
      <c r="L520" s="11" t="str">
        <f>TEXT('Retail Store Sales'!$D520,"mmm")</f>
        <v>Dec</v>
      </c>
      <c r="M520" s="12" t="str">
        <f>TEXT('Retail Store Sales'!$D520,"dddd")</f>
        <v>Thursday</v>
      </c>
      <c r="N520" s="23">
        <f t="shared" si="8"/>
        <v>9</v>
      </c>
      <c r="O520" s="16">
        <f>ROUND('Retail Store Sales'!$F520*'Retail Store Sales'!$G520*_xlfn.XLOOKUP('Retail Store Sales'!$C520,Table2[Product Name],Table2[Cost Percentage],0),0)</f>
        <v>2020</v>
      </c>
      <c r="P520" s="12">
        <f>'Retail Store Sales'!$F520*'Retail Store Sales'!$G520</f>
        <v>3367</v>
      </c>
      <c r="Q520" s="12">
        <f>P520-Table1[[#This Row],[Total cost]]</f>
        <v>1347</v>
      </c>
    </row>
    <row r="521" spans="1:17" x14ac:dyDescent="0.45">
      <c r="A521" s="16" t="s">
        <v>87</v>
      </c>
      <c r="B521" s="16" t="s">
        <v>20</v>
      </c>
      <c r="C521" s="16" t="s">
        <v>21</v>
      </c>
      <c r="D521" s="17">
        <v>45756</v>
      </c>
      <c r="E521" s="17">
        <v>45764</v>
      </c>
      <c r="F521" s="16">
        <v>1</v>
      </c>
      <c r="G521" s="16">
        <v>420</v>
      </c>
      <c r="H521" s="16" t="s">
        <v>13</v>
      </c>
      <c r="I521" s="16" t="s">
        <v>549</v>
      </c>
      <c r="J521" s="16" t="s">
        <v>28</v>
      </c>
      <c r="K521" s="18" t="str">
        <f>TEXT('Retail Store Sales'!$D521,"yyyy")</f>
        <v>2025</v>
      </c>
      <c r="L521" s="15" t="str">
        <f>TEXT('Retail Store Sales'!$D521,"mmm")</f>
        <v>Apr</v>
      </c>
      <c r="M521" s="16" t="str">
        <f>TEXT('Retail Store Sales'!$D521,"dddd")</f>
        <v>Wednesday</v>
      </c>
      <c r="N521" s="24">
        <f t="shared" si="8"/>
        <v>8</v>
      </c>
      <c r="O521" s="16">
        <f>ROUND('Retail Store Sales'!$F521*'Retail Store Sales'!$G521*_xlfn.XLOOKUP('Retail Store Sales'!$C521,Table2[Product Name],Table2[Cost Percentage],0),0)</f>
        <v>315</v>
      </c>
      <c r="P521" s="16">
        <f>'Retail Store Sales'!$F521*'Retail Store Sales'!$G521</f>
        <v>420</v>
      </c>
      <c r="Q521" s="12">
        <f>P521-Table1[[#This Row],[Total cost]]</f>
        <v>105</v>
      </c>
    </row>
    <row r="522" spans="1:17" x14ac:dyDescent="0.45">
      <c r="A522" s="12" t="s">
        <v>88</v>
      </c>
      <c r="B522" s="12" t="s">
        <v>16</v>
      </c>
      <c r="C522" s="12" t="s">
        <v>17</v>
      </c>
      <c r="D522" s="13">
        <v>45871</v>
      </c>
      <c r="E522" s="13">
        <v>45875</v>
      </c>
      <c r="F522" s="12">
        <v>1</v>
      </c>
      <c r="G522" s="12">
        <v>98</v>
      </c>
      <c r="H522" s="12" t="s">
        <v>27</v>
      </c>
      <c r="I522" s="12" t="s">
        <v>549</v>
      </c>
      <c r="J522" s="12" t="s">
        <v>45</v>
      </c>
      <c r="K522" s="14" t="str">
        <f>TEXT('Retail Store Sales'!$D522,"yyyy")</f>
        <v>2025</v>
      </c>
      <c r="L522" s="11" t="str">
        <f>TEXT('Retail Store Sales'!$D522,"mmm")</f>
        <v>Aug</v>
      </c>
      <c r="M522" s="12" t="str">
        <f>TEXT('Retail Store Sales'!$D522,"dddd")</f>
        <v>Saturday</v>
      </c>
      <c r="N522" s="23">
        <f t="shared" si="8"/>
        <v>4</v>
      </c>
      <c r="O522" s="16">
        <f>ROUND('Retail Store Sales'!$F522*'Retail Store Sales'!$G522*_xlfn.XLOOKUP('Retail Store Sales'!$C522,Table2[Product Name],Table2[Cost Percentage],0),0)</f>
        <v>49</v>
      </c>
      <c r="P522" s="12">
        <f>'Retail Store Sales'!$F522*'Retail Store Sales'!$G522</f>
        <v>98</v>
      </c>
      <c r="Q522" s="12">
        <f>P522-Table1[[#This Row],[Total cost]]</f>
        <v>49</v>
      </c>
    </row>
    <row r="523" spans="1:17" x14ac:dyDescent="0.45">
      <c r="A523" s="16" t="s">
        <v>89</v>
      </c>
      <c r="B523" s="16" t="s">
        <v>30</v>
      </c>
      <c r="C523" s="16" t="s">
        <v>75</v>
      </c>
      <c r="D523" s="17">
        <v>45714</v>
      </c>
      <c r="E523" s="17">
        <v>45721</v>
      </c>
      <c r="F523" s="16">
        <v>1</v>
      </c>
      <c r="G523" s="16">
        <v>444</v>
      </c>
      <c r="H523" s="16" t="s">
        <v>27</v>
      </c>
      <c r="I523" s="16" t="s">
        <v>549</v>
      </c>
      <c r="J523" s="16" t="s">
        <v>14</v>
      </c>
      <c r="K523" s="18" t="str">
        <f>TEXT('Retail Store Sales'!$D523,"yyyy")</f>
        <v>2025</v>
      </c>
      <c r="L523" s="15" t="str">
        <f>TEXT('Retail Store Sales'!$D523,"mmm")</f>
        <v>Feb</v>
      </c>
      <c r="M523" s="16" t="str">
        <f>TEXT('Retail Store Sales'!$D523,"dddd")</f>
        <v>Wednesday</v>
      </c>
      <c r="N523" s="24">
        <f t="shared" si="8"/>
        <v>7</v>
      </c>
      <c r="O523" s="16">
        <f>ROUND('Retail Store Sales'!$F523*'Retail Store Sales'!$G523*_xlfn.XLOOKUP('Retail Store Sales'!$C523,Table2[Product Name],Table2[Cost Percentage],0),0)</f>
        <v>333</v>
      </c>
      <c r="P523" s="16">
        <f>'Retail Store Sales'!$F523*'Retail Store Sales'!$G523</f>
        <v>444</v>
      </c>
      <c r="Q523" s="12">
        <f>P523-Table1[[#This Row],[Total cost]]</f>
        <v>111</v>
      </c>
    </row>
    <row r="524" spans="1:17" x14ac:dyDescent="0.45">
      <c r="A524" s="12" t="s">
        <v>90</v>
      </c>
      <c r="B524" s="12" t="s">
        <v>16</v>
      </c>
      <c r="C524" s="12" t="s">
        <v>63</v>
      </c>
      <c r="D524" s="13">
        <v>45995</v>
      </c>
      <c r="E524" s="13">
        <v>46001</v>
      </c>
      <c r="F524" s="12">
        <v>5</v>
      </c>
      <c r="G524" s="12">
        <v>858</v>
      </c>
      <c r="H524" s="12" t="s">
        <v>13</v>
      </c>
      <c r="I524" s="12" t="s">
        <v>548</v>
      </c>
      <c r="J524" s="12" t="s">
        <v>45</v>
      </c>
      <c r="K524" s="14" t="str">
        <f>TEXT('Retail Store Sales'!$D524,"yyyy")</f>
        <v>2025</v>
      </c>
      <c r="L524" s="11" t="str">
        <f>TEXT('Retail Store Sales'!$D524,"mmm")</f>
        <v>Dec</v>
      </c>
      <c r="M524" s="12" t="str">
        <f>TEXT('Retail Store Sales'!$D524,"dddd")</f>
        <v>Thursday</v>
      </c>
      <c r="N524" s="23">
        <f t="shared" si="8"/>
        <v>6</v>
      </c>
      <c r="O524" s="16">
        <f>ROUND('Retail Store Sales'!$F524*'Retail Store Sales'!$G524*_xlfn.XLOOKUP('Retail Store Sales'!$C524,Table2[Product Name],Table2[Cost Percentage],0),0)</f>
        <v>2145</v>
      </c>
      <c r="P524" s="12">
        <f>'Retail Store Sales'!$F524*'Retail Store Sales'!$G524</f>
        <v>4290</v>
      </c>
      <c r="Q524" s="12">
        <f>P524-Table1[[#This Row],[Total cost]]</f>
        <v>2145</v>
      </c>
    </row>
    <row r="525" spans="1:17" x14ac:dyDescent="0.45">
      <c r="A525" s="16" t="s">
        <v>91</v>
      </c>
      <c r="B525" s="16" t="s">
        <v>16</v>
      </c>
      <c r="C525" s="16" t="s">
        <v>55</v>
      </c>
      <c r="D525" s="17">
        <v>45905</v>
      </c>
      <c r="E525" s="17">
        <v>45915</v>
      </c>
      <c r="F525" s="16">
        <v>6</v>
      </c>
      <c r="G525" s="16">
        <v>914</v>
      </c>
      <c r="H525" s="16" t="s">
        <v>13</v>
      </c>
      <c r="I525" s="16" t="s">
        <v>550</v>
      </c>
      <c r="J525" s="16" t="s">
        <v>45</v>
      </c>
      <c r="K525" s="18" t="str">
        <f>TEXT('Retail Store Sales'!$D525,"yyyy")</f>
        <v>2025</v>
      </c>
      <c r="L525" s="15" t="str">
        <f>TEXT('Retail Store Sales'!$D525,"mmm")</f>
        <v>Sep</v>
      </c>
      <c r="M525" s="16" t="str">
        <f>TEXT('Retail Store Sales'!$D525,"dddd")</f>
        <v>Friday</v>
      </c>
      <c r="N525" s="24">
        <f t="shared" si="8"/>
        <v>10</v>
      </c>
      <c r="O525" s="16">
        <f>ROUND('Retail Store Sales'!$F525*'Retail Store Sales'!$G525*_xlfn.XLOOKUP('Retail Store Sales'!$C525,Table2[Product Name],Table2[Cost Percentage],0),0)</f>
        <v>3016</v>
      </c>
      <c r="P525" s="16">
        <f>'Retail Store Sales'!$F525*'Retail Store Sales'!$G525</f>
        <v>5484</v>
      </c>
      <c r="Q525" s="12">
        <f>P525-Table1[[#This Row],[Total cost]]</f>
        <v>2468</v>
      </c>
    </row>
    <row r="526" spans="1:17" x14ac:dyDescent="0.45">
      <c r="A526" s="12" t="s">
        <v>92</v>
      </c>
      <c r="B526" s="12" t="s">
        <v>11</v>
      </c>
      <c r="C526" s="12" t="s">
        <v>57</v>
      </c>
      <c r="D526" s="13">
        <v>45935</v>
      </c>
      <c r="E526" s="13">
        <v>45949</v>
      </c>
      <c r="F526" s="12">
        <v>5</v>
      </c>
      <c r="G526" s="12">
        <v>163</v>
      </c>
      <c r="H526" s="12" t="s">
        <v>27</v>
      </c>
      <c r="I526" s="12" t="s">
        <v>549</v>
      </c>
      <c r="J526" s="12" t="s">
        <v>14</v>
      </c>
      <c r="K526" s="14" t="str">
        <f>TEXT('Retail Store Sales'!$D526,"yyyy")</f>
        <v>2025</v>
      </c>
      <c r="L526" s="11" t="str">
        <f>TEXT('Retail Store Sales'!$D526,"mmm")</f>
        <v>Oct</v>
      </c>
      <c r="M526" s="12" t="str">
        <f>TEXT('Retail Store Sales'!$D526,"dddd")</f>
        <v>Sunday</v>
      </c>
      <c r="N526" s="23">
        <f t="shared" si="8"/>
        <v>14</v>
      </c>
      <c r="O526" s="16">
        <f>ROUND('Retail Store Sales'!$F526*'Retail Store Sales'!$G526*_xlfn.XLOOKUP('Retail Store Sales'!$C526,Table2[Product Name],Table2[Cost Percentage],0),0)</f>
        <v>693</v>
      </c>
      <c r="P526" s="12">
        <f>'Retail Store Sales'!$F526*'Retail Store Sales'!$G526</f>
        <v>815</v>
      </c>
      <c r="Q526" s="12">
        <f>P526-Table1[[#This Row],[Total cost]]</f>
        <v>122</v>
      </c>
    </row>
    <row r="527" spans="1:17" x14ac:dyDescent="0.45">
      <c r="A527" s="16" t="s">
        <v>93</v>
      </c>
      <c r="B527" s="16" t="s">
        <v>23</v>
      </c>
      <c r="C527" s="16" t="s">
        <v>69</v>
      </c>
      <c r="D527" s="17">
        <v>45986</v>
      </c>
      <c r="E527" s="17">
        <v>45996</v>
      </c>
      <c r="F527" s="16">
        <v>9</v>
      </c>
      <c r="G527" s="16">
        <v>811</v>
      </c>
      <c r="H527" s="16" t="s">
        <v>27</v>
      </c>
      <c r="I527" s="16" t="s">
        <v>550</v>
      </c>
      <c r="J527" s="16" t="s">
        <v>28</v>
      </c>
      <c r="K527" s="18" t="str">
        <f>TEXT('Retail Store Sales'!$D527,"yyyy")</f>
        <v>2025</v>
      </c>
      <c r="L527" s="15" t="str">
        <f>TEXT('Retail Store Sales'!$D527,"mmm")</f>
        <v>Nov</v>
      </c>
      <c r="M527" s="16" t="str">
        <f>TEXT('Retail Store Sales'!$D527,"dddd")</f>
        <v>Tuesday</v>
      </c>
      <c r="N527" s="24">
        <f t="shared" si="8"/>
        <v>10</v>
      </c>
      <c r="O527" s="16">
        <f>ROUND('Retail Store Sales'!$F527*'Retail Store Sales'!$G527*_xlfn.XLOOKUP('Retail Store Sales'!$C527,Table2[Product Name],Table2[Cost Percentage],0),0)</f>
        <v>4014</v>
      </c>
      <c r="P527" s="16">
        <f>'Retail Store Sales'!$F527*'Retail Store Sales'!$G527</f>
        <v>7299</v>
      </c>
      <c r="Q527" s="12">
        <f>P527-Table1[[#This Row],[Total cost]]</f>
        <v>3285</v>
      </c>
    </row>
    <row r="528" spans="1:17" x14ac:dyDescent="0.45">
      <c r="A528" s="12" t="s">
        <v>94</v>
      </c>
      <c r="B528" s="12" t="s">
        <v>23</v>
      </c>
      <c r="C528" s="12" t="s">
        <v>24</v>
      </c>
      <c r="D528" s="13">
        <v>45966</v>
      </c>
      <c r="E528" s="13">
        <v>45968</v>
      </c>
      <c r="F528" s="12">
        <v>9</v>
      </c>
      <c r="G528" s="12">
        <v>828</v>
      </c>
      <c r="H528" s="12" t="s">
        <v>13</v>
      </c>
      <c r="I528" s="12" t="s">
        <v>548</v>
      </c>
      <c r="J528" s="12" t="s">
        <v>18</v>
      </c>
      <c r="K528" s="14" t="str">
        <f>TEXT('Retail Store Sales'!$D528,"yyyy")</f>
        <v>2025</v>
      </c>
      <c r="L528" s="11" t="str">
        <f>TEXT('Retail Store Sales'!$D528,"mmm")</f>
        <v>Nov</v>
      </c>
      <c r="M528" s="12" t="str">
        <f>TEXT('Retail Store Sales'!$D528,"dddd")</f>
        <v>Wednesday</v>
      </c>
      <c r="N528" s="23">
        <f t="shared" si="8"/>
        <v>2</v>
      </c>
      <c r="O528" s="16">
        <f>ROUND('Retail Store Sales'!$F528*'Retail Store Sales'!$G528*_xlfn.XLOOKUP('Retail Store Sales'!$C528,Table2[Product Name],Table2[Cost Percentage],0),0)</f>
        <v>4099</v>
      </c>
      <c r="P528" s="12">
        <f>'Retail Store Sales'!$F528*'Retail Store Sales'!$G528</f>
        <v>7452</v>
      </c>
      <c r="Q528" s="12">
        <f>P528-Table1[[#This Row],[Total cost]]</f>
        <v>3353</v>
      </c>
    </row>
    <row r="529" spans="1:17" x14ac:dyDescent="0.45">
      <c r="A529" s="16" t="s">
        <v>96</v>
      </c>
      <c r="B529" s="16" t="s">
        <v>30</v>
      </c>
      <c r="C529" s="16" t="s">
        <v>49</v>
      </c>
      <c r="D529" s="17">
        <v>45706</v>
      </c>
      <c r="E529" s="17">
        <v>45712</v>
      </c>
      <c r="F529" s="16">
        <v>8</v>
      </c>
      <c r="G529" s="16">
        <v>745</v>
      </c>
      <c r="H529" s="16" t="s">
        <v>27</v>
      </c>
      <c r="I529" s="16" t="s">
        <v>32</v>
      </c>
      <c r="J529" s="16" t="s">
        <v>28</v>
      </c>
      <c r="K529" s="18" t="str">
        <f>TEXT('Retail Store Sales'!$D529,"yyyy")</f>
        <v>2025</v>
      </c>
      <c r="L529" s="15" t="str">
        <f>TEXT('Retail Store Sales'!$D529,"mmm")</f>
        <v>Feb</v>
      </c>
      <c r="M529" s="16" t="str">
        <f>TEXT('Retail Store Sales'!$D529,"dddd")</f>
        <v>Tuesday</v>
      </c>
      <c r="N529" s="24">
        <f t="shared" si="8"/>
        <v>6</v>
      </c>
      <c r="O529" s="16">
        <f>ROUND('Retail Store Sales'!$F529*'Retail Store Sales'!$G529*_xlfn.XLOOKUP('Retail Store Sales'!$C529,Table2[Product Name],Table2[Cost Percentage],0),0)</f>
        <v>4172</v>
      </c>
      <c r="P529" s="16">
        <f>'Retail Store Sales'!$F529*'Retail Store Sales'!$G529</f>
        <v>5960</v>
      </c>
      <c r="Q529" s="12">
        <f>P529-Table1[[#This Row],[Total cost]]</f>
        <v>1788</v>
      </c>
    </row>
    <row r="530" spans="1:17" x14ac:dyDescent="0.45">
      <c r="A530" s="12" t="s">
        <v>97</v>
      </c>
      <c r="B530" s="12" t="s">
        <v>16</v>
      </c>
      <c r="C530" s="12" t="s">
        <v>55</v>
      </c>
      <c r="D530" s="13">
        <v>45904</v>
      </c>
      <c r="E530" s="13">
        <v>45910</v>
      </c>
      <c r="F530" s="12">
        <v>7</v>
      </c>
      <c r="G530" s="12">
        <v>238</v>
      </c>
      <c r="H530" s="12" t="s">
        <v>13</v>
      </c>
      <c r="I530" s="12" t="s">
        <v>549</v>
      </c>
      <c r="J530" s="12" t="s">
        <v>14</v>
      </c>
      <c r="K530" s="14" t="str">
        <f>TEXT('Retail Store Sales'!$D530,"yyyy")</f>
        <v>2025</v>
      </c>
      <c r="L530" s="11" t="str">
        <f>TEXT('Retail Store Sales'!$D530,"mmm")</f>
        <v>Sep</v>
      </c>
      <c r="M530" s="12" t="str">
        <f>TEXT('Retail Store Sales'!$D530,"dddd")</f>
        <v>Thursday</v>
      </c>
      <c r="N530" s="23">
        <f t="shared" si="8"/>
        <v>6</v>
      </c>
      <c r="O530" s="16">
        <f>ROUND('Retail Store Sales'!$F530*'Retail Store Sales'!$G530*_xlfn.XLOOKUP('Retail Store Sales'!$C530,Table2[Product Name],Table2[Cost Percentage],0),0)</f>
        <v>916</v>
      </c>
      <c r="P530" s="12">
        <f>'Retail Store Sales'!$F530*'Retail Store Sales'!$G530</f>
        <v>1666</v>
      </c>
      <c r="Q530" s="12">
        <f>P530-Table1[[#This Row],[Total cost]]</f>
        <v>750</v>
      </c>
    </row>
    <row r="531" spans="1:17" x14ac:dyDescent="0.45">
      <c r="A531" s="16" t="s">
        <v>98</v>
      </c>
      <c r="B531" s="16" t="s">
        <v>11</v>
      </c>
      <c r="C531" s="16" t="s">
        <v>12</v>
      </c>
      <c r="D531" s="17">
        <v>46003</v>
      </c>
      <c r="E531" s="17">
        <v>46013</v>
      </c>
      <c r="F531" s="16">
        <v>1</v>
      </c>
      <c r="G531" s="16">
        <v>159</v>
      </c>
      <c r="H531" s="16" t="s">
        <v>13</v>
      </c>
      <c r="I531" s="16" t="s">
        <v>549</v>
      </c>
      <c r="J531" s="16" t="s">
        <v>14</v>
      </c>
      <c r="K531" s="18" t="str">
        <f>TEXT('Retail Store Sales'!$D531,"yyyy")</f>
        <v>2025</v>
      </c>
      <c r="L531" s="15" t="str">
        <f>TEXT('Retail Store Sales'!$D531,"mmm")</f>
        <v>Dec</v>
      </c>
      <c r="M531" s="16" t="str">
        <f>TEXT('Retail Store Sales'!$D531,"dddd")</f>
        <v>Friday</v>
      </c>
      <c r="N531" s="24">
        <f t="shared" si="8"/>
        <v>10</v>
      </c>
      <c r="O531" s="16">
        <f>ROUND('Retail Store Sales'!$F531*'Retail Store Sales'!$G531*_xlfn.XLOOKUP('Retail Store Sales'!$C531,Table2[Product Name],Table2[Cost Percentage],0),0)</f>
        <v>119</v>
      </c>
      <c r="P531" s="16">
        <f>'Retail Store Sales'!$F531*'Retail Store Sales'!$G531</f>
        <v>159</v>
      </c>
      <c r="Q531" s="12">
        <f>P531-Table1[[#This Row],[Total cost]]</f>
        <v>40</v>
      </c>
    </row>
    <row r="532" spans="1:17" x14ac:dyDescent="0.45">
      <c r="A532" s="12" t="s">
        <v>100</v>
      </c>
      <c r="B532" s="12" t="s">
        <v>23</v>
      </c>
      <c r="C532" s="12" t="s">
        <v>69</v>
      </c>
      <c r="D532" s="13">
        <v>45793</v>
      </c>
      <c r="E532" s="13">
        <v>45797</v>
      </c>
      <c r="F532" s="12">
        <v>10</v>
      </c>
      <c r="G532" s="12">
        <v>102</v>
      </c>
      <c r="H532" s="12" t="s">
        <v>27</v>
      </c>
      <c r="I532" s="12" t="s">
        <v>549</v>
      </c>
      <c r="J532" s="12" t="s">
        <v>28</v>
      </c>
      <c r="K532" s="14" t="str">
        <f>TEXT('Retail Store Sales'!$D532,"yyyy")</f>
        <v>2025</v>
      </c>
      <c r="L532" s="11" t="str">
        <f>TEXT('Retail Store Sales'!$D532,"mmm")</f>
        <v>May</v>
      </c>
      <c r="M532" s="12" t="str">
        <f>TEXT('Retail Store Sales'!$D532,"dddd")</f>
        <v>Friday</v>
      </c>
      <c r="N532" s="23">
        <f t="shared" si="8"/>
        <v>4</v>
      </c>
      <c r="O532" s="16">
        <f>ROUND('Retail Store Sales'!$F532*'Retail Store Sales'!$G532*_xlfn.XLOOKUP('Retail Store Sales'!$C532,Table2[Product Name],Table2[Cost Percentage],0),0)</f>
        <v>561</v>
      </c>
      <c r="P532" s="12">
        <f>'Retail Store Sales'!$F532*'Retail Store Sales'!$G532</f>
        <v>1020</v>
      </c>
      <c r="Q532" s="12">
        <f>P532-Table1[[#This Row],[Total cost]]</f>
        <v>459</v>
      </c>
    </row>
    <row r="533" spans="1:17" x14ac:dyDescent="0.45">
      <c r="A533" s="16" t="s">
        <v>101</v>
      </c>
      <c r="B533" s="16" t="s">
        <v>23</v>
      </c>
      <c r="C533" s="16" t="s">
        <v>24</v>
      </c>
      <c r="D533" s="17">
        <v>45997</v>
      </c>
      <c r="E533" s="17">
        <v>45998</v>
      </c>
      <c r="F533" s="16">
        <v>2</v>
      </c>
      <c r="G533" s="16">
        <v>443</v>
      </c>
      <c r="H533" s="16" t="s">
        <v>13</v>
      </c>
      <c r="I533" s="16" t="s">
        <v>546</v>
      </c>
      <c r="J533" s="16" t="s">
        <v>45</v>
      </c>
      <c r="K533" s="18" t="str">
        <f>TEXT('Retail Store Sales'!$D533,"yyyy")</f>
        <v>2025</v>
      </c>
      <c r="L533" s="15" t="str">
        <f>TEXT('Retail Store Sales'!$D533,"mmm")</f>
        <v>Dec</v>
      </c>
      <c r="M533" s="16" t="str">
        <f>TEXT('Retail Store Sales'!$D533,"dddd")</f>
        <v>Saturday</v>
      </c>
      <c r="N533" s="24">
        <f t="shared" si="8"/>
        <v>1</v>
      </c>
      <c r="O533" s="16">
        <f>ROUND('Retail Store Sales'!$F533*'Retail Store Sales'!$G533*_xlfn.XLOOKUP('Retail Store Sales'!$C533,Table2[Product Name],Table2[Cost Percentage],0),0)</f>
        <v>487</v>
      </c>
      <c r="P533" s="16">
        <f>'Retail Store Sales'!$F533*'Retail Store Sales'!$G533</f>
        <v>886</v>
      </c>
      <c r="Q533" s="12">
        <f>P533-Table1[[#This Row],[Total cost]]</f>
        <v>399</v>
      </c>
    </row>
    <row r="534" spans="1:17" x14ac:dyDescent="0.45">
      <c r="A534" s="12" t="s">
        <v>102</v>
      </c>
      <c r="B534" s="12" t="s">
        <v>23</v>
      </c>
      <c r="C534" s="12" t="s">
        <v>37</v>
      </c>
      <c r="D534" s="13">
        <v>45711</v>
      </c>
      <c r="E534" s="13">
        <v>45714</v>
      </c>
      <c r="F534" s="12">
        <v>9</v>
      </c>
      <c r="G534" s="12">
        <v>10</v>
      </c>
      <c r="H534" s="12" t="s">
        <v>13</v>
      </c>
      <c r="I534" s="12" t="s">
        <v>550</v>
      </c>
      <c r="J534" s="12" t="s">
        <v>45</v>
      </c>
      <c r="K534" s="14" t="str">
        <f>TEXT('Retail Store Sales'!$D534,"yyyy")</f>
        <v>2025</v>
      </c>
      <c r="L534" s="11" t="str">
        <f>TEXT('Retail Store Sales'!$D534,"mmm")</f>
        <v>Feb</v>
      </c>
      <c r="M534" s="12" t="str">
        <f>TEXT('Retail Store Sales'!$D534,"dddd")</f>
        <v>Sunday</v>
      </c>
      <c r="N534" s="23">
        <f t="shared" si="8"/>
        <v>3</v>
      </c>
      <c r="O534" s="16">
        <f>ROUND('Retail Store Sales'!$F534*'Retail Store Sales'!$G534*_xlfn.XLOOKUP('Retail Store Sales'!$C534,Table2[Product Name],Table2[Cost Percentage],0),0)</f>
        <v>45</v>
      </c>
      <c r="P534" s="12">
        <f>'Retail Store Sales'!$F534*'Retail Store Sales'!$G534</f>
        <v>90</v>
      </c>
      <c r="Q534" s="12">
        <f>P534-Table1[[#This Row],[Total cost]]</f>
        <v>45</v>
      </c>
    </row>
    <row r="535" spans="1:17" x14ac:dyDescent="0.45">
      <c r="A535" s="16" t="s">
        <v>103</v>
      </c>
      <c r="B535" s="16" t="s">
        <v>30</v>
      </c>
      <c r="C535" s="16" t="s">
        <v>31</v>
      </c>
      <c r="D535" s="17">
        <v>45942</v>
      </c>
      <c r="E535" s="17">
        <v>45955</v>
      </c>
      <c r="F535" s="16">
        <v>5</v>
      </c>
      <c r="G535" s="16">
        <v>758</v>
      </c>
      <c r="H535" s="16" t="s">
        <v>27</v>
      </c>
      <c r="I535" s="16" t="s">
        <v>550</v>
      </c>
      <c r="J535" s="16" t="s">
        <v>18</v>
      </c>
      <c r="K535" s="18" t="str">
        <f>TEXT('Retail Store Sales'!$D535,"yyyy")</f>
        <v>2025</v>
      </c>
      <c r="L535" s="15" t="str">
        <f>TEXT('Retail Store Sales'!$D535,"mmm")</f>
        <v>Oct</v>
      </c>
      <c r="M535" s="16" t="str">
        <f>TEXT('Retail Store Sales'!$D535,"dddd")</f>
        <v>Sunday</v>
      </c>
      <c r="N535" s="24">
        <f t="shared" si="8"/>
        <v>13</v>
      </c>
      <c r="O535" s="16">
        <f>ROUND('Retail Store Sales'!$F535*'Retail Store Sales'!$G535*_xlfn.XLOOKUP('Retail Store Sales'!$C535,Table2[Product Name],Table2[Cost Percentage],0),0)</f>
        <v>2843</v>
      </c>
      <c r="P535" s="16">
        <f>'Retail Store Sales'!$F535*'Retail Store Sales'!$G535</f>
        <v>3790</v>
      </c>
      <c r="Q535" s="12">
        <f>P535-Table1[[#This Row],[Total cost]]</f>
        <v>947</v>
      </c>
    </row>
    <row r="536" spans="1:17" x14ac:dyDescent="0.45">
      <c r="A536" s="12" t="s">
        <v>104</v>
      </c>
      <c r="B536" s="12" t="s">
        <v>11</v>
      </c>
      <c r="C536" s="12" t="s">
        <v>12</v>
      </c>
      <c r="D536" s="13">
        <v>45896</v>
      </c>
      <c r="E536" s="13">
        <v>45897</v>
      </c>
      <c r="F536" s="12">
        <v>10</v>
      </c>
      <c r="G536" s="12">
        <v>541</v>
      </c>
      <c r="H536" s="12" t="s">
        <v>13</v>
      </c>
      <c r="I536" s="12" t="s">
        <v>548</v>
      </c>
      <c r="J536" s="12" t="s">
        <v>14</v>
      </c>
      <c r="K536" s="14" t="str">
        <f>TEXT('Retail Store Sales'!$D536,"yyyy")</f>
        <v>2025</v>
      </c>
      <c r="L536" s="11" t="str">
        <f>TEXT('Retail Store Sales'!$D536,"mmm")</f>
        <v>Aug</v>
      </c>
      <c r="M536" s="12" t="str">
        <f>TEXT('Retail Store Sales'!$D536,"dddd")</f>
        <v>Wednesday</v>
      </c>
      <c r="N536" s="23">
        <f t="shared" si="8"/>
        <v>1</v>
      </c>
      <c r="O536" s="16">
        <f>ROUND('Retail Store Sales'!$F536*'Retail Store Sales'!$G536*_xlfn.XLOOKUP('Retail Store Sales'!$C536,Table2[Product Name],Table2[Cost Percentage],0),0)</f>
        <v>4058</v>
      </c>
      <c r="P536" s="12">
        <f>'Retail Store Sales'!$F536*'Retail Store Sales'!$G536</f>
        <v>5410</v>
      </c>
      <c r="Q536" s="12">
        <f>P536-Table1[[#This Row],[Total cost]]</f>
        <v>1352</v>
      </c>
    </row>
    <row r="537" spans="1:17" x14ac:dyDescent="0.45">
      <c r="A537" s="16" t="s">
        <v>105</v>
      </c>
      <c r="B537" s="16" t="s">
        <v>30</v>
      </c>
      <c r="C537" s="16" t="s">
        <v>49</v>
      </c>
      <c r="D537" s="17">
        <v>45890</v>
      </c>
      <c r="E537" s="17">
        <v>45891</v>
      </c>
      <c r="F537" s="16">
        <v>1</v>
      </c>
      <c r="G537" s="16">
        <v>46</v>
      </c>
      <c r="H537" s="16" t="s">
        <v>13</v>
      </c>
      <c r="I537" s="16" t="s">
        <v>548</v>
      </c>
      <c r="J537" s="16" t="s">
        <v>28</v>
      </c>
      <c r="K537" s="18" t="str">
        <f>TEXT('Retail Store Sales'!$D537,"yyyy")</f>
        <v>2025</v>
      </c>
      <c r="L537" s="15" t="str">
        <f>TEXT('Retail Store Sales'!$D537,"mmm")</f>
        <v>Aug</v>
      </c>
      <c r="M537" s="16" t="str">
        <f>TEXT('Retail Store Sales'!$D537,"dddd")</f>
        <v>Thursday</v>
      </c>
      <c r="N537" s="24">
        <f t="shared" si="8"/>
        <v>1</v>
      </c>
      <c r="O537" s="16">
        <f>ROUND('Retail Store Sales'!$F537*'Retail Store Sales'!$G537*_xlfn.XLOOKUP('Retail Store Sales'!$C537,Table2[Product Name],Table2[Cost Percentage],0),0)</f>
        <v>32</v>
      </c>
      <c r="P537" s="16">
        <f>'Retail Store Sales'!$F537*'Retail Store Sales'!$G537</f>
        <v>46</v>
      </c>
      <c r="Q537" s="12">
        <f>P537-Table1[[#This Row],[Total cost]]</f>
        <v>14</v>
      </c>
    </row>
    <row r="538" spans="1:17" x14ac:dyDescent="0.45">
      <c r="A538" s="12" t="s">
        <v>106</v>
      </c>
      <c r="B538" s="12" t="s">
        <v>30</v>
      </c>
      <c r="C538" s="12" t="s">
        <v>41</v>
      </c>
      <c r="D538" s="13">
        <v>45857</v>
      </c>
      <c r="E538" s="13">
        <v>45863</v>
      </c>
      <c r="F538" s="12">
        <v>4</v>
      </c>
      <c r="G538" s="12">
        <v>82</v>
      </c>
      <c r="H538" s="12" t="s">
        <v>27</v>
      </c>
      <c r="I538" s="12" t="s">
        <v>549</v>
      </c>
      <c r="J538" s="12" t="s">
        <v>14</v>
      </c>
      <c r="K538" s="14" t="str">
        <f>TEXT('Retail Store Sales'!$D538,"yyyy")</f>
        <v>2025</v>
      </c>
      <c r="L538" s="11" t="str">
        <f>TEXT('Retail Store Sales'!$D538,"mmm")</f>
        <v>Jul</v>
      </c>
      <c r="M538" s="12" t="str">
        <f>TEXT('Retail Store Sales'!$D538,"dddd")</f>
        <v>Saturday</v>
      </c>
      <c r="N538" s="23">
        <f t="shared" si="8"/>
        <v>6</v>
      </c>
      <c r="O538" s="16">
        <f>ROUND('Retail Store Sales'!$F538*'Retail Store Sales'!$G538*_xlfn.XLOOKUP('Retail Store Sales'!$C538,Table2[Product Name],Table2[Cost Percentage],0),0)</f>
        <v>213</v>
      </c>
      <c r="P538" s="12">
        <f>'Retail Store Sales'!$F538*'Retail Store Sales'!$G538</f>
        <v>328</v>
      </c>
      <c r="Q538" s="12">
        <f>P538-Table1[[#This Row],[Total cost]]</f>
        <v>115</v>
      </c>
    </row>
    <row r="539" spans="1:17" x14ac:dyDescent="0.45">
      <c r="A539" s="16" t="s">
        <v>530</v>
      </c>
      <c r="B539" s="16" t="s">
        <v>23</v>
      </c>
      <c r="C539" s="16" t="s">
        <v>24</v>
      </c>
      <c r="D539" s="17">
        <v>46008</v>
      </c>
      <c r="E539" s="17">
        <v>46014</v>
      </c>
      <c r="F539" s="16">
        <v>9</v>
      </c>
      <c r="G539" s="16">
        <v>891</v>
      </c>
      <c r="H539" s="16" t="s">
        <v>27</v>
      </c>
      <c r="I539" s="16" t="s">
        <v>549</v>
      </c>
      <c r="J539" s="16" t="s">
        <v>28</v>
      </c>
      <c r="K539" s="18" t="str">
        <f>TEXT('Retail Store Sales'!$D539,"yyyy")</f>
        <v>2025</v>
      </c>
      <c r="L539" s="15" t="str">
        <f>TEXT('Retail Store Sales'!$D539,"mmm")</f>
        <v>Dec</v>
      </c>
      <c r="M539" s="16" t="str">
        <f>TEXT('Retail Store Sales'!$D539,"dddd")</f>
        <v>Wednesday</v>
      </c>
      <c r="N539" s="24">
        <f t="shared" si="8"/>
        <v>6</v>
      </c>
      <c r="O539" s="16">
        <f>ROUND('Retail Store Sales'!$F539*'Retail Store Sales'!$G539*_xlfn.XLOOKUP('Retail Store Sales'!$C539,Table2[Product Name],Table2[Cost Percentage],0),0)</f>
        <v>4410</v>
      </c>
      <c r="P539" s="16">
        <f>'Retail Store Sales'!$F539*'Retail Store Sales'!$G539</f>
        <v>8019</v>
      </c>
      <c r="Q539" s="12">
        <f>P539-Table1[[#This Row],[Total cost]]</f>
        <v>3609</v>
      </c>
    </row>
    <row r="540" spans="1:17" x14ac:dyDescent="0.45">
      <c r="A540" s="12" t="s">
        <v>531</v>
      </c>
      <c r="B540" s="12" t="s">
        <v>16</v>
      </c>
      <c r="C540" s="12" t="s">
        <v>63</v>
      </c>
      <c r="D540" s="13">
        <v>45779</v>
      </c>
      <c r="E540" s="13">
        <v>45781</v>
      </c>
      <c r="F540" s="12">
        <v>4</v>
      </c>
      <c r="G540" s="12">
        <v>578</v>
      </c>
      <c r="H540" s="12" t="s">
        <v>13</v>
      </c>
      <c r="I540" s="12" t="s">
        <v>550</v>
      </c>
      <c r="J540" s="12" t="s">
        <v>45</v>
      </c>
      <c r="K540" s="14" t="str">
        <f>TEXT('Retail Store Sales'!$D540,"yyyy")</f>
        <v>2025</v>
      </c>
      <c r="L540" s="11" t="str">
        <f>TEXT('Retail Store Sales'!$D540,"mmm")</f>
        <v>May</v>
      </c>
      <c r="M540" s="12" t="str">
        <f>TEXT('Retail Store Sales'!$D540,"dddd")</f>
        <v>Friday</v>
      </c>
      <c r="N540" s="23">
        <f t="shared" si="8"/>
        <v>2</v>
      </c>
      <c r="O540" s="16">
        <f>ROUND('Retail Store Sales'!$F540*'Retail Store Sales'!$G540*_xlfn.XLOOKUP('Retail Store Sales'!$C540,Table2[Product Name],Table2[Cost Percentage],0),0)</f>
        <v>1156</v>
      </c>
      <c r="P540" s="12">
        <f>'Retail Store Sales'!$F540*'Retail Store Sales'!$G540</f>
        <v>2312</v>
      </c>
      <c r="Q540" s="12">
        <f>P540-Table1[[#This Row],[Total cost]]</f>
        <v>1156</v>
      </c>
    </row>
    <row r="541" spans="1:17" x14ac:dyDescent="0.45">
      <c r="A541" s="16" t="s">
        <v>532</v>
      </c>
      <c r="B541" s="16" t="s">
        <v>11</v>
      </c>
      <c r="C541" s="16" t="s">
        <v>35</v>
      </c>
      <c r="D541" s="17">
        <v>45763</v>
      </c>
      <c r="E541" s="17">
        <v>45767</v>
      </c>
      <c r="F541" s="16">
        <v>4</v>
      </c>
      <c r="G541" s="16">
        <v>152</v>
      </c>
      <c r="H541" s="16" t="s">
        <v>27</v>
      </c>
      <c r="I541" s="16" t="s">
        <v>549</v>
      </c>
      <c r="J541" s="16" t="s">
        <v>45</v>
      </c>
      <c r="K541" s="18" t="str">
        <f>TEXT('Retail Store Sales'!$D541,"yyyy")</f>
        <v>2025</v>
      </c>
      <c r="L541" s="15" t="str">
        <f>TEXT('Retail Store Sales'!$D541,"mmm")</f>
        <v>Apr</v>
      </c>
      <c r="M541" s="16" t="str">
        <f>TEXT('Retail Store Sales'!$D541,"dddd")</f>
        <v>Wednesday</v>
      </c>
      <c r="N541" s="24">
        <f t="shared" si="8"/>
        <v>4</v>
      </c>
      <c r="O541" s="16">
        <f>ROUND('Retail Store Sales'!$F541*'Retail Store Sales'!$G541*_xlfn.XLOOKUP('Retail Store Sales'!$C541,Table2[Product Name],Table2[Cost Percentage],0),0)</f>
        <v>486</v>
      </c>
      <c r="P541" s="16">
        <f>'Retail Store Sales'!$F541*'Retail Store Sales'!$G541</f>
        <v>608</v>
      </c>
      <c r="Q541" s="12">
        <f>P541-Table1[[#This Row],[Total cost]]</f>
        <v>122</v>
      </c>
    </row>
    <row r="542" spans="1:17" x14ac:dyDescent="0.45">
      <c r="A542" s="12" t="s">
        <v>533</v>
      </c>
      <c r="B542" s="12" t="s">
        <v>20</v>
      </c>
      <c r="C542" s="12" t="s">
        <v>53</v>
      </c>
      <c r="D542" s="13">
        <v>45698</v>
      </c>
      <c r="E542" s="13">
        <v>45699</v>
      </c>
      <c r="F542" s="12">
        <v>3</v>
      </c>
      <c r="G542" s="12">
        <v>288</v>
      </c>
      <c r="H542" s="12" t="s">
        <v>13</v>
      </c>
      <c r="I542" s="12" t="s">
        <v>550</v>
      </c>
      <c r="J542" s="12" t="s">
        <v>45</v>
      </c>
      <c r="K542" s="14" t="str">
        <f>TEXT('Retail Store Sales'!$D542,"yyyy")</f>
        <v>2025</v>
      </c>
      <c r="L542" s="11" t="str">
        <f>TEXT('Retail Store Sales'!$D542,"mmm")</f>
        <v>Feb</v>
      </c>
      <c r="M542" s="12" t="str">
        <f>TEXT('Retail Store Sales'!$D542,"dddd")</f>
        <v>Monday</v>
      </c>
      <c r="N542" s="23">
        <f t="shared" si="8"/>
        <v>1</v>
      </c>
      <c r="O542" s="16">
        <f>ROUND('Retail Store Sales'!$F542*'Retail Store Sales'!$G542*_xlfn.XLOOKUP('Retail Store Sales'!$C542,Table2[Product Name],Table2[Cost Percentage],0),0)</f>
        <v>605</v>
      </c>
      <c r="P542" s="12">
        <f>'Retail Store Sales'!$F542*'Retail Store Sales'!$G542</f>
        <v>864</v>
      </c>
      <c r="Q542" s="12">
        <f>P542-Table1[[#This Row],[Total cost]]</f>
        <v>259</v>
      </c>
    </row>
    <row r="543" spans="1:17" x14ac:dyDescent="0.45">
      <c r="A543" s="16" t="s">
        <v>534</v>
      </c>
      <c r="B543" s="16" t="s">
        <v>23</v>
      </c>
      <c r="C543" s="16" t="s">
        <v>24</v>
      </c>
      <c r="D543" s="17">
        <v>45986</v>
      </c>
      <c r="E543" s="17">
        <v>45994</v>
      </c>
      <c r="F543" s="16">
        <v>1</v>
      </c>
      <c r="G543" s="16">
        <v>321</v>
      </c>
      <c r="H543" s="16" t="s">
        <v>13</v>
      </c>
      <c r="I543" s="16" t="s">
        <v>548</v>
      </c>
      <c r="J543" s="16" t="s">
        <v>14</v>
      </c>
      <c r="K543" s="18" t="str">
        <f>TEXT('Retail Store Sales'!$D543,"yyyy")</f>
        <v>2025</v>
      </c>
      <c r="L543" s="15" t="str">
        <f>TEXT('Retail Store Sales'!$D543,"mmm")</f>
        <v>Nov</v>
      </c>
      <c r="M543" s="16" t="str">
        <f>TEXT('Retail Store Sales'!$D543,"dddd")</f>
        <v>Tuesday</v>
      </c>
      <c r="N543" s="24">
        <f t="shared" si="8"/>
        <v>8</v>
      </c>
      <c r="O543" s="16">
        <f>ROUND('Retail Store Sales'!$F543*'Retail Store Sales'!$G543*_xlfn.XLOOKUP('Retail Store Sales'!$C543,Table2[Product Name],Table2[Cost Percentage],0),0)</f>
        <v>177</v>
      </c>
      <c r="P543" s="16">
        <f>'Retail Store Sales'!$F543*'Retail Store Sales'!$G543</f>
        <v>321</v>
      </c>
      <c r="Q543" s="12">
        <f>P543-Table1[[#This Row],[Total cost]]</f>
        <v>144</v>
      </c>
    </row>
    <row r="544" spans="1:17" x14ac:dyDescent="0.45">
      <c r="A544" s="12" t="s">
        <v>535</v>
      </c>
      <c r="B544" s="12" t="s">
        <v>30</v>
      </c>
      <c r="C544" s="12" t="s">
        <v>49</v>
      </c>
      <c r="D544" s="13">
        <v>45749</v>
      </c>
      <c r="E544" s="13">
        <v>45759</v>
      </c>
      <c r="F544" s="12">
        <v>7</v>
      </c>
      <c r="G544" s="12">
        <v>356</v>
      </c>
      <c r="H544" s="12" t="s">
        <v>13</v>
      </c>
      <c r="I544" s="12" t="s">
        <v>548</v>
      </c>
      <c r="J544" s="12" t="s">
        <v>18</v>
      </c>
      <c r="K544" s="14" t="str">
        <f>TEXT('Retail Store Sales'!$D544,"yyyy")</f>
        <v>2025</v>
      </c>
      <c r="L544" s="11" t="str">
        <f>TEXT('Retail Store Sales'!$D544,"mmm")</f>
        <v>Apr</v>
      </c>
      <c r="M544" s="12" t="str">
        <f>TEXT('Retail Store Sales'!$D544,"dddd")</f>
        <v>Wednesday</v>
      </c>
      <c r="N544" s="23">
        <f t="shared" si="8"/>
        <v>10</v>
      </c>
      <c r="O544" s="16">
        <f>ROUND('Retail Store Sales'!$F544*'Retail Store Sales'!$G544*_xlfn.XLOOKUP('Retail Store Sales'!$C544,Table2[Product Name],Table2[Cost Percentage],0),0)</f>
        <v>1744</v>
      </c>
      <c r="P544" s="12">
        <f>'Retail Store Sales'!$F544*'Retail Store Sales'!$G544</f>
        <v>2492</v>
      </c>
      <c r="Q544" s="12">
        <f>P544-Table1[[#This Row],[Total cost]]</f>
        <v>748</v>
      </c>
    </row>
    <row r="545" spans="1:17" x14ac:dyDescent="0.45">
      <c r="A545" s="16" t="s">
        <v>536</v>
      </c>
      <c r="B545" s="16" t="s">
        <v>11</v>
      </c>
      <c r="C545" s="16" t="s">
        <v>35</v>
      </c>
      <c r="D545" s="17">
        <v>45726</v>
      </c>
      <c r="E545" s="17">
        <v>45737</v>
      </c>
      <c r="F545" s="16">
        <v>2</v>
      </c>
      <c r="G545" s="16">
        <v>944</v>
      </c>
      <c r="H545" s="16" t="s">
        <v>27</v>
      </c>
      <c r="I545" s="16" t="s">
        <v>549</v>
      </c>
      <c r="J545" s="16" t="s">
        <v>18</v>
      </c>
      <c r="K545" s="18" t="str">
        <f>TEXT('Retail Store Sales'!$D545,"yyyy")</f>
        <v>2025</v>
      </c>
      <c r="L545" s="15" t="str">
        <f>TEXT('Retail Store Sales'!$D545,"mmm")</f>
        <v>Mar</v>
      </c>
      <c r="M545" s="16" t="str">
        <f>TEXT('Retail Store Sales'!$D545,"dddd")</f>
        <v>Monday</v>
      </c>
      <c r="N545" s="24">
        <f t="shared" si="8"/>
        <v>11</v>
      </c>
      <c r="O545" s="16">
        <f>ROUND('Retail Store Sales'!$F545*'Retail Store Sales'!$G545*_xlfn.XLOOKUP('Retail Store Sales'!$C545,Table2[Product Name],Table2[Cost Percentage],0),0)</f>
        <v>1510</v>
      </c>
      <c r="P545" s="16">
        <f>'Retail Store Sales'!$F545*'Retail Store Sales'!$G545</f>
        <v>1888</v>
      </c>
      <c r="Q545" s="12">
        <f>P545-Table1[[#This Row],[Total cost]]</f>
        <v>378</v>
      </c>
    </row>
    <row r="546" spans="1:17" x14ac:dyDescent="0.45">
      <c r="A546" s="12" t="s">
        <v>537</v>
      </c>
      <c r="B546" s="12" t="s">
        <v>30</v>
      </c>
      <c r="C546" s="12" t="s">
        <v>75</v>
      </c>
      <c r="D546" s="13">
        <v>46008</v>
      </c>
      <c r="E546" s="13">
        <v>46018</v>
      </c>
      <c r="F546" s="12">
        <v>10</v>
      </c>
      <c r="G546" s="12">
        <v>172</v>
      </c>
      <c r="H546" s="12" t="s">
        <v>13</v>
      </c>
      <c r="I546" s="12" t="s">
        <v>32</v>
      </c>
      <c r="J546" s="12" t="s">
        <v>18</v>
      </c>
      <c r="K546" s="14" t="str">
        <f>TEXT('Retail Store Sales'!$D546,"yyyy")</f>
        <v>2025</v>
      </c>
      <c r="L546" s="11" t="str">
        <f>TEXT('Retail Store Sales'!$D546,"mmm")</f>
        <v>Dec</v>
      </c>
      <c r="M546" s="12" t="str">
        <f>TEXT('Retail Store Sales'!$D546,"dddd")</f>
        <v>Wednesday</v>
      </c>
      <c r="N546" s="23">
        <f t="shared" si="8"/>
        <v>10</v>
      </c>
      <c r="O546" s="16">
        <f>ROUND('Retail Store Sales'!$F546*'Retail Store Sales'!$G546*_xlfn.XLOOKUP('Retail Store Sales'!$C546,Table2[Product Name],Table2[Cost Percentage],0),0)</f>
        <v>1290</v>
      </c>
      <c r="P546" s="12">
        <f>'Retail Store Sales'!$F546*'Retail Store Sales'!$G546</f>
        <v>1720</v>
      </c>
      <c r="Q546" s="12">
        <f>P546-Table1[[#This Row],[Total cost]]</f>
        <v>430</v>
      </c>
    </row>
    <row r="547" spans="1:17" x14ac:dyDescent="0.45">
      <c r="A547" s="16" t="s">
        <v>538</v>
      </c>
      <c r="B547" s="16" t="s">
        <v>20</v>
      </c>
      <c r="C547" s="16" t="s">
        <v>21</v>
      </c>
      <c r="D547" s="17">
        <v>45883</v>
      </c>
      <c r="E547" s="17">
        <v>45885</v>
      </c>
      <c r="F547" s="16">
        <v>7</v>
      </c>
      <c r="G547" s="16">
        <v>70</v>
      </c>
      <c r="H547" s="16" t="s">
        <v>13</v>
      </c>
      <c r="I547" s="16" t="s">
        <v>546</v>
      </c>
      <c r="J547" s="16" t="s">
        <v>45</v>
      </c>
      <c r="K547" s="18" t="str">
        <f>TEXT('Retail Store Sales'!$D547,"yyyy")</f>
        <v>2025</v>
      </c>
      <c r="L547" s="15" t="str">
        <f>TEXT('Retail Store Sales'!$D547,"mmm")</f>
        <v>Aug</v>
      </c>
      <c r="M547" s="16" t="str">
        <f>TEXT('Retail Store Sales'!$D547,"dddd")</f>
        <v>Thursday</v>
      </c>
      <c r="N547" s="24">
        <f t="shared" si="8"/>
        <v>2</v>
      </c>
      <c r="O547" s="16">
        <f>ROUND('Retail Store Sales'!$F547*'Retail Store Sales'!$G547*_xlfn.XLOOKUP('Retail Store Sales'!$C547,Table2[Product Name],Table2[Cost Percentage],0),0)</f>
        <v>368</v>
      </c>
      <c r="P547" s="16">
        <f>'Retail Store Sales'!$F547*'Retail Store Sales'!$G547</f>
        <v>490</v>
      </c>
      <c r="Q547" s="12">
        <f>P547-Table1[[#This Row],[Total cost]]</f>
        <v>122</v>
      </c>
    </row>
    <row r="548" spans="1:17" x14ac:dyDescent="0.45">
      <c r="A548" s="12" t="s">
        <v>539</v>
      </c>
      <c r="B548" s="12" t="s">
        <v>11</v>
      </c>
      <c r="C548" s="12" t="s">
        <v>35</v>
      </c>
      <c r="D548" s="13">
        <v>45919</v>
      </c>
      <c r="E548" s="13">
        <v>45922</v>
      </c>
      <c r="F548" s="12">
        <v>2</v>
      </c>
      <c r="G548" s="12">
        <v>722</v>
      </c>
      <c r="H548" s="12" t="s">
        <v>13</v>
      </c>
      <c r="I548" s="12" t="s">
        <v>549</v>
      </c>
      <c r="J548" s="12" t="s">
        <v>45</v>
      </c>
      <c r="K548" s="14" t="str">
        <f>TEXT('Retail Store Sales'!$D548,"yyyy")</f>
        <v>2025</v>
      </c>
      <c r="L548" s="11" t="str">
        <f>TEXT('Retail Store Sales'!$D548,"mmm")</f>
        <v>Sep</v>
      </c>
      <c r="M548" s="12" t="str">
        <f>TEXT('Retail Store Sales'!$D548,"dddd")</f>
        <v>Friday</v>
      </c>
      <c r="N548" s="23">
        <f t="shared" si="8"/>
        <v>3</v>
      </c>
      <c r="O548" s="16">
        <f>ROUND('Retail Store Sales'!$F548*'Retail Store Sales'!$G548*_xlfn.XLOOKUP('Retail Store Sales'!$C548,Table2[Product Name],Table2[Cost Percentage],0),0)</f>
        <v>1155</v>
      </c>
      <c r="P548" s="12">
        <f>'Retail Store Sales'!$F548*'Retail Store Sales'!$G548</f>
        <v>1444</v>
      </c>
      <c r="Q548" s="12">
        <f>P548-Table1[[#This Row],[Total cost]]</f>
        <v>289</v>
      </c>
    </row>
    <row r="549" spans="1:17" x14ac:dyDescent="0.45">
      <c r="A549" s="16" t="s">
        <v>540</v>
      </c>
      <c r="B549" s="16" t="s">
        <v>23</v>
      </c>
      <c r="C549" s="16" t="s">
        <v>69</v>
      </c>
      <c r="D549" s="17">
        <v>46002</v>
      </c>
      <c r="E549" s="17">
        <v>46010</v>
      </c>
      <c r="F549" s="16">
        <v>2</v>
      </c>
      <c r="G549" s="16">
        <v>876</v>
      </c>
      <c r="H549" s="16" t="s">
        <v>27</v>
      </c>
      <c r="I549" s="16" t="s">
        <v>546</v>
      </c>
      <c r="J549" s="16" t="s">
        <v>14</v>
      </c>
      <c r="K549" s="18" t="str">
        <f>TEXT('Retail Store Sales'!$D549,"yyyy")</f>
        <v>2025</v>
      </c>
      <c r="L549" s="15" t="str">
        <f>TEXT('Retail Store Sales'!$D549,"mmm")</f>
        <v>Dec</v>
      </c>
      <c r="M549" s="16" t="str">
        <f>TEXT('Retail Store Sales'!$D549,"dddd")</f>
        <v>Thursday</v>
      </c>
      <c r="N549" s="24">
        <f t="shared" si="8"/>
        <v>8</v>
      </c>
      <c r="O549" s="16">
        <f>ROUND('Retail Store Sales'!$F549*'Retail Store Sales'!$G549*_xlfn.XLOOKUP('Retail Store Sales'!$C549,Table2[Product Name],Table2[Cost Percentage],0),0)</f>
        <v>964</v>
      </c>
      <c r="P549" s="16">
        <f>'Retail Store Sales'!$F549*'Retail Store Sales'!$G549</f>
        <v>1752</v>
      </c>
      <c r="Q549" s="12">
        <f>P549-Table1[[#This Row],[Total cost]]</f>
        <v>788</v>
      </c>
    </row>
    <row r="550" spans="1:17" x14ac:dyDescent="0.45">
      <c r="A550" s="12" t="s">
        <v>106</v>
      </c>
      <c r="B550" s="12" t="s">
        <v>20</v>
      </c>
      <c r="C550" s="12" t="s">
        <v>21</v>
      </c>
      <c r="D550" s="13">
        <v>45787</v>
      </c>
      <c r="E550" s="13">
        <v>45794</v>
      </c>
      <c r="F550" s="12">
        <v>8</v>
      </c>
      <c r="G550" s="12">
        <v>281</v>
      </c>
      <c r="H550" s="12" t="s">
        <v>13</v>
      </c>
      <c r="I550" s="12" t="s">
        <v>32</v>
      </c>
      <c r="J550" s="12" t="s">
        <v>28</v>
      </c>
      <c r="K550" s="14" t="str">
        <f>TEXT('Retail Store Sales'!$D550,"yyyy")</f>
        <v>2025</v>
      </c>
      <c r="L550" s="11" t="str">
        <f>TEXT('Retail Store Sales'!$D550,"mmm")</f>
        <v>May</v>
      </c>
      <c r="M550" s="12" t="str">
        <f>TEXT('Retail Store Sales'!$D550,"dddd")</f>
        <v>Saturday</v>
      </c>
      <c r="N550" s="23">
        <f t="shared" si="8"/>
        <v>7</v>
      </c>
      <c r="O550" s="16">
        <f>ROUND('Retail Store Sales'!$F550*'Retail Store Sales'!$G550*_xlfn.XLOOKUP('Retail Store Sales'!$C550,Table2[Product Name],Table2[Cost Percentage],0),0)</f>
        <v>1686</v>
      </c>
      <c r="P550" s="12">
        <f>'Retail Store Sales'!$F550*'Retail Store Sales'!$G550</f>
        <v>2248</v>
      </c>
      <c r="Q550" s="12">
        <f>P550-Table1[[#This Row],[Total cost]]</f>
        <v>562</v>
      </c>
    </row>
    <row r="551" spans="1:17" x14ac:dyDescent="0.45">
      <c r="A551" s="16" t="s">
        <v>541</v>
      </c>
      <c r="B551" s="16" t="s">
        <v>11</v>
      </c>
      <c r="C551" s="16" t="s">
        <v>26</v>
      </c>
      <c r="D551" s="17">
        <v>45757</v>
      </c>
      <c r="E551" s="17">
        <v>45764</v>
      </c>
      <c r="F551" s="16">
        <v>7</v>
      </c>
      <c r="G551" s="16">
        <v>390</v>
      </c>
      <c r="H551" s="16" t="s">
        <v>27</v>
      </c>
      <c r="I551" s="16" t="s">
        <v>546</v>
      </c>
      <c r="J551" s="16" t="s">
        <v>45</v>
      </c>
      <c r="K551" s="18" t="str">
        <f>TEXT('Retail Store Sales'!$D551,"yyyy")</f>
        <v>2025</v>
      </c>
      <c r="L551" s="15" t="str">
        <f>TEXT('Retail Store Sales'!$D551,"mmm")</f>
        <v>Apr</v>
      </c>
      <c r="M551" s="16" t="str">
        <f>TEXT('Retail Store Sales'!$D551,"dddd")</f>
        <v>Thursday</v>
      </c>
      <c r="N551" s="24">
        <f t="shared" si="8"/>
        <v>7</v>
      </c>
      <c r="O551" s="16">
        <f>ROUND('Retail Store Sales'!$F551*'Retail Store Sales'!$G551*_xlfn.XLOOKUP('Retail Store Sales'!$C551,Table2[Product Name],Table2[Cost Percentage],0),0)</f>
        <v>1775</v>
      </c>
      <c r="P551" s="16">
        <f>'Retail Store Sales'!$F551*'Retail Store Sales'!$G551</f>
        <v>2730</v>
      </c>
      <c r="Q551" s="12">
        <f>P551-Table1[[#This Row],[Total cost]]</f>
        <v>955</v>
      </c>
    </row>
    <row r="552" spans="1:17" x14ac:dyDescent="0.45">
      <c r="A552" s="12" t="s">
        <v>542</v>
      </c>
      <c r="B552" s="12" t="s">
        <v>30</v>
      </c>
      <c r="C552" s="12" t="s">
        <v>75</v>
      </c>
      <c r="D552" s="13">
        <v>45934</v>
      </c>
      <c r="E552" s="13">
        <v>45940</v>
      </c>
      <c r="F552" s="12">
        <v>5</v>
      </c>
      <c r="G552" s="12">
        <v>953</v>
      </c>
      <c r="H552" s="12" t="s">
        <v>13</v>
      </c>
      <c r="I552" s="12" t="s">
        <v>548</v>
      </c>
      <c r="J552" s="12" t="s">
        <v>28</v>
      </c>
      <c r="K552" s="14" t="str">
        <f>TEXT('Retail Store Sales'!$D552,"yyyy")</f>
        <v>2025</v>
      </c>
      <c r="L552" s="11" t="str">
        <f>TEXT('Retail Store Sales'!$D552,"mmm")</f>
        <v>Oct</v>
      </c>
      <c r="M552" s="12" t="str">
        <f>TEXT('Retail Store Sales'!$D552,"dddd")</f>
        <v>Saturday</v>
      </c>
      <c r="N552" s="23">
        <f t="shared" si="8"/>
        <v>6</v>
      </c>
      <c r="O552" s="16">
        <f>ROUND('Retail Store Sales'!$F552*'Retail Store Sales'!$G552*_xlfn.XLOOKUP('Retail Store Sales'!$C552,Table2[Product Name],Table2[Cost Percentage],0),0)</f>
        <v>3574</v>
      </c>
      <c r="P552" s="12">
        <f>'Retail Store Sales'!$F552*'Retail Store Sales'!$G552</f>
        <v>4765</v>
      </c>
      <c r="Q552" s="12">
        <f>P552-Table1[[#This Row],[Total cost]]</f>
        <v>1191</v>
      </c>
    </row>
    <row r="553" spans="1:17" x14ac:dyDescent="0.45">
      <c r="A553" s="16" t="s">
        <v>543</v>
      </c>
      <c r="B553" s="16" t="s">
        <v>30</v>
      </c>
      <c r="C553" s="16" t="s">
        <v>41</v>
      </c>
      <c r="D553" s="17">
        <v>45666</v>
      </c>
      <c r="E553" s="17">
        <v>45678</v>
      </c>
      <c r="F553" s="16">
        <v>6</v>
      </c>
      <c r="G553" s="16">
        <v>323</v>
      </c>
      <c r="H553" s="16" t="s">
        <v>27</v>
      </c>
      <c r="I553" s="16" t="s">
        <v>546</v>
      </c>
      <c r="J553" s="16" t="s">
        <v>14</v>
      </c>
      <c r="K553" s="18" t="str">
        <f>TEXT('Retail Store Sales'!$D553,"yyyy")</f>
        <v>2025</v>
      </c>
      <c r="L553" s="15" t="str">
        <f>TEXT('Retail Store Sales'!$D553,"mmm")</f>
        <v>Jan</v>
      </c>
      <c r="M553" s="16" t="str">
        <f>TEXT('Retail Store Sales'!$D553,"dddd")</f>
        <v>Thursday</v>
      </c>
      <c r="N553" s="24">
        <f t="shared" si="8"/>
        <v>12</v>
      </c>
      <c r="O553" s="16">
        <f>ROUND('Retail Store Sales'!$F553*'Retail Store Sales'!$G553*_xlfn.XLOOKUP('Retail Store Sales'!$C553,Table2[Product Name],Table2[Cost Percentage],0),0)</f>
        <v>1260</v>
      </c>
      <c r="P553" s="16">
        <f>'Retail Store Sales'!$F553*'Retail Store Sales'!$G553</f>
        <v>1938</v>
      </c>
      <c r="Q553" s="12">
        <f>P553-Table1[[#This Row],[Total cost]]</f>
        <v>678</v>
      </c>
    </row>
    <row r="554" spans="1:17" x14ac:dyDescent="0.45">
      <c r="A554" s="12" t="s">
        <v>544</v>
      </c>
      <c r="B554" s="12" t="s">
        <v>30</v>
      </c>
      <c r="C554" s="12" t="s">
        <v>49</v>
      </c>
      <c r="D554" s="13">
        <v>45713</v>
      </c>
      <c r="E554" s="13">
        <v>45717</v>
      </c>
      <c r="F554" s="12">
        <v>3</v>
      </c>
      <c r="G554" s="12">
        <v>380</v>
      </c>
      <c r="H554" s="12" t="s">
        <v>13</v>
      </c>
      <c r="I554" s="12" t="s">
        <v>548</v>
      </c>
      <c r="J554" s="12" t="s">
        <v>45</v>
      </c>
      <c r="K554" s="14" t="str">
        <f>TEXT('Retail Store Sales'!$D554,"yyyy")</f>
        <v>2025</v>
      </c>
      <c r="L554" s="11" t="str">
        <f>TEXT('Retail Store Sales'!$D554,"mmm")</f>
        <v>Feb</v>
      </c>
      <c r="M554" s="12" t="str">
        <f>TEXT('Retail Store Sales'!$D554,"dddd")</f>
        <v>Tuesday</v>
      </c>
      <c r="N554" s="23">
        <f t="shared" si="8"/>
        <v>4</v>
      </c>
      <c r="O554" s="16">
        <f>ROUND('Retail Store Sales'!$F554*'Retail Store Sales'!$G554*_xlfn.XLOOKUP('Retail Store Sales'!$C554,Table2[Product Name],Table2[Cost Percentage],0),0)</f>
        <v>798</v>
      </c>
      <c r="P554" s="12">
        <f>'Retail Store Sales'!$F554*'Retail Store Sales'!$G554</f>
        <v>1140</v>
      </c>
      <c r="Q554" s="12">
        <f>P554-Table1[[#This Row],[Total cost]]</f>
        <v>342</v>
      </c>
    </row>
    <row r="555" spans="1:17" x14ac:dyDescent="0.45">
      <c r="A555" s="16" t="s">
        <v>545</v>
      </c>
      <c r="B555" s="16" t="s">
        <v>16</v>
      </c>
      <c r="C555" s="16" t="s">
        <v>17</v>
      </c>
      <c r="D555" s="17">
        <v>45897</v>
      </c>
      <c r="E555" s="17">
        <v>45905</v>
      </c>
      <c r="F555" s="16">
        <v>10</v>
      </c>
      <c r="G555" s="16">
        <v>509</v>
      </c>
      <c r="H555" s="16" t="s">
        <v>27</v>
      </c>
      <c r="I555" s="16" t="s">
        <v>546</v>
      </c>
      <c r="J555" s="16" t="s">
        <v>14</v>
      </c>
      <c r="K555" s="18" t="str">
        <f>TEXT('Retail Store Sales'!$D555,"yyyy")</f>
        <v>2025</v>
      </c>
      <c r="L555" s="15" t="str">
        <f>TEXT('Retail Store Sales'!$D555,"mmm")</f>
        <v>Aug</v>
      </c>
      <c r="M555" s="16" t="str">
        <f>TEXT('Retail Store Sales'!$D555,"dddd")</f>
        <v>Thursday</v>
      </c>
      <c r="N555" s="24">
        <f t="shared" si="8"/>
        <v>8</v>
      </c>
      <c r="O555" s="16">
        <f>ROUND('Retail Store Sales'!$F555*'Retail Store Sales'!$G555*_xlfn.XLOOKUP('Retail Store Sales'!$C555,Table2[Product Name],Table2[Cost Percentage],0),0)</f>
        <v>2545</v>
      </c>
      <c r="P555" s="16">
        <f>'Retail Store Sales'!$F555*'Retail Store Sales'!$G555</f>
        <v>5090</v>
      </c>
      <c r="Q555" s="12">
        <f>P555-Table1[[#This Row],[Total cost]]</f>
        <v>2545</v>
      </c>
    </row>
    <row r="556" spans="1:17" x14ac:dyDescent="0.45">
      <c r="A556" s="12" t="s">
        <v>125</v>
      </c>
      <c r="B556" s="12" t="s">
        <v>23</v>
      </c>
      <c r="C556" s="12" t="s">
        <v>24</v>
      </c>
      <c r="D556" s="13">
        <v>45743</v>
      </c>
      <c r="E556" s="13">
        <v>45748</v>
      </c>
      <c r="F556" s="12">
        <v>1</v>
      </c>
      <c r="G556" s="12">
        <v>968</v>
      </c>
      <c r="H556" s="12" t="s">
        <v>13</v>
      </c>
      <c r="I556" s="12" t="s">
        <v>32</v>
      </c>
      <c r="J556" s="12" t="s">
        <v>28</v>
      </c>
      <c r="K556" s="14" t="str">
        <f>TEXT('Retail Store Sales'!$D556,"yyyy")</f>
        <v>2025</v>
      </c>
      <c r="L556" s="11" t="str">
        <f>TEXT('Retail Store Sales'!$D556,"mmm")</f>
        <v>Mar</v>
      </c>
      <c r="M556" s="12" t="str">
        <f>TEXT('Retail Store Sales'!$D556,"dddd")</f>
        <v>Thursday</v>
      </c>
      <c r="N556" s="23">
        <f t="shared" si="8"/>
        <v>5</v>
      </c>
      <c r="O556" s="16">
        <f>ROUND('Retail Store Sales'!$F556*'Retail Store Sales'!$G556*_xlfn.XLOOKUP('Retail Store Sales'!$C556,Table2[Product Name],Table2[Cost Percentage],0),0)</f>
        <v>532</v>
      </c>
      <c r="P556" s="12">
        <f>'Retail Store Sales'!$F556*'Retail Store Sales'!$G556</f>
        <v>968</v>
      </c>
      <c r="Q556" s="12">
        <f>P556-Table1[[#This Row],[Total cost]]</f>
        <v>436</v>
      </c>
    </row>
    <row r="557" spans="1:17" x14ac:dyDescent="0.45">
      <c r="A557" s="12" t="s">
        <v>624</v>
      </c>
      <c r="B557" s="12" t="s">
        <v>11</v>
      </c>
      <c r="C557" s="12" t="s">
        <v>41</v>
      </c>
      <c r="D557" s="13">
        <v>45383</v>
      </c>
      <c r="E557" s="13">
        <v>45395</v>
      </c>
      <c r="F557" s="12">
        <v>2</v>
      </c>
      <c r="G557" s="12">
        <v>180</v>
      </c>
      <c r="H557" s="12" t="s">
        <v>27</v>
      </c>
      <c r="I557" s="12" t="s">
        <v>547</v>
      </c>
      <c r="J557" s="12" t="s">
        <v>45</v>
      </c>
      <c r="K557" s="14" t="str">
        <f>TEXT('Retail Store Sales'!$D557,"yyyy")</f>
        <v>2024</v>
      </c>
      <c r="L557" s="11" t="str">
        <f>TEXT('Retail Store Sales'!$D557,"mmm")</f>
        <v>Apr</v>
      </c>
      <c r="M557" s="12" t="str">
        <f>TEXT('Retail Store Sales'!$D557,"dddd")</f>
        <v>Monday</v>
      </c>
      <c r="N557">
        <f t="shared" ref="N557:N562" si="9">DATEDIF(D557,E557,"D")</f>
        <v>12</v>
      </c>
      <c r="O557" s="16">
        <f>ROUND('Retail Store Sales'!$F557*'Retail Store Sales'!$G557*_xlfn.XLOOKUP('Retail Store Sales'!$C557,Table2[Product Name],Table2[Cost Percentage],0),0)</f>
        <v>234</v>
      </c>
      <c r="P557" s="12">
        <f>'Retail Store Sales'!$F557*'Retail Store Sales'!$G557</f>
        <v>360</v>
      </c>
      <c r="Q557" s="12">
        <f>P557-Table1[[#This Row],[Total cost]]</f>
        <v>126</v>
      </c>
    </row>
    <row r="558" spans="1:17" x14ac:dyDescent="0.45">
      <c r="A558" s="12" t="s">
        <v>633</v>
      </c>
      <c r="B558" s="12" t="s">
        <v>11</v>
      </c>
      <c r="C558" s="12" t="s">
        <v>41</v>
      </c>
      <c r="D558" s="13">
        <v>45384</v>
      </c>
      <c r="E558" s="13">
        <v>45395</v>
      </c>
      <c r="F558" s="12">
        <v>3</v>
      </c>
      <c r="G558" s="12">
        <v>240</v>
      </c>
      <c r="H558" s="12" t="s">
        <v>27</v>
      </c>
      <c r="I558" s="12" t="s">
        <v>547</v>
      </c>
      <c r="J558" s="12" t="s">
        <v>28</v>
      </c>
      <c r="K558" s="14" t="str">
        <f>TEXT('Retail Store Sales'!$D558,"yyyy")</f>
        <v>2024</v>
      </c>
      <c r="L558" s="11" t="str">
        <f>TEXT('Retail Store Sales'!$D558,"mmm")</f>
        <v>Apr</v>
      </c>
      <c r="M558" s="12" t="str">
        <f>TEXT('Retail Store Sales'!$D558,"dddd")</f>
        <v>Tuesday</v>
      </c>
      <c r="N558">
        <f t="shared" si="9"/>
        <v>11</v>
      </c>
      <c r="O558" s="16">
        <f>ROUND('Retail Store Sales'!$F558*'Retail Store Sales'!$G558*_xlfn.XLOOKUP('Retail Store Sales'!$C558,Table2[Product Name],Table2[Cost Percentage],0),0)</f>
        <v>468</v>
      </c>
      <c r="P558" s="12">
        <f>'Retail Store Sales'!$F558*'Retail Store Sales'!$G558</f>
        <v>720</v>
      </c>
      <c r="Q558" s="12">
        <f>P558-Table1[[#This Row],[Total cost]]</f>
        <v>252</v>
      </c>
    </row>
    <row r="559" spans="1:17" x14ac:dyDescent="0.45">
      <c r="A559" s="12" t="s">
        <v>634</v>
      </c>
      <c r="B559" s="12" t="s">
        <v>16</v>
      </c>
      <c r="C559" s="12" t="s">
        <v>55</v>
      </c>
      <c r="D559" s="13">
        <v>45385</v>
      </c>
      <c r="E559" s="13">
        <v>45396</v>
      </c>
      <c r="F559" s="12">
        <v>4</v>
      </c>
      <c r="G559" s="12">
        <v>220</v>
      </c>
      <c r="H559" s="12" t="s">
        <v>13</v>
      </c>
      <c r="I559" s="12" t="s">
        <v>549</v>
      </c>
      <c r="J559" s="12" t="s">
        <v>45</v>
      </c>
      <c r="K559" s="14" t="str">
        <f>TEXT('Retail Store Sales'!$D559,"yyyy")</f>
        <v>2024</v>
      </c>
      <c r="L559" s="11" t="str">
        <f>TEXT('Retail Store Sales'!$D559,"mmm")</f>
        <v>Apr</v>
      </c>
      <c r="M559" s="12" t="str">
        <f>TEXT('Retail Store Sales'!$D559,"dddd")</f>
        <v>Wednesday</v>
      </c>
      <c r="N559">
        <f t="shared" si="9"/>
        <v>11</v>
      </c>
      <c r="O559" s="16">
        <f>ROUND('Retail Store Sales'!$F559*'Retail Store Sales'!$G559*_xlfn.XLOOKUP('Retail Store Sales'!$C559,Table2[Product Name],Table2[Cost Percentage],0),0)</f>
        <v>484</v>
      </c>
      <c r="P559" s="12">
        <f>'Retail Store Sales'!$F559*'Retail Store Sales'!$G559</f>
        <v>880</v>
      </c>
      <c r="Q559" s="12">
        <f>P559-Table1[[#This Row],[Total cost]]</f>
        <v>396</v>
      </c>
    </row>
    <row r="560" spans="1:17" x14ac:dyDescent="0.45">
      <c r="A560" s="12" t="s">
        <v>635</v>
      </c>
      <c r="B560" s="12" t="s">
        <v>11</v>
      </c>
      <c r="C560" s="12" t="s">
        <v>35</v>
      </c>
      <c r="D560" s="13">
        <v>45385</v>
      </c>
      <c r="E560" s="13">
        <v>45427</v>
      </c>
      <c r="F560" s="12">
        <v>5</v>
      </c>
      <c r="G560" s="12">
        <v>220</v>
      </c>
      <c r="H560" s="12" t="s">
        <v>13</v>
      </c>
      <c r="I560" s="12" t="s">
        <v>547</v>
      </c>
      <c r="J560" s="12" t="s">
        <v>18</v>
      </c>
      <c r="K560" s="14" t="str">
        <f>TEXT('Retail Store Sales'!$D560,"yyyy")</f>
        <v>2024</v>
      </c>
      <c r="L560" s="11" t="str">
        <f>TEXT('Retail Store Sales'!$D560,"mmm")</f>
        <v>Apr</v>
      </c>
      <c r="M560" s="12" t="str">
        <f>TEXT('Retail Store Sales'!$D560,"dddd")</f>
        <v>Wednesday</v>
      </c>
      <c r="N560">
        <f t="shared" si="9"/>
        <v>42</v>
      </c>
      <c r="O560" s="16">
        <f>ROUND('Retail Store Sales'!$F560*'Retail Store Sales'!$G560*_xlfn.XLOOKUP('Retail Store Sales'!$C560,Table2[Product Name],Table2[Cost Percentage],0),0)</f>
        <v>880</v>
      </c>
      <c r="P560" s="12">
        <f>'Retail Store Sales'!$F560*'Retail Store Sales'!$G560</f>
        <v>1100</v>
      </c>
      <c r="Q560" s="12">
        <f>P560-Table1[[#This Row],[Total cost]]</f>
        <v>220</v>
      </c>
    </row>
    <row r="561" spans="1:17" x14ac:dyDescent="0.45">
      <c r="A561" s="12" t="s">
        <v>677</v>
      </c>
      <c r="B561" s="12" t="s">
        <v>11</v>
      </c>
      <c r="C561" s="12" t="s">
        <v>41</v>
      </c>
      <c r="D561" s="13">
        <v>45383</v>
      </c>
      <c r="E561" s="13">
        <v>45394</v>
      </c>
      <c r="F561" s="12">
        <v>2</v>
      </c>
      <c r="G561" s="12">
        <v>220</v>
      </c>
      <c r="H561" s="12" t="s">
        <v>27</v>
      </c>
      <c r="I561" s="12" t="s">
        <v>547</v>
      </c>
      <c r="J561" s="12" t="s">
        <v>45</v>
      </c>
      <c r="K561" s="14" t="str">
        <f>TEXT('Retail Store Sales'!$D561,"yyyy")</f>
        <v>2024</v>
      </c>
      <c r="L561" s="11" t="str">
        <f>TEXT('Retail Store Sales'!$D561,"mmm")</f>
        <v>Apr</v>
      </c>
      <c r="M561" s="12" t="str">
        <f>TEXT('Retail Store Sales'!$D561,"dddd")</f>
        <v>Monday</v>
      </c>
      <c r="N561">
        <f t="shared" si="9"/>
        <v>11</v>
      </c>
      <c r="O561" s="16">
        <f>ROUND('Retail Store Sales'!$F561*'Retail Store Sales'!$G561*_xlfn.XLOOKUP('Retail Store Sales'!$C561,Table2[Product Name],Table2[Cost Percentage],0),0)</f>
        <v>286</v>
      </c>
      <c r="P561" s="12">
        <f>'Retail Store Sales'!$F561*'Retail Store Sales'!$G561</f>
        <v>440</v>
      </c>
      <c r="Q561" s="12">
        <f>P561-Table1[[#This Row],[Total cost]]</f>
        <v>154</v>
      </c>
    </row>
    <row r="562" spans="1:17" x14ac:dyDescent="0.45">
      <c r="A562" s="12" t="s">
        <v>682</v>
      </c>
      <c r="B562" s="12" t="s">
        <v>16</v>
      </c>
      <c r="C562" s="12" t="s">
        <v>55</v>
      </c>
      <c r="D562" s="13">
        <v>45413</v>
      </c>
      <c r="E562" s="13">
        <v>45425</v>
      </c>
      <c r="F562" s="12">
        <v>3</v>
      </c>
      <c r="G562" s="12">
        <v>120</v>
      </c>
      <c r="H562" s="12" t="s">
        <v>13</v>
      </c>
      <c r="I562" s="12" t="s">
        <v>549</v>
      </c>
      <c r="J562" s="12" t="s">
        <v>45</v>
      </c>
      <c r="K562" s="14" t="str">
        <f>TEXT('Retail Store Sales'!$D562,"yyyy")</f>
        <v>2024</v>
      </c>
      <c r="L562" s="11" t="str">
        <f>TEXT('Retail Store Sales'!$D562,"mmm")</f>
        <v>May</v>
      </c>
      <c r="M562" s="12" t="str">
        <f>TEXT('Retail Store Sales'!$D562,"dddd")</f>
        <v>Wednesday</v>
      </c>
      <c r="N562">
        <f t="shared" si="9"/>
        <v>12</v>
      </c>
      <c r="O562" s="16">
        <f>ROUND('Retail Store Sales'!$F562*'Retail Store Sales'!$G562*_xlfn.XLOOKUP('Retail Store Sales'!$C562,Table2[Product Name],Table2[Cost Percentage],0),0)</f>
        <v>198</v>
      </c>
      <c r="P562" s="12">
        <f>'Retail Store Sales'!$F562*'Retail Store Sales'!$G562</f>
        <v>360</v>
      </c>
      <c r="Q562" s="12">
        <f>P562-Table1[[#This Row],[Total cost]]</f>
        <v>162</v>
      </c>
    </row>
  </sheetData>
  <conditionalFormatting sqref="G2:G36">
    <cfRule type="containsBlanks" priority="1">
      <formula>LEN(TRIM(G2))=0</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C2695-F309-497B-AA77-A8BF83263421}">
  <sheetPr codeName="Sheet7"/>
  <dimension ref="A1:Y41"/>
  <sheetViews>
    <sheetView zoomScale="50" zoomScaleNormal="50" workbookViewId="0">
      <selection activeCell="Y8" sqref="Y8"/>
    </sheetView>
  </sheetViews>
  <sheetFormatPr defaultColWidth="0" defaultRowHeight="14.25" zeroHeight="1" x14ac:dyDescent="0.45"/>
  <cols>
    <col min="1" max="25" width="9.06640625" customWidth="1"/>
    <col min="26" max="16384" width="9.06640625" hidden="1"/>
  </cols>
  <sheetData>
    <row r="1" x14ac:dyDescent="0.45"/>
    <row r="2" x14ac:dyDescent="0.45"/>
    <row r="3" x14ac:dyDescent="0.45"/>
    <row r="4" x14ac:dyDescent="0.45"/>
    <row r="5" x14ac:dyDescent="0.45"/>
    <row r="6" x14ac:dyDescent="0.45"/>
    <row r="7" x14ac:dyDescent="0.45"/>
    <row r="8" x14ac:dyDescent="0.45"/>
    <row r="9" x14ac:dyDescent="0.45"/>
    <row r="10" x14ac:dyDescent="0.45"/>
    <row r="11" x14ac:dyDescent="0.45"/>
    <row r="12" x14ac:dyDescent="0.45"/>
    <row r="13" x14ac:dyDescent="0.45"/>
    <row r="14" x14ac:dyDescent="0.45"/>
    <row r="15" x14ac:dyDescent="0.45"/>
    <row r="16" x14ac:dyDescent="0.45"/>
    <row r="17" spans="13:13" x14ac:dyDescent="0.45"/>
    <row r="18" spans="13:13" x14ac:dyDescent="0.45"/>
    <row r="19" spans="13:13" x14ac:dyDescent="0.45">
      <c r="M19" s="42"/>
    </row>
    <row r="20" spans="13:13" x14ac:dyDescent="0.45"/>
    <row r="21" spans="13:13" x14ac:dyDescent="0.45"/>
    <row r="22" spans="13:13" x14ac:dyDescent="0.45"/>
    <row r="23" spans="13:13" x14ac:dyDescent="0.45"/>
    <row r="24" spans="13:13" x14ac:dyDescent="0.45"/>
    <row r="25" spans="13:13" x14ac:dyDescent="0.45"/>
    <row r="26" spans="13:13" x14ac:dyDescent="0.45"/>
    <row r="27" spans="13:13" x14ac:dyDescent="0.45"/>
    <row r="28" spans="13:13" x14ac:dyDescent="0.45"/>
    <row r="29" spans="13:13" x14ac:dyDescent="0.45"/>
    <row r="30" spans="13:13" x14ac:dyDescent="0.45"/>
    <row r="31" spans="13:13" x14ac:dyDescent="0.45"/>
    <row r="32" spans="13:13" x14ac:dyDescent="0.45"/>
    <row r="33" x14ac:dyDescent="0.45"/>
    <row r="34" x14ac:dyDescent="0.45"/>
    <row r="35" x14ac:dyDescent="0.45"/>
    <row r="36" x14ac:dyDescent="0.45"/>
    <row r="37" x14ac:dyDescent="0.45"/>
    <row r="38" x14ac:dyDescent="0.45"/>
    <row r="39" x14ac:dyDescent="0.45"/>
    <row r="40" x14ac:dyDescent="0.45"/>
    <row r="41" x14ac:dyDescent="0.45"/>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B2ACB-B794-494F-BCFC-72F9BCBB1CF0}">
  <dimension ref="A1:B26"/>
  <sheetViews>
    <sheetView workbookViewId="0">
      <selection activeCell="I5" sqref="I5"/>
    </sheetView>
  </sheetViews>
  <sheetFormatPr defaultRowHeight="14.25" x14ac:dyDescent="0.45"/>
  <sheetData>
    <row r="1" spans="1:2" x14ac:dyDescent="0.45">
      <c r="A1" t="s">
        <v>2</v>
      </c>
      <c r="B1" t="s">
        <v>687</v>
      </c>
    </row>
    <row r="2" spans="1:2" x14ac:dyDescent="0.45">
      <c r="A2" t="s">
        <v>12</v>
      </c>
      <c r="B2">
        <v>0.75</v>
      </c>
    </row>
    <row r="3" spans="1:2" x14ac:dyDescent="0.45">
      <c r="A3" t="s">
        <v>26</v>
      </c>
      <c r="B3">
        <v>0.65</v>
      </c>
    </row>
    <row r="4" spans="1:2" x14ac:dyDescent="0.45">
      <c r="A4" t="s">
        <v>35</v>
      </c>
      <c r="B4">
        <v>0.8</v>
      </c>
    </row>
    <row r="5" spans="1:2" x14ac:dyDescent="0.45">
      <c r="A5" t="s">
        <v>57</v>
      </c>
      <c r="B5">
        <v>0.85</v>
      </c>
    </row>
    <row r="6" spans="1:2" x14ac:dyDescent="0.45">
      <c r="A6" t="s">
        <v>95</v>
      </c>
      <c r="B6">
        <v>0.7</v>
      </c>
    </row>
    <row r="7" spans="1:2" x14ac:dyDescent="0.45">
      <c r="A7" t="s">
        <v>17</v>
      </c>
      <c r="B7">
        <v>0.5</v>
      </c>
    </row>
    <row r="8" spans="1:2" x14ac:dyDescent="0.45">
      <c r="A8" t="s">
        <v>55</v>
      </c>
      <c r="B8">
        <v>0.55000000000000004</v>
      </c>
    </row>
    <row r="9" spans="1:2" x14ac:dyDescent="0.45">
      <c r="A9" t="s">
        <v>43</v>
      </c>
      <c r="B9">
        <v>0.6</v>
      </c>
    </row>
    <row r="10" spans="1:2" x14ac:dyDescent="0.45">
      <c r="A10" t="s">
        <v>59</v>
      </c>
      <c r="B10">
        <v>0.65</v>
      </c>
    </row>
    <row r="11" spans="1:2" x14ac:dyDescent="0.45">
      <c r="A11" t="s">
        <v>63</v>
      </c>
      <c r="B11">
        <v>0.5</v>
      </c>
    </row>
    <row r="12" spans="1:2" x14ac:dyDescent="0.45">
      <c r="A12" t="s">
        <v>51</v>
      </c>
      <c r="B12">
        <v>0.7</v>
      </c>
    </row>
    <row r="13" spans="1:2" x14ac:dyDescent="0.45">
      <c r="A13" t="s">
        <v>21</v>
      </c>
      <c r="B13">
        <v>0.75</v>
      </c>
    </row>
    <row r="14" spans="1:2" x14ac:dyDescent="0.45">
      <c r="A14" t="s">
        <v>82</v>
      </c>
      <c r="B14">
        <v>0.8</v>
      </c>
    </row>
    <row r="15" spans="1:2" x14ac:dyDescent="0.45">
      <c r="A15" t="s">
        <v>53</v>
      </c>
      <c r="B15">
        <v>0.7</v>
      </c>
    </row>
    <row r="16" spans="1:2" x14ac:dyDescent="0.45">
      <c r="A16" t="s">
        <v>39</v>
      </c>
      <c r="B16">
        <v>0.65</v>
      </c>
    </row>
    <row r="17" spans="1:2" x14ac:dyDescent="0.45">
      <c r="A17" t="s">
        <v>24</v>
      </c>
      <c r="B17">
        <v>0.55000000000000004</v>
      </c>
    </row>
    <row r="18" spans="1:2" x14ac:dyDescent="0.45">
      <c r="A18" t="s">
        <v>37</v>
      </c>
      <c r="B18">
        <v>0.5</v>
      </c>
    </row>
    <row r="19" spans="1:2" x14ac:dyDescent="0.45">
      <c r="A19" t="s">
        <v>99</v>
      </c>
      <c r="B19">
        <v>0.6</v>
      </c>
    </row>
    <row r="20" spans="1:2" x14ac:dyDescent="0.45">
      <c r="A20" t="s">
        <v>69</v>
      </c>
      <c r="B20">
        <v>0.55000000000000004</v>
      </c>
    </row>
    <row r="21" spans="1:2" x14ac:dyDescent="0.45">
      <c r="A21" t="s">
        <v>114</v>
      </c>
      <c r="B21">
        <v>0.6</v>
      </c>
    </row>
    <row r="22" spans="1:2" x14ac:dyDescent="0.45">
      <c r="A22" t="s">
        <v>31</v>
      </c>
      <c r="B22">
        <v>0.75</v>
      </c>
    </row>
    <row r="23" spans="1:2" x14ac:dyDescent="0.45">
      <c r="A23" t="s">
        <v>41</v>
      </c>
      <c r="B23">
        <v>0.65</v>
      </c>
    </row>
    <row r="24" spans="1:2" x14ac:dyDescent="0.45">
      <c r="A24" t="s">
        <v>49</v>
      </c>
      <c r="B24">
        <v>0.7</v>
      </c>
    </row>
    <row r="25" spans="1:2" x14ac:dyDescent="0.45">
      <c r="A25" t="s">
        <v>75</v>
      </c>
      <c r="B25">
        <v>0.75</v>
      </c>
    </row>
    <row r="26" spans="1:2" x14ac:dyDescent="0.45">
      <c r="A26" t="s">
        <v>78</v>
      </c>
      <c r="B26">
        <v>0.65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CD4D9-E6AD-4A67-96B6-765F759B379B}">
  <sheetPr codeName="Sheet2"/>
  <dimension ref="D8:P649"/>
  <sheetViews>
    <sheetView topLeftCell="C7" workbookViewId="0">
      <selection activeCell="K29" sqref="K29"/>
    </sheetView>
  </sheetViews>
  <sheetFormatPr defaultRowHeight="14.25" x14ac:dyDescent="0.45"/>
  <cols>
    <col min="7" max="7" width="15.86328125" bestFit="1" customWidth="1"/>
    <col min="9" max="9" width="15.86328125" bestFit="1" customWidth="1"/>
    <col min="10" max="10" width="39.46484375" bestFit="1" customWidth="1"/>
    <col min="11" max="11" width="81.19921875" bestFit="1" customWidth="1"/>
    <col min="12" max="12" width="11.73046875" bestFit="1" customWidth="1"/>
    <col min="15" max="15" width="15.86328125" bestFit="1" customWidth="1"/>
  </cols>
  <sheetData>
    <row r="8" spans="5:16" ht="25.5" x14ac:dyDescent="0.75">
      <c r="E8" s="53" t="s">
        <v>572</v>
      </c>
      <c r="F8" s="53"/>
      <c r="G8" s="53"/>
      <c r="H8" s="53"/>
      <c r="I8" s="53"/>
      <c r="J8" s="53"/>
      <c r="K8" s="53"/>
      <c r="L8" s="53"/>
      <c r="M8" s="53"/>
      <c r="N8" s="53"/>
      <c r="O8" s="53"/>
      <c r="P8" s="53"/>
    </row>
    <row r="10" spans="5:16" x14ac:dyDescent="0.45">
      <c r="E10" s="1" t="s">
        <v>555</v>
      </c>
      <c r="F10" s="1"/>
      <c r="G10" s="1" t="s">
        <v>556</v>
      </c>
      <c r="H10" s="1"/>
      <c r="I10" s="1" t="s">
        <v>573</v>
      </c>
      <c r="J10" s="1"/>
      <c r="K10" s="1" t="s">
        <v>574</v>
      </c>
      <c r="L10" s="1"/>
      <c r="M10" s="1" t="s">
        <v>5</v>
      </c>
      <c r="N10" s="1"/>
      <c r="O10" s="1" t="s">
        <v>575</v>
      </c>
      <c r="P10" s="1"/>
    </row>
    <row r="11" spans="5:16" x14ac:dyDescent="0.45">
      <c r="E11" s="2"/>
      <c r="F11" s="2"/>
      <c r="G11" s="2"/>
      <c r="H11" s="2"/>
      <c r="I11" s="2"/>
      <c r="J11" s="2"/>
      <c r="K11" s="2"/>
      <c r="L11" s="2"/>
      <c r="M11" s="2"/>
      <c r="N11" s="2"/>
      <c r="O11" s="2"/>
      <c r="P11" s="2"/>
    </row>
    <row r="12" spans="5:16" x14ac:dyDescent="0.45">
      <c r="E12" s="2" t="s">
        <v>559</v>
      </c>
      <c r="F12" s="2">
        <v>7.8450450450450449</v>
      </c>
      <c r="G12" s="2" t="s">
        <v>559</v>
      </c>
      <c r="H12" s="2">
        <v>1724.7783783783784</v>
      </c>
      <c r="I12" s="2" t="s">
        <v>559</v>
      </c>
      <c r="J12" s="2">
        <v>2651.4432432432432</v>
      </c>
      <c r="K12" s="2" t="s">
        <v>559</v>
      </c>
      <c r="L12" s="2">
        <v>926.66486486486485</v>
      </c>
      <c r="M12" s="2" t="s">
        <v>559</v>
      </c>
      <c r="N12" s="2">
        <v>5.4036036036036039</v>
      </c>
      <c r="O12" s="2" t="s">
        <v>559</v>
      </c>
      <c r="P12" s="2">
        <v>496.95135135135138</v>
      </c>
    </row>
    <row r="13" spans="5:16" x14ac:dyDescent="0.45">
      <c r="E13" s="2" t="s">
        <v>560</v>
      </c>
      <c r="F13" s="2">
        <v>0.16495863205869249</v>
      </c>
      <c r="G13" s="2" t="s">
        <v>560</v>
      </c>
      <c r="H13" s="2">
        <v>62.580494721939502</v>
      </c>
      <c r="I13" s="2" t="s">
        <v>560</v>
      </c>
      <c r="J13" s="2">
        <v>93.337646365775441</v>
      </c>
      <c r="K13" s="2" t="s">
        <v>560</v>
      </c>
      <c r="L13" s="2">
        <v>35.608461337590334</v>
      </c>
      <c r="M13" s="2" t="s">
        <v>560</v>
      </c>
      <c r="N13" s="2">
        <v>0.12491377053492385</v>
      </c>
      <c r="O13" s="2" t="s">
        <v>560</v>
      </c>
      <c r="P13" s="2">
        <v>12.169854646017843</v>
      </c>
    </row>
    <row r="14" spans="5:16" x14ac:dyDescent="0.45">
      <c r="E14" s="2" t="s">
        <v>561</v>
      </c>
      <c r="F14" s="2">
        <v>7</v>
      </c>
      <c r="G14" s="2" t="s">
        <v>561</v>
      </c>
      <c r="H14" s="2">
        <v>1263</v>
      </c>
      <c r="I14" s="2" t="s">
        <v>561</v>
      </c>
      <c r="J14" s="2">
        <v>1938</v>
      </c>
      <c r="K14" s="2" t="s">
        <v>561</v>
      </c>
      <c r="L14" s="2">
        <v>651</v>
      </c>
      <c r="M14" s="2" t="s">
        <v>561</v>
      </c>
      <c r="N14" s="2">
        <v>5</v>
      </c>
      <c r="O14" s="2" t="s">
        <v>561</v>
      </c>
      <c r="P14" s="2">
        <v>486</v>
      </c>
    </row>
    <row r="15" spans="5:16" x14ac:dyDescent="0.45">
      <c r="E15" s="2" t="s">
        <v>562</v>
      </c>
      <c r="F15" s="2">
        <v>6</v>
      </c>
      <c r="G15" s="2" t="s">
        <v>562</v>
      </c>
      <c r="H15" s="2">
        <v>34</v>
      </c>
      <c r="I15" s="2" t="s">
        <v>562</v>
      </c>
      <c r="J15" s="2">
        <v>1512</v>
      </c>
      <c r="K15" s="2" t="s">
        <v>562</v>
      </c>
      <c r="L15" s="2">
        <v>616</v>
      </c>
      <c r="M15" s="2" t="s">
        <v>562</v>
      </c>
      <c r="N15" s="2">
        <v>3</v>
      </c>
      <c r="O15" s="2" t="s">
        <v>562</v>
      </c>
      <c r="P15" s="2">
        <v>200</v>
      </c>
    </row>
    <row r="16" spans="5:16" x14ac:dyDescent="0.45">
      <c r="E16" s="2" t="s">
        <v>563</v>
      </c>
      <c r="F16" s="2">
        <v>3.886167702419014</v>
      </c>
      <c r="G16" s="2" t="s">
        <v>563</v>
      </c>
      <c r="H16" s="2">
        <v>1474.2987035881492</v>
      </c>
      <c r="I16" s="2" t="s">
        <v>563</v>
      </c>
      <c r="J16" s="2">
        <v>2198.889152993374</v>
      </c>
      <c r="K16" s="2" t="s">
        <v>563</v>
      </c>
      <c r="L16" s="2">
        <v>838.87972794138943</v>
      </c>
      <c r="M16" s="2" t="s">
        <v>563</v>
      </c>
      <c r="N16" s="2">
        <v>2.9427733158424969</v>
      </c>
      <c r="O16" s="2" t="s">
        <v>563</v>
      </c>
      <c r="P16" s="2">
        <v>286.70276588897281</v>
      </c>
    </row>
    <row r="17" spans="4:16" x14ac:dyDescent="0.45">
      <c r="E17" s="2" t="s">
        <v>564</v>
      </c>
      <c r="F17" s="2">
        <v>15.102299411324678</v>
      </c>
      <c r="G17" s="2" t="s">
        <v>564</v>
      </c>
      <c r="H17" s="2">
        <v>2173556.6674016975</v>
      </c>
      <c r="I17" s="2" t="s">
        <v>564</v>
      </c>
      <c r="J17" s="2">
        <v>4835113.5071519166</v>
      </c>
      <c r="K17" s="2" t="s">
        <v>564</v>
      </c>
      <c r="L17" s="2">
        <v>703719.19795101951</v>
      </c>
      <c r="M17" s="2" t="s">
        <v>564</v>
      </c>
      <c r="N17" s="2">
        <v>8.6599147884346444</v>
      </c>
      <c r="O17" s="2" t="s">
        <v>564</v>
      </c>
      <c r="P17" s="2">
        <v>82198.475968387153</v>
      </c>
    </row>
    <row r="18" spans="4:16" x14ac:dyDescent="0.45">
      <c r="E18" s="2" t="s">
        <v>565</v>
      </c>
      <c r="F18" s="2">
        <v>-0.30501814526275295</v>
      </c>
      <c r="G18" s="2" t="s">
        <v>565</v>
      </c>
      <c r="H18" s="2">
        <v>0.55216843519139136</v>
      </c>
      <c r="I18" s="2" t="s">
        <v>565</v>
      </c>
      <c r="J18" s="2">
        <v>-5.9990258453900047E-2</v>
      </c>
      <c r="K18" s="2" t="s">
        <v>565</v>
      </c>
      <c r="L18" s="2">
        <v>1.4417091350912776</v>
      </c>
      <c r="M18" s="2" t="s">
        <v>565</v>
      </c>
      <c r="N18" s="2">
        <v>-1.3130806502004244</v>
      </c>
      <c r="O18" s="2" t="s">
        <v>565</v>
      </c>
      <c r="P18" s="2">
        <v>-1.1947453110672963</v>
      </c>
    </row>
    <row r="19" spans="4:16" x14ac:dyDescent="0.45">
      <c r="E19" s="2" t="s">
        <v>566</v>
      </c>
      <c r="F19" s="2">
        <v>0.38285607387120102</v>
      </c>
      <c r="G19" s="2" t="s">
        <v>566</v>
      </c>
      <c r="H19" s="2">
        <v>1.0808497675392676</v>
      </c>
      <c r="I19" s="2" t="s">
        <v>566</v>
      </c>
      <c r="J19" s="2">
        <v>0.91702481888276277</v>
      </c>
      <c r="K19" s="2" t="s">
        <v>566</v>
      </c>
      <c r="L19" s="2">
        <v>1.285148260628677</v>
      </c>
      <c r="M19" s="2" t="s">
        <v>566</v>
      </c>
      <c r="N19" s="2">
        <v>2.4776099799179902E-2</v>
      </c>
      <c r="O19" s="2" t="s">
        <v>566</v>
      </c>
      <c r="P19" s="2">
        <v>7.0906229971402029E-2</v>
      </c>
    </row>
    <row r="20" spans="4:16" x14ac:dyDescent="0.45">
      <c r="E20" s="2" t="s">
        <v>567</v>
      </c>
      <c r="F20" s="2">
        <v>21</v>
      </c>
      <c r="G20" s="2" t="s">
        <v>567</v>
      </c>
      <c r="H20" s="2">
        <v>7297</v>
      </c>
      <c r="I20" s="2" t="s">
        <v>567</v>
      </c>
      <c r="J20" s="2">
        <v>9727</v>
      </c>
      <c r="K20" s="2" t="s">
        <v>567</v>
      </c>
      <c r="L20" s="2">
        <v>4610</v>
      </c>
      <c r="M20" s="2" t="s">
        <v>567</v>
      </c>
      <c r="N20" s="2">
        <v>9</v>
      </c>
      <c r="O20" s="2" t="s">
        <v>567</v>
      </c>
      <c r="P20" s="2">
        <v>988</v>
      </c>
    </row>
    <row r="21" spans="4:16" x14ac:dyDescent="0.45">
      <c r="E21" s="2" t="s">
        <v>568</v>
      </c>
      <c r="F21" s="2">
        <v>1</v>
      </c>
      <c r="G21" s="2" t="s">
        <v>568</v>
      </c>
      <c r="H21" s="2">
        <v>8</v>
      </c>
      <c r="I21" s="2" t="s">
        <v>568</v>
      </c>
      <c r="J21" s="2">
        <v>13</v>
      </c>
      <c r="K21" s="2" t="s">
        <v>568</v>
      </c>
      <c r="L21" s="2">
        <v>5</v>
      </c>
      <c r="M21" s="2" t="s">
        <v>568</v>
      </c>
      <c r="N21" s="2">
        <v>1</v>
      </c>
      <c r="O21" s="2" t="s">
        <v>568</v>
      </c>
      <c r="P21" s="2">
        <v>10</v>
      </c>
    </row>
    <row r="22" spans="4:16" x14ac:dyDescent="0.45">
      <c r="E22" s="2" t="s">
        <v>569</v>
      </c>
      <c r="F22" s="2">
        <v>22</v>
      </c>
      <c r="G22" s="2" t="s">
        <v>569</v>
      </c>
      <c r="H22" s="2">
        <v>7305</v>
      </c>
      <c r="I22" s="2" t="s">
        <v>569</v>
      </c>
      <c r="J22" s="2">
        <v>9740</v>
      </c>
      <c r="K22" s="2" t="s">
        <v>569</v>
      </c>
      <c r="L22" s="2">
        <v>4615</v>
      </c>
      <c r="M22" s="2" t="s">
        <v>569</v>
      </c>
      <c r="N22" s="2">
        <v>10</v>
      </c>
      <c r="O22" s="2" t="s">
        <v>569</v>
      </c>
      <c r="P22" s="2">
        <v>998</v>
      </c>
    </row>
    <row r="23" spans="4:16" x14ac:dyDescent="0.45">
      <c r="E23" s="2" t="s">
        <v>570</v>
      </c>
      <c r="F23" s="2">
        <v>4354</v>
      </c>
      <c r="G23" s="2" t="s">
        <v>570</v>
      </c>
      <c r="H23" s="2">
        <v>957252</v>
      </c>
      <c r="I23" s="2" t="s">
        <v>570</v>
      </c>
      <c r="J23" s="2">
        <v>1471551</v>
      </c>
      <c r="K23" s="2" t="s">
        <v>570</v>
      </c>
      <c r="L23" s="2">
        <v>514299</v>
      </c>
      <c r="M23" s="2" t="s">
        <v>570</v>
      </c>
      <c r="N23" s="2">
        <v>2999</v>
      </c>
      <c r="O23" s="2" t="s">
        <v>570</v>
      </c>
      <c r="P23" s="2">
        <v>275808</v>
      </c>
    </row>
    <row r="24" spans="4:16" x14ac:dyDescent="0.45">
      <c r="E24" s="2" t="s">
        <v>571</v>
      </c>
      <c r="F24" s="2">
        <v>555</v>
      </c>
      <c r="G24" s="2" t="s">
        <v>571</v>
      </c>
      <c r="H24" s="2">
        <v>555</v>
      </c>
      <c r="I24" s="2" t="s">
        <v>571</v>
      </c>
      <c r="J24" s="2">
        <v>555</v>
      </c>
      <c r="K24" s="2" t="s">
        <v>571</v>
      </c>
      <c r="L24" s="2">
        <v>555</v>
      </c>
      <c r="M24" s="2" t="s">
        <v>571</v>
      </c>
      <c r="N24" s="2">
        <v>555</v>
      </c>
      <c r="O24" s="2" t="s">
        <v>571</v>
      </c>
      <c r="P24" s="2">
        <v>555</v>
      </c>
    </row>
    <row r="28" spans="4:16" ht="14.65" thickBot="1" x14ac:dyDescent="0.5"/>
    <row r="29" spans="4:16" ht="28.9" thickBot="1" x14ac:dyDescent="0.9">
      <c r="D29" s="5"/>
      <c r="E29" s="6"/>
      <c r="F29" s="6"/>
      <c r="G29" s="6"/>
      <c r="H29" s="6"/>
      <c r="I29" s="6"/>
      <c r="J29" s="7" t="s">
        <v>576</v>
      </c>
      <c r="K29" s="6"/>
      <c r="L29" s="6"/>
      <c r="M29" s="6"/>
      <c r="N29" s="8"/>
      <c r="O29" s="3"/>
      <c r="P29" s="3"/>
    </row>
    <row r="30" spans="4:16" ht="30" x14ac:dyDescent="0.65">
      <c r="D30" s="4" t="s">
        <v>577</v>
      </c>
      <c r="O30" s="25" t="s">
        <v>602</v>
      </c>
    </row>
    <row r="31" spans="4:16" x14ac:dyDescent="0.45">
      <c r="D31" t="s">
        <v>579</v>
      </c>
      <c r="K31" t="s">
        <v>594</v>
      </c>
      <c r="L31" s="25"/>
    </row>
    <row r="32" spans="4:16" x14ac:dyDescent="0.45">
      <c r="K32" t="s">
        <v>595</v>
      </c>
    </row>
    <row r="33" spans="4:11" ht="42.75" x14ac:dyDescent="0.45">
      <c r="K33" s="25" t="s">
        <v>603</v>
      </c>
    </row>
    <row r="34" spans="4:11" ht="57" x14ac:dyDescent="0.45">
      <c r="K34" s="25" t="s">
        <v>604</v>
      </c>
    </row>
    <row r="36" spans="4:11" ht="21" x14ac:dyDescent="0.65">
      <c r="D36" s="4" t="s">
        <v>581</v>
      </c>
      <c r="K36" t="s">
        <v>596</v>
      </c>
    </row>
    <row r="37" spans="4:11" ht="58.5" x14ac:dyDescent="0.65">
      <c r="D37" s="4"/>
      <c r="K37" s="25" t="s">
        <v>605</v>
      </c>
    </row>
    <row r="38" spans="4:11" x14ac:dyDescent="0.45">
      <c r="D38" t="s">
        <v>578</v>
      </c>
    </row>
    <row r="39" spans="4:11" x14ac:dyDescent="0.45">
      <c r="K39" t="s">
        <v>597</v>
      </c>
    </row>
    <row r="40" spans="4:11" ht="21" x14ac:dyDescent="0.65">
      <c r="D40" s="4" t="s">
        <v>580</v>
      </c>
      <c r="E40" s="4"/>
      <c r="F40" s="4"/>
      <c r="K40" t="s">
        <v>598</v>
      </c>
    </row>
    <row r="41" spans="4:11" ht="72.75" x14ac:dyDescent="0.65">
      <c r="D41" s="4"/>
      <c r="E41" s="4"/>
      <c r="F41" s="4"/>
      <c r="K41" s="25" t="s">
        <v>606</v>
      </c>
    </row>
    <row r="42" spans="4:11" x14ac:dyDescent="0.45">
      <c r="D42" t="s">
        <v>582</v>
      </c>
    </row>
    <row r="43" spans="4:11" ht="13.5" customHeight="1" x14ac:dyDescent="0.45">
      <c r="K43" t="s">
        <v>599</v>
      </c>
    </row>
    <row r="44" spans="4:11" ht="13.5" customHeight="1" x14ac:dyDescent="0.45">
      <c r="K44" t="s">
        <v>600</v>
      </c>
    </row>
    <row r="45" spans="4:11" ht="13.5" customHeight="1" x14ac:dyDescent="0.45">
      <c r="K45" s="25" t="s">
        <v>607</v>
      </c>
    </row>
    <row r="46" spans="4:11" ht="13.5" customHeight="1" x14ac:dyDescent="0.45">
      <c r="K46" t="s">
        <v>601</v>
      </c>
    </row>
    <row r="47" spans="4:11" ht="13.5" customHeight="1" x14ac:dyDescent="0.45">
      <c r="K47" s="25" t="s">
        <v>608</v>
      </c>
    </row>
    <row r="49" spans="4:12" x14ac:dyDescent="0.45">
      <c r="D49" t="s">
        <v>13</v>
      </c>
      <c r="E49" t="s">
        <v>583</v>
      </c>
    </row>
    <row r="50" spans="4:12" x14ac:dyDescent="0.45">
      <c r="D50">
        <v>4</v>
      </c>
      <c r="E50">
        <v>16</v>
      </c>
      <c r="J50" t="s">
        <v>584</v>
      </c>
    </row>
    <row r="51" spans="4:12" ht="14.65" thickBot="1" x14ac:dyDescent="0.5">
      <c r="D51">
        <v>6</v>
      </c>
      <c r="E51">
        <v>12</v>
      </c>
    </row>
    <row r="52" spans="4:12" x14ac:dyDescent="0.45">
      <c r="D52">
        <v>10</v>
      </c>
      <c r="E52">
        <v>15</v>
      </c>
      <c r="J52" s="10"/>
      <c r="K52" s="10" t="s">
        <v>13</v>
      </c>
      <c r="L52" s="10" t="s">
        <v>583</v>
      </c>
    </row>
    <row r="53" spans="4:12" x14ac:dyDescent="0.45">
      <c r="D53">
        <v>5</v>
      </c>
      <c r="E53">
        <v>10</v>
      </c>
      <c r="J53" t="s">
        <v>559</v>
      </c>
      <c r="K53">
        <v>6.916666666666667</v>
      </c>
      <c r="L53">
        <v>8.7686567164179099</v>
      </c>
    </row>
    <row r="54" spans="4:12" x14ac:dyDescent="0.45">
      <c r="D54">
        <v>6</v>
      </c>
      <c r="E54">
        <v>14</v>
      </c>
      <c r="J54" t="s">
        <v>585</v>
      </c>
      <c r="K54">
        <v>13.30856983861992</v>
      </c>
      <c r="L54">
        <v>16.073620660741238</v>
      </c>
    </row>
    <row r="55" spans="4:12" x14ac:dyDescent="0.45">
      <c r="D55">
        <v>10</v>
      </c>
      <c r="E55">
        <v>8</v>
      </c>
      <c r="J55" t="s">
        <v>586</v>
      </c>
      <c r="K55">
        <v>600</v>
      </c>
      <c r="L55">
        <v>268</v>
      </c>
    </row>
    <row r="56" spans="4:12" x14ac:dyDescent="0.45">
      <c r="D56">
        <v>4</v>
      </c>
      <c r="E56">
        <v>8</v>
      </c>
      <c r="J56" t="s">
        <v>587</v>
      </c>
      <c r="K56">
        <v>0</v>
      </c>
    </row>
    <row r="57" spans="4:12" x14ac:dyDescent="0.45">
      <c r="D57">
        <v>9</v>
      </c>
      <c r="E57">
        <v>12</v>
      </c>
      <c r="J57" t="s">
        <v>588</v>
      </c>
      <c r="K57">
        <v>472</v>
      </c>
    </row>
    <row r="58" spans="4:12" x14ac:dyDescent="0.45">
      <c r="D58">
        <v>3</v>
      </c>
      <c r="E58">
        <v>11</v>
      </c>
      <c r="J58" t="s">
        <v>589</v>
      </c>
      <c r="K58">
        <v>-6.4612415366159741</v>
      </c>
    </row>
    <row r="59" spans="4:12" x14ac:dyDescent="0.45">
      <c r="D59">
        <v>9</v>
      </c>
      <c r="E59">
        <v>5</v>
      </c>
      <c r="J59" t="s">
        <v>590</v>
      </c>
      <c r="K59">
        <v>1.2951229043673504E-10</v>
      </c>
    </row>
    <row r="60" spans="4:12" x14ac:dyDescent="0.45">
      <c r="D60">
        <v>9</v>
      </c>
      <c r="E60">
        <v>14</v>
      </c>
      <c r="J60" t="s">
        <v>591</v>
      </c>
      <c r="K60">
        <v>1.6480883355715592</v>
      </c>
    </row>
    <row r="61" spans="4:12" x14ac:dyDescent="0.45">
      <c r="D61">
        <v>10</v>
      </c>
      <c r="E61">
        <v>5</v>
      </c>
      <c r="J61" t="s">
        <v>592</v>
      </c>
      <c r="K61">
        <v>2.5902458087347009E-10</v>
      </c>
    </row>
    <row r="62" spans="4:12" ht="14.65" thickBot="1" x14ac:dyDescent="0.5">
      <c r="D62">
        <v>6</v>
      </c>
      <c r="E62">
        <v>4</v>
      </c>
      <c r="J62" s="9" t="s">
        <v>593</v>
      </c>
      <c r="K62" s="9">
        <v>1.9650026764631323</v>
      </c>
      <c r="L62" s="9"/>
    </row>
    <row r="63" spans="4:12" x14ac:dyDescent="0.45">
      <c r="D63">
        <v>3</v>
      </c>
      <c r="E63">
        <v>6</v>
      </c>
    </row>
    <row r="64" spans="4:12" x14ac:dyDescent="0.45">
      <c r="D64">
        <v>3</v>
      </c>
      <c r="E64">
        <v>11</v>
      </c>
    </row>
    <row r="65" spans="4:5" x14ac:dyDescent="0.45">
      <c r="D65">
        <v>10</v>
      </c>
      <c r="E65">
        <v>3</v>
      </c>
    </row>
    <row r="66" spans="4:5" x14ac:dyDescent="0.45">
      <c r="D66">
        <v>11</v>
      </c>
      <c r="E66">
        <v>14</v>
      </c>
    </row>
    <row r="67" spans="4:5" x14ac:dyDescent="0.45">
      <c r="D67">
        <v>3</v>
      </c>
      <c r="E67">
        <v>7</v>
      </c>
    </row>
    <row r="68" spans="4:5" x14ac:dyDescent="0.45">
      <c r="D68">
        <v>12</v>
      </c>
      <c r="E68">
        <v>3</v>
      </c>
    </row>
    <row r="69" spans="4:5" x14ac:dyDescent="0.45">
      <c r="D69">
        <v>14</v>
      </c>
      <c r="E69">
        <v>10</v>
      </c>
    </row>
    <row r="70" spans="4:5" x14ac:dyDescent="0.45">
      <c r="D70">
        <v>7</v>
      </c>
      <c r="E70">
        <v>7</v>
      </c>
    </row>
    <row r="71" spans="4:5" x14ac:dyDescent="0.45">
      <c r="D71">
        <v>3</v>
      </c>
      <c r="E71">
        <v>4</v>
      </c>
    </row>
    <row r="72" spans="4:5" x14ac:dyDescent="0.45">
      <c r="D72">
        <v>5</v>
      </c>
      <c r="E72">
        <v>10</v>
      </c>
    </row>
    <row r="73" spans="4:5" x14ac:dyDescent="0.45">
      <c r="D73">
        <v>13</v>
      </c>
      <c r="E73">
        <v>14</v>
      </c>
    </row>
    <row r="74" spans="4:5" x14ac:dyDescent="0.45">
      <c r="D74">
        <v>5</v>
      </c>
      <c r="E74">
        <v>4</v>
      </c>
    </row>
    <row r="75" spans="4:5" x14ac:dyDescent="0.45">
      <c r="D75">
        <v>5</v>
      </c>
      <c r="E75">
        <v>13</v>
      </c>
    </row>
    <row r="76" spans="4:5" x14ac:dyDescent="0.45">
      <c r="D76">
        <v>12</v>
      </c>
      <c r="E76">
        <v>12</v>
      </c>
    </row>
    <row r="77" spans="4:5" x14ac:dyDescent="0.45">
      <c r="D77">
        <v>14</v>
      </c>
      <c r="E77">
        <v>11</v>
      </c>
    </row>
    <row r="78" spans="4:5" x14ac:dyDescent="0.45">
      <c r="D78">
        <v>7</v>
      </c>
      <c r="E78">
        <v>6</v>
      </c>
    </row>
    <row r="79" spans="4:5" x14ac:dyDescent="0.45">
      <c r="D79">
        <v>4</v>
      </c>
      <c r="E79">
        <v>13</v>
      </c>
    </row>
    <row r="80" spans="4:5" x14ac:dyDescent="0.45">
      <c r="D80">
        <v>8</v>
      </c>
      <c r="E80">
        <v>13</v>
      </c>
    </row>
    <row r="81" spans="4:5" x14ac:dyDescent="0.45">
      <c r="D81">
        <v>11</v>
      </c>
      <c r="E81">
        <v>6</v>
      </c>
    </row>
    <row r="82" spans="4:5" x14ac:dyDescent="0.45">
      <c r="D82">
        <v>6</v>
      </c>
      <c r="E82">
        <v>14</v>
      </c>
    </row>
    <row r="83" spans="4:5" x14ac:dyDescent="0.45">
      <c r="D83">
        <v>5</v>
      </c>
      <c r="E83">
        <v>13</v>
      </c>
    </row>
    <row r="84" spans="4:5" x14ac:dyDescent="0.45">
      <c r="D84">
        <v>11</v>
      </c>
      <c r="E84">
        <v>14</v>
      </c>
    </row>
    <row r="85" spans="4:5" x14ac:dyDescent="0.45">
      <c r="D85">
        <v>4</v>
      </c>
      <c r="E85">
        <v>5</v>
      </c>
    </row>
    <row r="86" spans="4:5" x14ac:dyDescent="0.45">
      <c r="D86">
        <v>7</v>
      </c>
      <c r="E86">
        <v>12</v>
      </c>
    </row>
    <row r="87" spans="4:5" x14ac:dyDescent="0.45">
      <c r="D87">
        <v>9</v>
      </c>
      <c r="E87">
        <v>3</v>
      </c>
    </row>
    <row r="88" spans="4:5" x14ac:dyDescent="0.45">
      <c r="D88">
        <v>8</v>
      </c>
      <c r="E88">
        <v>11</v>
      </c>
    </row>
    <row r="89" spans="4:5" x14ac:dyDescent="0.45">
      <c r="D89">
        <v>13</v>
      </c>
      <c r="E89">
        <v>7</v>
      </c>
    </row>
    <row r="90" spans="4:5" x14ac:dyDescent="0.45">
      <c r="D90">
        <v>6</v>
      </c>
      <c r="E90">
        <v>12</v>
      </c>
    </row>
    <row r="91" spans="4:5" x14ac:dyDescent="0.45">
      <c r="D91">
        <v>14</v>
      </c>
      <c r="E91">
        <v>7</v>
      </c>
    </row>
    <row r="92" spans="4:5" x14ac:dyDescent="0.45">
      <c r="D92">
        <v>9</v>
      </c>
      <c r="E92">
        <v>12</v>
      </c>
    </row>
    <row r="93" spans="4:5" x14ac:dyDescent="0.45">
      <c r="D93">
        <v>14</v>
      </c>
      <c r="E93">
        <v>10</v>
      </c>
    </row>
    <row r="94" spans="4:5" x14ac:dyDescent="0.45">
      <c r="D94">
        <v>11</v>
      </c>
      <c r="E94">
        <v>9</v>
      </c>
    </row>
    <row r="95" spans="4:5" x14ac:dyDescent="0.45">
      <c r="D95">
        <v>13</v>
      </c>
      <c r="E95">
        <v>7</v>
      </c>
    </row>
    <row r="96" spans="4:5" x14ac:dyDescent="0.45">
      <c r="D96">
        <v>7</v>
      </c>
      <c r="E96">
        <v>10</v>
      </c>
    </row>
    <row r="97" spans="4:5" x14ac:dyDescent="0.45">
      <c r="D97">
        <v>6</v>
      </c>
      <c r="E97">
        <v>6</v>
      </c>
    </row>
    <row r="98" spans="4:5" x14ac:dyDescent="0.45">
      <c r="D98">
        <v>5</v>
      </c>
      <c r="E98">
        <v>5</v>
      </c>
    </row>
    <row r="99" spans="4:5" x14ac:dyDescent="0.45">
      <c r="D99">
        <v>10</v>
      </c>
      <c r="E99">
        <v>7</v>
      </c>
    </row>
    <row r="100" spans="4:5" x14ac:dyDescent="0.45">
      <c r="D100">
        <v>4</v>
      </c>
      <c r="E100">
        <v>5</v>
      </c>
    </row>
    <row r="101" spans="4:5" x14ac:dyDescent="0.45">
      <c r="D101">
        <v>13</v>
      </c>
      <c r="E101">
        <v>4</v>
      </c>
    </row>
    <row r="102" spans="4:5" x14ac:dyDescent="0.45">
      <c r="D102">
        <v>4</v>
      </c>
      <c r="E102">
        <v>5</v>
      </c>
    </row>
    <row r="103" spans="4:5" x14ac:dyDescent="0.45">
      <c r="D103">
        <v>14</v>
      </c>
      <c r="E103">
        <v>4</v>
      </c>
    </row>
    <row r="104" spans="4:5" x14ac:dyDescent="0.45">
      <c r="D104">
        <v>12</v>
      </c>
      <c r="E104">
        <v>14</v>
      </c>
    </row>
    <row r="105" spans="4:5" x14ac:dyDescent="0.45">
      <c r="D105">
        <v>4</v>
      </c>
      <c r="E105">
        <v>21</v>
      </c>
    </row>
    <row r="106" spans="4:5" x14ac:dyDescent="0.45">
      <c r="D106">
        <v>4</v>
      </c>
      <c r="E106">
        <v>4</v>
      </c>
    </row>
    <row r="107" spans="4:5" x14ac:dyDescent="0.45">
      <c r="D107">
        <v>7</v>
      </c>
      <c r="E107">
        <v>13</v>
      </c>
    </row>
    <row r="108" spans="4:5" x14ac:dyDescent="0.45">
      <c r="D108">
        <v>11</v>
      </c>
      <c r="E108">
        <v>6</v>
      </c>
    </row>
    <row r="109" spans="4:5" x14ac:dyDescent="0.45">
      <c r="D109">
        <v>6</v>
      </c>
      <c r="E109">
        <v>12</v>
      </c>
    </row>
    <row r="110" spans="4:5" x14ac:dyDescent="0.45">
      <c r="D110">
        <v>4</v>
      </c>
      <c r="E110">
        <v>7</v>
      </c>
    </row>
    <row r="111" spans="4:5" x14ac:dyDescent="0.45">
      <c r="D111">
        <v>6</v>
      </c>
      <c r="E111">
        <v>12</v>
      </c>
    </row>
    <row r="112" spans="4:5" x14ac:dyDescent="0.45">
      <c r="D112">
        <v>8</v>
      </c>
      <c r="E112">
        <v>10</v>
      </c>
    </row>
    <row r="113" spans="4:5" x14ac:dyDescent="0.45">
      <c r="D113">
        <v>8</v>
      </c>
      <c r="E113">
        <v>11</v>
      </c>
    </row>
    <row r="114" spans="4:5" x14ac:dyDescent="0.45">
      <c r="D114">
        <v>6</v>
      </c>
      <c r="E114">
        <v>6</v>
      </c>
    </row>
    <row r="115" spans="4:5" x14ac:dyDescent="0.45">
      <c r="D115">
        <v>10</v>
      </c>
      <c r="E115">
        <v>6</v>
      </c>
    </row>
    <row r="116" spans="4:5" x14ac:dyDescent="0.45">
      <c r="D116">
        <v>4</v>
      </c>
      <c r="E116">
        <v>5</v>
      </c>
    </row>
    <row r="117" spans="4:5" x14ac:dyDescent="0.45">
      <c r="D117">
        <v>11</v>
      </c>
      <c r="E117">
        <v>5</v>
      </c>
    </row>
    <row r="118" spans="4:5" x14ac:dyDescent="0.45">
      <c r="D118">
        <v>4</v>
      </c>
      <c r="E118">
        <v>14</v>
      </c>
    </row>
    <row r="119" spans="4:5" x14ac:dyDescent="0.45">
      <c r="D119">
        <v>8</v>
      </c>
      <c r="E119">
        <v>11</v>
      </c>
    </row>
    <row r="120" spans="4:5" x14ac:dyDescent="0.45">
      <c r="D120">
        <v>9</v>
      </c>
      <c r="E120">
        <v>9</v>
      </c>
    </row>
    <row r="121" spans="4:5" x14ac:dyDescent="0.45">
      <c r="D121">
        <v>3</v>
      </c>
      <c r="E121">
        <v>19</v>
      </c>
    </row>
    <row r="122" spans="4:5" x14ac:dyDescent="0.45">
      <c r="D122">
        <v>12</v>
      </c>
      <c r="E122">
        <v>7</v>
      </c>
    </row>
    <row r="123" spans="4:5" x14ac:dyDescent="0.45">
      <c r="D123">
        <v>3</v>
      </c>
      <c r="E123">
        <v>8</v>
      </c>
    </row>
    <row r="124" spans="4:5" x14ac:dyDescent="0.45">
      <c r="D124">
        <v>14</v>
      </c>
      <c r="E124">
        <v>20</v>
      </c>
    </row>
    <row r="125" spans="4:5" x14ac:dyDescent="0.45">
      <c r="D125">
        <v>8</v>
      </c>
      <c r="E125">
        <v>13</v>
      </c>
    </row>
    <row r="126" spans="4:5" x14ac:dyDescent="0.45">
      <c r="D126">
        <v>3</v>
      </c>
      <c r="E126">
        <v>13</v>
      </c>
    </row>
    <row r="127" spans="4:5" x14ac:dyDescent="0.45">
      <c r="D127">
        <v>4</v>
      </c>
      <c r="E127">
        <v>8</v>
      </c>
    </row>
    <row r="128" spans="4:5" x14ac:dyDescent="0.45">
      <c r="D128">
        <v>5</v>
      </c>
      <c r="E128">
        <v>11</v>
      </c>
    </row>
    <row r="129" spans="4:5" x14ac:dyDescent="0.45">
      <c r="D129">
        <v>9</v>
      </c>
      <c r="E129">
        <v>10</v>
      </c>
    </row>
    <row r="130" spans="4:5" x14ac:dyDescent="0.45">
      <c r="D130">
        <v>14</v>
      </c>
      <c r="E130">
        <v>4</v>
      </c>
    </row>
    <row r="131" spans="4:5" x14ac:dyDescent="0.45">
      <c r="D131">
        <v>5</v>
      </c>
      <c r="E131">
        <v>13</v>
      </c>
    </row>
    <row r="132" spans="4:5" x14ac:dyDescent="0.45">
      <c r="D132">
        <v>6</v>
      </c>
      <c r="E132">
        <v>12</v>
      </c>
    </row>
    <row r="133" spans="4:5" x14ac:dyDescent="0.45">
      <c r="D133">
        <v>9</v>
      </c>
      <c r="E133">
        <v>3</v>
      </c>
    </row>
    <row r="134" spans="4:5" x14ac:dyDescent="0.45">
      <c r="D134">
        <v>8</v>
      </c>
      <c r="E134">
        <v>15</v>
      </c>
    </row>
    <row r="135" spans="4:5" x14ac:dyDescent="0.45">
      <c r="D135">
        <v>12</v>
      </c>
      <c r="E135">
        <v>5</v>
      </c>
    </row>
    <row r="136" spans="4:5" x14ac:dyDescent="0.45">
      <c r="D136">
        <v>5</v>
      </c>
      <c r="E136">
        <v>12</v>
      </c>
    </row>
    <row r="137" spans="4:5" x14ac:dyDescent="0.45">
      <c r="D137">
        <v>7</v>
      </c>
      <c r="E137">
        <v>8</v>
      </c>
    </row>
    <row r="138" spans="4:5" x14ac:dyDescent="0.45">
      <c r="D138">
        <v>4</v>
      </c>
      <c r="E138">
        <v>14</v>
      </c>
    </row>
    <row r="139" spans="4:5" x14ac:dyDescent="0.45">
      <c r="D139">
        <v>14</v>
      </c>
      <c r="E139">
        <v>4</v>
      </c>
    </row>
    <row r="140" spans="4:5" x14ac:dyDescent="0.45">
      <c r="D140">
        <v>14</v>
      </c>
      <c r="E140">
        <v>6</v>
      </c>
    </row>
    <row r="141" spans="4:5" x14ac:dyDescent="0.45">
      <c r="D141">
        <v>7</v>
      </c>
      <c r="E141">
        <v>12</v>
      </c>
    </row>
    <row r="142" spans="4:5" x14ac:dyDescent="0.45">
      <c r="D142">
        <v>13</v>
      </c>
      <c r="E142">
        <v>13</v>
      </c>
    </row>
    <row r="143" spans="4:5" x14ac:dyDescent="0.45">
      <c r="D143">
        <v>13</v>
      </c>
      <c r="E143">
        <v>7</v>
      </c>
    </row>
    <row r="144" spans="4:5" x14ac:dyDescent="0.45">
      <c r="D144">
        <v>10</v>
      </c>
      <c r="E144">
        <v>12</v>
      </c>
    </row>
    <row r="145" spans="4:5" x14ac:dyDescent="0.45">
      <c r="D145">
        <v>7</v>
      </c>
      <c r="E145">
        <v>12</v>
      </c>
    </row>
    <row r="146" spans="4:5" x14ac:dyDescent="0.45">
      <c r="D146">
        <v>8</v>
      </c>
      <c r="E146">
        <v>11</v>
      </c>
    </row>
    <row r="147" spans="4:5" x14ac:dyDescent="0.45">
      <c r="D147">
        <v>12</v>
      </c>
      <c r="E147">
        <v>13</v>
      </c>
    </row>
    <row r="148" spans="4:5" x14ac:dyDescent="0.45">
      <c r="D148">
        <v>10</v>
      </c>
      <c r="E148">
        <v>9</v>
      </c>
    </row>
    <row r="149" spans="4:5" x14ac:dyDescent="0.45">
      <c r="D149">
        <v>4</v>
      </c>
      <c r="E149">
        <v>7</v>
      </c>
    </row>
    <row r="150" spans="4:5" x14ac:dyDescent="0.45">
      <c r="D150">
        <v>12</v>
      </c>
      <c r="E150">
        <v>8</v>
      </c>
    </row>
    <row r="151" spans="4:5" x14ac:dyDescent="0.45">
      <c r="D151">
        <v>7</v>
      </c>
      <c r="E151">
        <v>12</v>
      </c>
    </row>
    <row r="152" spans="4:5" x14ac:dyDescent="0.45">
      <c r="D152">
        <v>12</v>
      </c>
      <c r="E152">
        <v>12</v>
      </c>
    </row>
    <row r="153" spans="4:5" x14ac:dyDescent="0.45">
      <c r="D153">
        <v>13</v>
      </c>
      <c r="E153">
        <v>10</v>
      </c>
    </row>
    <row r="154" spans="4:5" x14ac:dyDescent="0.45">
      <c r="D154">
        <v>7</v>
      </c>
      <c r="E154">
        <v>3</v>
      </c>
    </row>
    <row r="155" spans="4:5" x14ac:dyDescent="0.45">
      <c r="D155">
        <v>14</v>
      </c>
      <c r="E155">
        <v>20</v>
      </c>
    </row>
    <row r="156" spans="4:5" x14ac:dyDescent="0.45">
      <c r="D156">
        <v>6</v>
      </c>
      <c r="E156">
        <v>9</v>
      </c>
    </row>
    <row r="157" spans="4:5" x14ac:dyDescent="0.45">
      <c r="D157">
        <v>11</v>
      </c>
      <c r="E157">
        <v>3</v>
      </c>
    </row>
    <row r="158" spans="4:5" x14ac:dyDescent="0.45">
      <c r="D158">
        <v>4</v>
      </c>
      <c r="E158">
        <v>7</v>
      </c>
    </row>
    <row r="159" spans="4:5" x14ac:dyDescent="0.45">
      <c r="D159">
        <v>6</v>
      </c>
      <c r="E159">
        <v>9</v>
      </c>
    </row>
    <row r="160" spans="4:5" x14ac:dyDescent="0.45">
      <c r="D160">
        <v>7</v>
      </c>
      <c r="E160">
        <v>13</v>
      </c>
    </row>
    <row r="161" spans="4:5" x14ac:dyDescent="0.45">
      <c r="D161">
        <v>10</v>
      </c>
      <c r="E161">
        <v>13</v>
      </c>
    </row>
    <row r="162" spans="4:5" x14ac:dyDescent="0.45">
      <c r="D162">
        <v>8</v>
      </c>
      <c r="E162">
        <v>8</v>
      </c>
    </row>
    <row r="163" spans="4:5" x14ac:dyDescent="0.45">
      <c r="D163">
        <v>3</v>
      </c>
      <c r="E163">
        <v>13</v>
      </c>
    </row>
    <row r="164" spans="4:5" x14ac:dyDescent="0.45">
      <c r="D164">
        <v>5</v>
      </c>
      <c r="E164">
        <v>13</v>
      </c>
    </row>
    <row r="165" spans="4:5" x14ac:dyDescent="0.45">
      <c r="D165">
        <v>10</v>
      </c>
      <c r="E165">
        <v>14</v>
      </c>
    </row>
    <row r="166" spans="4:5" x14ac:dyDescent="0.45">
      <c r="D166">
        <v>13</v>
      </c>
      <c r="E166">
        <v>11</v>
      </c>
    </row>
    <row r="167" spans="4:5" x14ac:dyDescent="0.45">
      <c r="D167">
        <v>3</v>
      </c>
      <c r="E167">
        <v>6</v>
      </c>
    </row>
    <row r="168" spans="4:5" x14ac:dyDescent="0.45">
      <c r="D168">
        <v>14</v>
      </c>
      <c r="E168">
        <v>4</v>
      </c>
    </row>
    <row r="169" spans="4:5" x14ac:dyDescent="0.45">
      <c r="D169">
        <v>13</v>
      </c>
      <c r="E169">
        <v>6</v>
      </c>
    </row>
    <row r="170" spans="4:5" x14ac:dyDescent="0.45">
      <c r="D170">
        <v>11</v>
      </c>
      <c r="E170">
        <v>3</v>
      </c>
    </row>
    <row r="171" spans="4:5" x14ac:dyDescent="0.45">
      <c r="D171">
        <v>13</v>
      </c>
      <c r="E171">
        <v>22</v>
      </c>
    </row>
    <row r="172" spans="4:5" x14ac:dyDescent="0.45">
      <c r="D172">
        <v>9</v>
      </c>
      <c r="E172">
        <v>8</v>
      </c>
    </row>
    <row r="173" spans="4:5" x14ac:dyDescent="0.45">
      <c r="D173">
        <v>9</v>
      </c>
      <c r="E173">
        <v>13</v>
      </c>
    </row>
    <row r="174" spans="4:5" x14ac:dyDescent="0.45">
      <c r="D174">
        <v>5</v>
      </c>
      <c r="E174">
        <v>8</v>
      </c>
    </row>
    <row r="175" spans="4:5" x14ac:dyDescent="0.45">
      <c r="D175">
        <v>9</v>
      </c>
      <c r="E175">
        <v>5</v>
      </c>
    </row>
    <row r="176" spans="4:5" x14ac:dyDescent="0.45">
      <c r="D176">
        <v>8</v>
      </c>
      <c r="E176">
        <v>10</v>
      </c>
    </row>
    <row r="177" spans="4:5" x14ac:dyDescent="0.45">
      <c r="D177">
        <v>10</v>
      </c>
      <c r="E177">
        <v>12</v>
      </c>
    </row>
    <row r="178" spans="4:5" x14ac:dyDescent="0.45">
      <c r="D178">
        <v>14</v>
      </c>
      <c r="E178">
        <v>4</v>
      </c>
    </row>
    <row r="179" spans="4:5" x14ac:dyDescent="0.45">
      <c r="D179">
        <v>10</v>
      </c>
      <c r="E179">
        <v>12</v>
      </c>
    </row>
    <row r="180" spans="4:5" x14ac:dyDescent="0.45">
      <c r="D180">
        <v>13</v>
      </c>
      <c r="E180">
        <v>14</v>
      </c>
    </row>
    <row r="181" spans="4:5" x14ac:dyDescent="0.45">
      <c r="D181">
        <v>9</v>
      </c>
      <c r="E181">
        <v>4</v>
      </c>
    </row>
    <row r="182" spans="4:5" x14ac:dyDescent="0.45">
      <c r="D182">
        <v>4</v>
      </c>
      <c r="E182">
        <v>13</v>
      </c>
    </row>
    <row r="183" spans="4:5" x14ac:dyDescent="0.45">
      <c r="D183">
        <v>4</v>
      </c>
      <c r="E183">
        <v>4</v>
      </c>
    </row>
    <row r="184" spans="4:5" x14ac:dyDescent="0.45">
      <c r="D184">
        <v>9</v>
      </c>
      <c r="E184">
        <v>7</v>
      </c>
    </row>
    <row r="185" spans="4:5" x14ac:dyDescent="0.45">
      <c r="D185">
        <v>7</v>
      </c>
      <c r="E185">
        <v>11</v>
      </c>
    </row>
    <row r="186" spans="4:5" x14ac:dyDescent="0.45">
      <c r="D186">
        <v>13</v>
      </c>
      <c r="E186">
        <v>6</v>
      </c>
    </row>
    <row r="187" spans="4:5" x14ac:dyDescent="0.45">
      <c r="D187">
        <v>11</v>
      </c>
      <c r="E187">
        <v>6</v>
      </c>
    </row>
    <row r="188" spans="4:5" x14ac:dyDescent="0.45">
      <c r="D188">
        <v>6</v>
      </c>
      <c r="E188">
        <v>12</v>
      </c>
    </row>
    <row r="189" spans="4:5" x14ac:dyDescent="0.45">
      <c r="D189">
        <v>13</v>
      </c>
      <c r="E189">
        <v>7</v>
      </c>
    </row>
    <row r="190" spans="4:5" x14ac:dyDescent="0.45">
      <c r="D190">
        <v>5</v>
      </c>
      <c r="E190">
        <v>3</v>
      </c>
    </row>
    <row r="191" spans="4:5" x14ac:dyDescent="0.45">
      <c r="D191">
        <v>4</v>
      </c>
      <c r="E191">
        <v>4</v>
      </c>
    </row>
    <row r="192" spans="4:5" x14ac:dyDescent="0.45">
      <c r="D192">
        <v>3</v>
      </c>
      <c r="E192">
        <v>3</v>
      </c>
    </row>
    <row r="193" spans="4:5" x14ac:dyDescent="0.45">
      <c r="D193">
        <v>13</v>
      </c>
      <c r="E193">
        <v>14</v>
      </c>
    </row>
    <row r="194" spans="4:5" x14ac:dyDescent="0.45">
      <c r="D194">
        <v>6</v>
      </c>
      <c r="E194">
        <v>14</v>
      </c>
    </row>
    <row r="195" spans="4:5" x14ac:dyDescent="0.45">
      <c r="D195">
        <v>4</v>
      </c>
      <c r="E195">
        <v>7</v>
      </c>
    </row>
    <row r="196" spans="4:5" x14ac:dyDescent="0.45">
      <c r="D196">
        <v>14</v>
      </c>
      <c r="E196">
        <v>13</v>
      </c>
    </row>
    <row r="197" spans="4:5" x14ac:dyDescent="0.45">
      <c r="D197">
        <v>10</v>
      </c>
      <c r="E197">
        <v>10</v>
      </c>
    </row>
    <row r="198" spans="4:5" x14ac:dyDescent="0.45">
      <c r="D198">
        <v>3</v>
      </c>
      <c r="E198">
        <v>4</v>
      </c>
    </row>
    <row r="199" spans="4:5" x14ac:dyDescent="0.45">
      <c r="D199">
        <v>13</v>
      </c>
      <c r="E199">
        <v>11</v>
      </c>
    </row>
    <row r="200" spans="4:5" x14ac:dyDescent="0.45">
      <c r="D200">
        <v>12</v>
      </c>
      <c r="E200">
        <v>15</v>
      </c>
    </row>
    <row r="201" spans="4:5" x14ac:dyDescent="0.45">
      <c r="D201">
        <v>5</v>
      </c>
      <c r="E201">
        <v>6</v>
      </c>
    </row>
    <row r="202" spans="4:5" x14ac:dyDescent="0.45">
      <c r="D202">
        <v>11</v>
      </c>
      <c r="E202">
        <v>13</v>
      </c>
    </row>
    <row r="203" spans="4:5" x14ac:dyDescent="0.45">
      <c r="D203">
        <v>10</v>
      </c>
      <c r="E203">
        <v>8</v>
      </c>
    </row>
    <row r="204" spans="4:5" x14ac:dyDescent="0.45">
      <c r="D204">
        <v>6</v>
      </c>
      <c r="E204">
        <v>11</v>
      </c>
    </row>
    <row r="205" spans="4:5" x14ac:dyDescent="0.45">
      <c r="D205">
        <v>4</v>
      </c>
      <c r="E205">
        <v>5</v>
      </c>
    </row>
    <row r="206" spans="4:5" x14ac:dyDescent="0.45">
      <c r="D206">
        <v>7</v>
      </c>
      <c r="E206">
        <v>14</v>
      </c>
    </row>
    <row r="207" spans="4:5" x14ac:dyDescent="0.45">
      <c r="D207">
        <v>9</v>
      </c>
      <c r="E207">
        <v>5</v>
      </c>
    </row>
    <row r="208" spans="4:5" x14ac:dyDescent="0.45">
      <c r="D208">
        <v>5</v>
      </c>
      <c r="E208">
        <v>6</v>
      </c>
    </row>
    <row r="209" spans="4:5" x14ac:dyDescent="0.45">
      <c r="D209">
        <v>5</v>
      </c>
      <c r="E209">
        <v>11</v>
      </c>
    </row>
    <row r="210" spans="4:5" x14ac:dyDescent="0.45">
      <c r="D210">
        <v>6</v>
      </c>
      <c r="E210">
        <v>15</v>
      </c>
    </row>
    <row r="211" spans="4:5" x14ac:dyDescent="0.45">
      <c r="D211">
        <v>6</v>
      </c>
      <c r="E211">
        <v>4</v>
      </c>
    </row>
    <row r="212" spans="4:5" x14ac:dyDescent="0.45">
      <c r="D212">
        <v>6</v>
      </c>
      <c r="E212">
        <v>9</v>
      </c>
    </row>
    <row r="213" spans="4:5" x14ac:dyDescent="0.45">
      <c r="D213">
        <v>6</v>
      </c>
      <c r="E213">
        <v>10</v>
      </c>
    </row>
    <row r="214" spans="4:5" x14ac:dyDescent="0.45">
      <c r="D214">
        <v>6</v>
      </c>
      <c r="E214">
        <v>5</v>
      </c>
    </row>
    <row r="215" spans="4:5" x14ac:dyDescent="0.45">
      <c r="D215">
        <v>9</v>
      </c>
      <c r="E215">
        <v>9</v>
      </c>
    </row>
    <row r="216" spans="4:5" x14ac:dyDescent="0.45">
      <c r="D216">
        <v>9</v>
      </c>
      <c r="E216">
        <v>6</v>
      </c>
    </row>
    <row r="217" spans="4:5" x14ac:dyDescent="0.45">
      <c r="D217">
        <v>1</v>
      </c>
      <c r="E217">
        <v>4</v>
      </c>
    </row>
    <row r="218" spans="4:5" x14ac:dyDescent="0.45">
      <c r="D218">
        <v>5</v>
      </c>
      <c r="E218">
        <v>7</v>
      </c>
    </row>
    <row r="219" spans="4:5" x14ac:dyDescent="0.45">
      <c r="D219">
        <v>4</v>
      </c>
      <c r="E219">
        <v>6</v>
      </c>
    </row>
    <row r="220" spans="4:5" x14ac:dyDescent="0.45">
      <c r="D220">
        <v>1</v>
      </c>
      <c r="E220">
        <v>9</v>
      </c>
    </row>
    <row r="221" spans="4:5" x14ac:dyDescent="0.45">
      <c r="D221">
        <v>3</v>
      </c>
      <c r="E221">
        <v>2</v>
      </c>
    </row>
    <row r="222" spans="4:5" x14ac:dyDescent="0.45">
      <c r="D222">
        <v>8</v>
      </c>
      <c r="E222">
        <v>10</v>
      </c>
    </row>
    <row r="223" spans="4:5" x14ac:dyDescent="0.45">
      <c r="D223">
        <v>2</v>
      </c>
      <c r="E223">
        <v>5</v>
      </c>
    </row>
    <row r="224" spans="4:5" x14ac:dyDescent="0.45">
      <c r="D224">
        <v>8</v>
      </c>
      <c r="E224">
        <v>13</v>
      </c>
    </row>
    <row r="225" spans="4:5" x14ac:dyDescent="0.45">
      <c r="D225">
        <v>5</v>
      </c>
      <c r="E225">
        <v>15</v>
      </c>
    </row>
    <row r="226" spans="4:5" x14ac:dyDescent="0.45">
      <c r="D226">
        <v>7</v>
      </c>
      <c r="E226">
        <v>11</v>
      </c>
    </row>
    <row r="227" spans="4:5" x14ac:dyDescent="0.45">
      <c r="D227">
        <v>1</v>
      </c>
      <c r="E227">
        <v>15</v>
      </c>
    </row>
    <row r="228" spans="4:5" x14ac:dyDescent="0.45">
      <c r="D228">
        <v>7</v>
      </c>
      <c r="E228">
        <v>3</v>
      </c>
    </row>
    <row r="229" spans="4:5" x14ac:dyDescent="0.45">
      <c r="D229">
        <v>7</v>
      </c>
      <c r="E229">
        <v>9</v>
      </c>
    </row>
    <row r="230" spans="4:5" x14ac:dyDescent="0.45">
      <c r="D230">
        <v>5</v>
      </c>
      <c r="E230">
        <v>10</v>
      </c>
    </row>
    <row r="231" spans="4:5" x14ac:dyDescent="0.45">
      <c r="D231">
        <v>5</v>
      </c>
      <c r="E231">
        <v>7</v>
      </c>
    </row>
    <row r="232" spans="4:5" x14ac:dyDescent="0.45">
      <c r="D232">
        <v>1</v>
      </c>
      <c r="E232">
        <v>6</v>
      </c>
    </row>
    <row r="233" spans="4:5" x14ac:dyDescent="0.45">
      <c r="D233">
        <v>8</v>
      </c>
      <c r="E233">
        <v>14</v>
      </c>
    </row>
    <row r="234" spans="4:5" x14ac:dyDescent="0.45">
      <c r="D234">
        <v>8</v>
      </c>
      <c r="E234">
        <v>8</v>
      </c>
    </row>
    <row r="235" spans="4:5" x14ac:dyDescent="0.45">
      <c r="D235">
        <v>5</v>
      </c>
      <c r="E235">
        <v>4</v>
      </c>
    </row>
    <row r="236" spans="4:5" x14ac:dyDescent="0.45">
      <c r="D236">
        <v>7</v>
      </c>
      <c r="E236">
        <v>11</v>
      </c>
    </row>
    <row r="237" spans="4:5" x14ac:dyDescent="0.45">
      <c r="D237">
        <v>5</v>
      </c>
      <c r="E237">
        <v>9</v>
      </c>
    </row>
    <row r="238" spans="4:5" x14ac:dyDescent="0.45">
      <c r="D238">
        <v>2</v>
      </c>
      <c r="E238">
        <v>4</v>
      </c>
    </row>
    <row r="239" spans="4:5" x14ac:dyDescent="0.45">
      <c r="D239">
        <v>9</v>
      </c>
      <c r="E239">
        <v>7</v>
      </c>
    </row>
    <row r="240" spans="4:5" x14ac:dyDescent="0.45">
      <c r="D240">
        <v>11</v>
      </c>
      <c r="E240">
        <v>7</v>
      </c>
    </row>
    <row r="241" spans="4:5" x14ac:dyDescent="0.45">
      <c r="D241">
        <v>3</v>
      </c>
      <c r="E241">
        <v>7</v>
      </c>
    </row>
    <row r="242" spans="4:5" x14ac:dyDescent="0.45">
      <c r="D242">
        <v>2</v>
      </c>
      <c r="E242">
        <v>15</v>
      </c>
    </row>
    <row r="243" spans="4:5" x14ac:dyDescent="0.45">
      <c r="D243">
        <v>1</v>
      </c>
      <c r="E243">
        <v>6</v>
      </c>
    </row>
    <row r="244" spans="4:5" x14ac:dyDescent="0.45">
      <c r="D244">
        <v>3</v>
      </c>
      <c r="E244">
        <v>2</v>
      </c>
    </row>
    <row r="245" spans="4:5" x14ac:dyDescent="0.45">
      <c r="D245">
        <v>5</v>
      </c>
      <c r="E245">
        <v>10</v>
      </c>
    </row>
    <row r="246" spans="4:5" x14ac:dyDescent="0.45">
      <c r="D246">
        <v>9</v>
      </c>
      <c r="E246">
        <v>4</v>
      </c>
    </row>
    <row r="247" spans="4:5" x14ac:dyDescent="0.45">
      <c r="D247">
        <v>7</v>
      </c>
      <c r="E247">
        <v>11</v>
      </c>
    </row>
    <row r="248" spans="4:5" x14ac:dyDescent="0.45">
      <c r="D248">
        <v>7</v>
      </c>
      <c r="E248">
        <v>11</v>
      </c>
    </row>
    <row r="249" spans="4:5" x14ac:dyDescent="0.45">
      <c r="D249">
        <v>10</v>
      </c>
      <c r="E249">
        <v>6</v>
      </c>
    </row>
    <row r="250" spans="4:5" x14ac:dyDescent="0.45">
      <c r="D250">
        <v>1</v>
      </c>
      <c r="E250">
        <v>8</v>
      </c>
    </row>
    <row r="251" spans="4:5" x14ac:dyDescent="0.45">
      <c r="D251">
        <v>2</v>
      </c>
      <c r="E251">
        <v>13</v>
      </c>
    </row>
    <row r="252" spans="4:5" x14ac:dyDescent="0.45">
      <c r="D252">
        <v>9</v>
      </c>
      <c r="E252">
        <v>2</v>
      </c>
    </row>
    <row r="253" spans="4:5" x14ac:dyDescent="0.45">
      <c r="D253">
        <v>7</v>
      </c>
      <c r="E253">
        <v>13</v>
      </c>
    </row>
    <row r="254" spans="4:5" x14ac:dyDescent="0.45">
      <c r="D254">
        <v>1</v>
      </c>
      <c r="E254">
        <v>13</v>
      </c>
    </row>
    <row r="255" spans="4:5" x14ac:dyDescent="0.45">
      <c r="D255">
        <v>8</v>
      </c>
      <c r="E255">
        <v>7</v>
      </c>
    </row>
    <row r="256" spans="4:5" x14ac:dyDescent="0.45">
      <c r="D256">
        <v>10</v>
      </c>
      <c r="E256">
        <v>10</v>
      </c>
    </row>
    <row r="257" spans="4:5" x14ac:dyDescent="0.45">
      <c r="D257">
        <v>3</v>
      </c>
      <c r="E257">
        <v>9</v>
      </c>
    </row>
    <row r="258" spans="4:5" x14ac:dyDescent="0.45">
      <c r="D258">
        <v>7</v>
      </c>
      <c r="E258">
        <v>3</v>
      </c>
    </row>
    <row r="259" spans="4:5" x14ac:dyDescent="0.45">
      <c r="D259">
        <v>10</v>
      </c>
      <c r="E259">
        <v>14</v>
      </c>
    </row>
    <row r="260" spans="4:5" x14ac:dyDescent="0.45">
      <c r="D260">
        <v>8</v>
      </c>
      <c r="E260">
        <v>10</v>
      </c>
    </row>
    <row r="261" spans="4:5" x14ac:dyDescent="0.45">
      <c r="D261">
        <v>10</v>
      </c>
      <c r="E261">
        <v>13</v>
      </c>
    </row>
    <row r="262" spans="4:5" x14ac:dyDescent="0.45">
      <c r="D262">
        <v>5</v>
      </c>
      <c r="E262">
        <v>5</v>
      </c>
    </row>
    <row r="263" spans="4:5" x14ac:dyDescent="0.45">
      <c r="D263">
        <v>9</v>
      </c>
      <c r="E263">
        <v>6</v>
      </c>
    </row>
    <row r="264" spans="4:5" x14ac:dyDescent="0.45">
      <c r="D264">
        <v>1</v>
      </c>
      <c r="E264">
        <v>6</v>
      </c>
    </row>
    <row r="265" spans="4:5" x14ac:dyDescent="0.45">
      <c r="D265">
        <v>8</v>
      </c>
      <c r="E265">
        <v>6</v>
      </c>
    </row>
    <row r="266" spans="4:5" x14ac:dyDescent="0.45">
      <c r="D266">
        <v>9</v>
      </c>
      <c r="E266">
        <v>6</v>
      </c>
    </row>
    <row r="267" spans="4:5" x14ac:dyDescent="0.45">
      <c r="D267">
        <v>9</v>
      </c>
      <c r="E267">
        <v>7</v>
      </c>
    </row>
    <row r="268" spans="4:5" x14ac:dyDescent="0.45">
      <c r="D268">
        <v>2</v>
      </c>
      <c r="E268">
        <v>6</v>
      </c>
    </row>
    <row r="269" spans="4:5" x14ac:dyDescent="0.45">
      <c r="D269">
        <v>10</v>
      </c>
      <c r="E269">
        <v>5</v>
      </c>
    </row>
    <row r="270" spans="4:5" x14ac:dyDescent="0.45">
      <c r="D270">
        <v>7</v>
      </c>
      <c r="E270">
        <v>6</v>
      </c>
    </row>
    <row r="271" spans="4:5" x14ac:dyDescent="0.45">
      <c r="D271">
        <v>7</v>
      </c>
      <c r="E271">
        <v>4</v>
      </c>
    </row>
    <row r="272" spans="4:5" x14ac:dyDescent="0.45">
      <c r="D272">
        <v>1</v>
      </c>
      <c r="E272">
        <v>2</v>
      </c>
    </row>
    <row r="273" spans="4:5" x14ac:dyDescent="0.45">
      <c r="D273">
        <v>10</v>
      </c>
      <c r="E273">
        <v>6</v>
      </c>
    </row>
    <row r="274" spans="4:5" x14ac:dyDescent="0.45">
      <c r="D274">
        <v>3</v>
      </c>
      <c r="E274">
        <v>4</v>
      </c>
    </row>
    <row r="275" spans="4:5" x14ac:dyDescent="0.45">
      <c r="D275">
        <v>6</v>
      </c>
      <c r="E275">
        <v>12</v>
      </c>
    </row>
    <row r="276" spans="4:5" x14ac:dyDescent="0.45">
      <c r="D276">
        <v>1</v>
      </c>
      <c r="E276">
        <v>10</v>
      </c>
    </row>
    <row r="277" spans="4:5" x14ac:dyDescent="0.45">
      <c r="D277">
        <v>6</v>
      </c>
      <c r="E277">
        <v>9</v>
      </c>
    </row>
    <row r="278" spans="4:5" x14ac:dyDescent="0.45">
      <c r="D278">
        <v>4</v>
      </c>
      <c r="E278">
        <v>7</v>
      </c>
    </row>
    <row r="279" spans="4:5" x14ac:dyDescent="0.45">
      <c r="D279">
        <v>6</v>
      </c>
      <c r="E279">
        <v>2</v>
      </c>
    </row>
    <row r="280" spans="4:5" x14ac:dyDescent="0.45">
      <c r="D280">
        <v>4</v>
      </c>
      <c r="E280">
        <v>4</v>
      </c>
    </row>
    <row r="281" spans="4:5" x14ac:dyDescent="0.45">
      <c r="D281">
        <v>6</v>
      </c>
      <c r="E281">
        <v>9</v>
      </c>
    </row>
    <row r="282" spans="4:5" x14ac:dyDescent="0.45">
      <c r="D282">
        <v>6</v>
      </c>
      <c r="E282">
        <v>6</v>
      </c>
    </row>
    <row r="283" spans="4:5" x14ac:dyDescent="0.45">
      <c r="D283">
        <v>4</v>
      </c>
      <c r="E283">
        <v>3</v>
      </c>
    </row>
    <row r="284" spans="4:5" x14ac:dyDescent="0.45">
      <c r="D284">
        <v>7</v>
      </c>
      <c r="E284">
        <v>7</v>
      </c>
    </row>
    <row r="285" spans="4:5" x14ac:dyDescent="0.45">
      <c r="D285">
        <v>10</v>
      </c>
      <c r="E285">
        <v>6</v>
      </c>
    </row>
    <row r="286" spans="4:5" x14ac:dyDescent="0.45">
      <c r="D286">
        <v>5</v>
      </c>
      <c r="E286">
        <v>3</v>
      </c>
    </row>
    <row r="287" spans="4:5" x14ac:dyDescent="0.45">
      <c r="D287">
        <v>3</v>
      </c>
      <c r="E287">
        <v>9</v>
      </c>
    </row>
    <row r="288" spans="4:5" x14ac:dyDescent="0.45">
      <c r="D288">
        <v>9</v>
      </c>
      <c r="E288">
        <v>5</v>
      </c>
    </row>
    <row r="289" spans="4:5" x14ac:dyDescent="0.45">
      <c r="D289">
        <v>3</v>
      </c>
      <c r="E289">
        <v>11</v>
      </c>
    </row>
    <row r="290" spans="4:5" x14ac:dyDescent="0.45">
      <c r="D290">
        <v>4</v>
      </c>
      <c r="E290">
        <v>6</v>
      </c>
    </row>
    <row r="291" spans="4:5" x14ac:dyDescent="0.45">
      <c r="D291">
        <v>9</v>
      </c>
      <c r="E291">
        <v>2</v>
      </c>
    </row>
    <row r="292" spans="4:5" x14ac:dyDescent="0.45">
      <c r="D292">
        <v>7</v>
      </c>
      <c r="E292">
        <v>15</v>
      </c>
    </row>
    <row r="293" spans="4:5" x14ac:dyDescent="0.45">
      <c r="D293">
        <v>3</v>
      </c>
      <c r="E293">
        <v>4</v>
      </c>
    </row>
    <row r="294" spans="4:5" x14ac:dyDescent="0.45">
      <c r="D294">
        <v>2</v>
      </c>
      <c r="E294">
        <v>12</v>
      </c>
    </row>
    <row r="295" spans="4:5" x14ac:dyDescent="0.45">
      <c r="D295">
        <v>2</v>
      </c>
      <c r="E295">
        <v>8</v>
      </c>
    </row>
    <row r="296" spans="4:5" x14ac:dyDescent="0.45">
      <c r="D296">
        <v>6</v>
      </c>
      <c r="E296">
        <v>6</v>
      </c>
    </row>
    <row r="297" spans="4:5" x14ac:dyDescent="0.45">
      <c r="D297">
        <v>10</v>
      </c>
      <c r="E297">
        <v>15</v>
      </c>
    </row>
    <row r="298" spans="4:5" x14ac:dyDescent="0.45">
      <c r="D298">
        <v>10</v>
      </c>
      <c r="E298">
        <v>14</v>
      </c>
    </row>
    <row r="299" spans="4:5" x14ac:dyDescent="0.45">
      <c r="D299">
        <v>6</v>
      </c>
      <c r="E299">
        <v>3</v>
      </c>
    </row>
    <row r="300" spans="4:5" x14ac:dyDescent="0.45">
      <c r="D300">
        <v>4</v>
      </c>
      <c r="E300">
        <v>7</v>
      </c>
    </row>
    <row r="301" spans="4:5" x14ac:dyDescent="0.45">
      <c r="D301">
        <v>7</v>
      </c>
      <c r="E301">
        <v>14</v>
      </c>
    </row>
    <row r="302" spans="4:5" x14ac:dyDescent="0.45">
      <c r="D302">
        <v>4</v>
      </c>
      <c r="E302">
        <v>9</v>
      </c>
    </row>
    <row r="303" spans="4:5" x14ac:dyDescent="0.45">
      <c r="D303">
        <v>1</v>
      </c>
      <c r="E303">
        <v>4</v>
      </c>
    </row>
    <row r="304" spans="4:5" x14ac:dyDescent="0.45">
      <c r="D304">
        <v>9</v>
      </c>
      <c r="E304">
        <v>7</v>
      </c>
    </row>
    <row r="305" spans="4:5" x14ac:dyDescent="0.45">
      <c r="D305">
        <v>3</v>
      </c>
      <c r="E305">
        <v>14</v>
      </c>
    </row>
    <row r="306" spans="4:5" x14ac:dyDescent="0.45">
      <c r="D306">
        <v>6</v>
      </c>
      <c r="E306">
        <v>10</v>
      </c>
    </row>
    <row r="307" spans="4:5" x14ac:dyDescent="0.45">
      <c r="D307">
        <v>3</v>
      </c>
      <c r="E307">
        <v>6</v>
      </c>
    </row>
    <row r="308" spans="4:5" x14ac:dyDescent="0.45">
      <c r="D308">
        <v>4</v>
      </c>
      <c r="E308">
        <v>4</v>
      </c>
    </row>
    <row r="309" spans="4:5" x14ac:dyDescent="0.45">
      <c r="D309">
        <v>6</v>
      </c>
      <c r="E309">
        <v>13</v>
      </c>
    </row>
    <row r="310" spans="4:5" x14ac:dyDescent="0.45">
      <c r="D310">
        <v>1</v>
      </c>
      <c r="E310">
        <v>6</v>
      </c>
    </row>
    <row r="311" spans="4:5" x14ac:dyDescent="0.45">
      <c r="D311">
        <v>1</v>
      </c>
      <c r="E311">
        <v>6</v>
      </c>
    </row>
    <row r="312" spans="4:5" x14ac:dyDescent="0.45">
      <c r="D312">
        <v>3</v>
      </c>
      <c r="E312">
        <v>4</v>
      </c>
    </row>
    <row r="313" spans="4:5" x14ac:dyDescent="0.45">
      <c r="D313">
        <v>8</v>
      </c>
      <c r="E313">
        <v>11</v>
      </c>
    </row>
    <row r="314" spans="4:5" x14ac:dyDescent="0.45">
      <c r="D314">
        <v>1</v>
      </c>
      <c r="E314">
        <v>8</v>
      </c>
    </row>
    <row r="315" spans="4:5" x14ac:dyDescent="0.45">
      <c r="D315">
        <v>8</v>
      </c>
      <c r="E315">
        <v>7</v>
      </c>
    </row>
    <row r="316" spans="4:5" x14ac:dyDescent="0.45">
      <c r="D316">
        <v>8</v>
      </c>
      <c r="E316">
        <v>12</v>
      </c>
    </row>
    <row r="317" spans="4:5" x14ac:dyDescent="0.45">
      <c r="D317">
        <v>6</v>
      </c>
      <c r="E317">
        <v>8</v>
      </c>
    </row>
    <row r="318" spans="4:5" x14ac:dyDescent="0.45">
      <c r="D318">
        <v>10</v>
      </c>
    </row>
    <row r="319" spans="4:5" x14ac:dyDescent="0.45">
      <c r="D319">
        <v>2</v>
      </c>
    </row>
    <row r="320" spans="4:5" x14ac:dyDescent="0.45">
      <c r="D320">
        <v>6</v>
      </c>
    </row>
    <row r="321" spans="4:4" x14ac:dyDescent="0.45">
      <c r="D321">
        <v>10</v>
      </c>
    </row>
    <row r="322" spans="4:4" x14ac:dyDescent="0.45">
      <c r="D322">
        <v>1</v>
      </c>
    </row>
    <row r="323" spans="4:4" x14ac:dyDescent="0.45">
      <c r="D323">
        <v>3</v>
      </c>
    </row>
    <row r="324" spans="4:4" x14ac:dyDescent="0.45">
      <c r="D324">
        <v>1</v>
      </c>
    </row>
    <row r="325" spans="4:4" x14ac:dyDescent="0.45">
      <c r="D325">
        <v>1</v>
      </c>
    </row>
    <row r="326" spans="4:4" x14ac:dyDescent="0.45">
      <c r="D326">
        <v>2</v>
      </c>
    </row>
    <row r="327" spans="4:4" x14ac:dyDescent="0.45">
      <c r="D327">
        <v>1</v>
      </c>
    </row>
    <row r="328" spans="4:4" x14ac:dyDescent="0.45">
      <c r="D328">
        <v>8</v>
      </c>
    </row>
    <row r="329" spans="4:4" x14ac:dyDescent="0.45">
      <c r="D329">
        <v>10</v>
      </c>
    </row>
    <row r="330" spans="4:4" x14ac:dyDescent="0.45">
      <c r="D330">
        <v>10</v>
      </c>
    </row>
    <row r="331" spans="4:4" x14ac:dyDescent="0.45">
      <c r="D331">
        <v>2</v>
      </c>
    </row>
    <row r="332" spans="4:4" x14ac:dyDescent="0.45">
      <c r="D332">
        <v>3</v>
      </c>
    </row>
    <row r="333" spans="4:4" x14ac:dyDescent="0.45">
      <c r="D333">
        <v>7</v>
      </c>
    </row>
    <row r="334" spans="4:4" x14ac:dyDescent="0.45">
      <c r="D334">
        <v>6</v>
      </c>
    </row>
    <row r="335" spans="4:4" x14ac:dyDescent="0.45">
      <c r="D335">
        <v>4</v>
      </c>
    </row>
    <row r="336" spans="4:4" x14ac:dyDescent="0.45">
      <c r="D336">
        <v>5</v>
      </c>
    </row>
    <row r="337" spans="4:5" x14ac:dyDescent="0.45">
      <c r="D337">
        <v>7</v>
      </c>
      <c r="E337">
        <v>13</v>
      </c>
    </row>
    <row r="338" spans="4:5" x14ac:dyDescent="0.45">
      <c r="D338">
        <v>13</v>
      </c>
      <c r="E338">
        <v>6</v>
      </c>
    </row>
    <row r="339" spans="4:5" x14ac:dyDescent="0.45">
      <c r="D339">
        <v>10</v>
      </c>
      <c r="E339">
        <v>4</v>
      </c>
    </row>
    <row r="340" spans="4:5" x14ac:dyDescent="0.45">
      <c r="D340">
        <v>3</v>
      </c>
      <c r="E340">
        <v>4</v>
      </c>
    </row>
    <row r="341" spans="4:5" x14ac:dyDescent="0.45">
      <c r="D341">
        <v>13</v>
      </c>
      <c r="E341">
        <v>11</v>
      </c>
    </row>
    <row r="342" spans="4:5" x14ac:dyDescent="0.45">
      <c r="D342">
        <v>6</v>
      </c>
      <c r="E342">
        <v>14</v>
      </c>
    </row>
    <row r="343" spans="4:5" x14ac:dyDescent="0.45">
      <c r="D343">
        <v>4</v>
      </c>
      <c r="E343">
        <v>10</v>
      </c>
    </row>
    <row r="344" spans="4:5" x14ac:dyDescent="0.45">
      <c r="D344">
        <v>4</v>
      </c>
      <c r="E344">
        <v>15</v>
      </c>
    </row>
    <row r="345" spans="4:5" x14ac:dyDescent="0.45">
      <c r="D345">
        <v>11</v>
      </c>
      <c r="E345">
        <v>3</v>
      </c>
    </row>
    <row r="346" spans="4:5" x14ac:dyDescent="0.45">
      <c r="D346">
        <v>14</v>
      </c>
      <c r="E346">
        <v>13</v>
      </c>
    </row>
    <row r="347" spans="4:5" x14ac:dyDescent="0.45">
      <c r="D347">
        <v>10</v>
      </c>
      <c r="E347">
        <v>12</v>
      </c>
    </row>
    <row r="348" spans="4:5" x14ac:dyDescent="0.45">
      <c r="D348">
        <v>15</v>
      </c>
      <c r="E348">
        <v>5</v>
      </c>
    </row>
    <row r="349" spans="4:5" x14ac:dyDescent="0.45">
      <c r="D349">
        <v>3</v>
      </c>
      <c r="E349">
        <v>11</v>
      </c>
    </row>
    <row r="350" spans="4:5" x14ac:dyDescent="0.45">
      <c r="D350">
        <v>13</v>
      </c>
      <c r="E350">
        <v>6</v>
      </c>
    </row>
    <row r="351" spans="4:5" x14ac:dyDescent="0.45">
      <c r="D351">
        <v>12</v>
      </c>
      <c r="E351">
        <v>10</v>
      </c>
    </row>
    <row r="352" spans="4:5" x14ac:dyDescent="0.45">
      <c r="D352">
        <v>5</v>
      </c>
      <c r="E352">
        <v>6</v>
      </c>
    </row>
    <row r="353" spans="4:5" x14ac:dyDescent="0.45">
      <c r="D353">
        <v>11</v>
      </c>
      <c r="E353">
        <v>13</v>
      </c>
    </row>
    <row r="354" spans="4:5" x14ac:dyDescent="0.45">
      <c r="D354">
        <v>6</v>
      </c>
      <c r="E354">
        <v>8</v>
      </c>
    </row>
    <row r="355" spans="4:5" x14ac:dyDescent="0.45">
      <c r="D355">
        <v>10</v>
      </c>
      <c r="E355">
        <v>11</v>
      </c>
    </row>
    <row r="356" spans="4:5" x14ac:dyDescent="0.45">
      <c r="D356">
        <v>6</v>
      </c>
      <c r="E356">
        <v>5</v>
      </c>
    </row>
    <row r="357" spans="4:5" x14ac:dyDescent="0.45">
      <c r="D357">
        <v>13</v>
      </c>
      <c r="E357">
        <v>4</v>
      </c>
    </row>
    <row r="358" spans="4:5" x14ac:dyDescent="0.45">
      <c r="D358">
        <v>8</v>
      </c>
      <c r="E358">
        <v>7</v>
      </c>
    </row>
    <row r="359" spans="4:5" x14ac:dyDescent="0.45">
      <c r="D359">
        <v>11</v>
      </c>
      <c r="E359">
        <v>14</v>
      </c>
    </row>
    <row r="360" spans="4:5" x14ac:dyDescent="0.45">
      <c r="D360">
        <v>5</v>
      </c>
      <c r="E360">
        <v>9</v>
      </c>
    </row>
    <row r="361" spans="4:5" x14ac:dyDescent="0.45">
      <c r="D361">
        <v>4</v>
      </c>
      <c r="E361">
        <v>5</v>
      </c>
    </row>
    <row r="362" spans="4:5" x14ac:dyDescent="0.45">
      <c r="D362">
        <v>7</v>
      </c>
      <c r="E362">
        <v>5</v>
      </c>
    </row>
    <row r="363" spans="4:5" x14ac:dyDescent="0.45">
      <c r="D363">
        <v>14</v>
      </c>
      <c r="E363">
        <v>5</v>
      </c>
    </row>
    <row r="364" spans="4:5" x14ac:dyDescent="0.45">
      <c r="D364">
        <v>9</v>
      </c>
      <c r="E364">
        <v>6</v>
      </c>
    </row>
    <row r="365" spans="4:5" x14ac:dyDescent="0.45">
      <c r="D365">
        <v>5</v>
      </c>
      <c r="E365">
        <v>6</v>
      </c>
    </row>
    <row r="366" spans="4:5" x14ac:dyDescent="0.45">
      <c r="D366">
        <v>5</v>
      </c>
      <c r="E366">
        <v>6</v>
      </c>
    </row>
    <row r="367" spans="4:5" x14ac:dyDescent="0.45">
      <c r="D367">
        <v>5</v>
      </c>
      <c r="E367">
        <v>6</v>
      </c>
    </row>
    <row r="368" spans="4:5" x14ac:dyDescent="0.45">
      <c r="D368">
        <v>6</v>
      </c>
      <c r="E368">
        <v>6</v>
      </c>
    </row>
    <row r="369" spans="4:5" x14ac:dyDescent="0.45">
      <c r="D369">
        <v>6</v>
      </c>
      <c r="E369">
        <v>9</v>
      </c>
    </row>
    <row r="370" spans="4:5" x14ac:dyDescent="0.45">
      <c r="D370">
        <v>6</v>
      </c>
      <c r="E370">
        <v>6</v>
      </c>
    </row>
    <row r="371" spans="4:5" x14ac:dyDescent="0.45">
      <c r="D371">
        <v>6</v>
      </c>
      <c r="E371">
        <v>9</v>
      </c>
    </row>
    <row r="372" spans="4:5" x14ac:dyDescent="0.45">
      <c r="D372">
        <v>6</v>
      </c>
      <c r="E372">
        <v>11</v>
      </c>
    </row>
    <row r="373" spans="4:5" x14ac:dyDescent="0.45">
      <c r="D373">
        <v>9</v>
      </c>
      <c r="E373">
        <v>15</v>
      </c>
    </row>
    <row r="374" spans="4:5" x14ac:dyDescent="0.45">
      <c r="D374">
        <v>6</v>
      </c>
      <c r="E374">
        <v>4</v>
      </c>
    </row>
    <row r="375" spans="4:5" x14ac:dyDescent="0.45">
      <c r="D375">
        <v>9</v>
      </c>
      <c r="E375">
        <v>9</v>
      </c>
    </row>
    <row r="376" spans="4:5" x14ac:dyDescent="0.45">
      <c r="D376">
        <v>11</v>
      </c>
      <c r="E376">
        <v>1</v>
      </c>
    </row>
    <row r="377" spans="4:5" x14ac:dyDescent="0.45">
      <c r="D377">
        <v>15</v>
      </c>
      <c r="E377">
        <v>5</v>
      </c>
    </row>
    <row r="378" spans="4:5" x14ac:dyDescent="0.45">
      <c r="D378">
        <v>4</v>
      </c>
      <c r="E378">
        <v>10</v>
      </c>
    </row>
    <row r="379" spans="4:5" x14ac:dyDescent="0.45">
      <c r="D379">
        <v>9</v>
      </c>
      <c r="E379">
        <v>4</v>
      </c>
    </row>
    <row r="380" spans="4:5" x14ac:dyDescent="0.45">
      <c r="D380">
        <v>1</v>
      </c>
      <c r="E380">
        <v>5</v>
      </c>
    </row>
    <row r="381" spans="4:5" x14ac:dyDescent="0.45">
      <c r="D381">
        <v>5</v>
      </c>
      <c r="E381">
        <v>9</v>
      </c>
    </row>
    <row r="382" spans="4:5" x14ac:dyDescent="0.45">
      <c r="D382">
        <v>10</v>
      </c>
      <c r="E382">
        <v>1</v>
      </c>
    </row>
    <row r="383" spans="4:5" x14ac:dyDescent="0.45">
      <c r="D383">
        <v>4</v>
      </c>
      <c r="E383">
        <v>3</v>
      </c>
    </row>
    <row r="384" spans="4:5" x14ac:dyDescent="0.45">
      <c r="D384">
        <v>5</v>
      </c>
      <c r="E384">
        <v>8</v>
      </c>
    </row>
    <row r="385" spans="4:5" x14ac:dyDescent="0.45">
      <c r="D385">
        <v>9</v>
      </c>
      <c r="E385">
        <v>6</v>
      </c>
    </row>
    <row r="386" spans="4:5" x14ac:dyDescent="0.45">
      <c r="D386">
        <v>1</v>
      </c>
      <c r="E386">
        <v>2</v>
      </c>
    </row>
    <row r="387" spans="4:5" x14ac:dyDescent="0.45">
      <c r="D387">
        <v>3</v>
      </c>
      <c r="E387">
        <v>8</v>
      </c>
    </row>
    <row r="388" spans="4:5" x14ac:dyDescent="0.45">
      <c r="D388">
        <v>8</v>
      </c>
      <c r="E388">
        <v>4</v>
      </c>
    </row>
    <row r="389" spans="4:5" x14ac:dyDescent="0.45">
      <c r="D389">
        <v>6</v>
      </c>
      <c r="E389">
        <v>5</v>
      </c>
    </row>
    <row r="390" spans="4:5" x14ac:dyDescent="0.45">
      <c r="D390">
        <v>2</v>
      </c>
      <c r="E390">
        <v>7</v>
      </c>
    </row>
    <row r="391" spans="4:5" x14ac:dyDescent="0.45">
      <c r="D391">
        <v>8</v>
      </c>
      <c r="E391">
        <v>7</v>
      </c>
    </row>
    <row r="392" spans="4:5" x14ac:dyDescent="0.45">
      <c r="D392">
        <v>4</v>
      </c>
      <c r="E392">
        <v>6</v>
      </c>
    </row>
    <row r="393" spans="4:5" x14ac:dyDescent="0.45">
      <c r="D393">
        <v>5</v>
      </c>
      <c r="E393">
        <v>1</v>
      </c>
    </row>
    <row r="394" spans="4:5" x14ac:dyDescent="0.45">
      <c r="D394">
        <v>7</v>
      </c>
      <c r="E394">
        <v>9</v>
      </c>
    </row>
    <row r="395" spans="4:5" x14ac:dyDescent="0.45">
      <c r="D395">
        <v>7</v>
      </c>
      <c r="E395">
        <v>2</v>
      </c>
    </row>
    <row r="396" spans="4:5" x14ac:dyDescent="0.45">
      <c r="D396">
        <v>6</v>
      </c>
      <c r="E396">
        <v>10</v>
      </c>
    </row>
    <row r="397" spans="4:5" x14ac:dyDescent="0.45">
      <c r="D397">
        <v>1</v>
      </c>
      <c r="E397">
        <v>7</v>
      </c>
    </row>
    <row r="398" spans="4:5" x14ac:dyDescent="0.45">
      <c r="D398">
        <v>9</v>
      </c>
      <c r="E398">
        <v>7</v>
      </c>
    </row>
    <row r="399" spans="4:5" x14ac:dyDescent="0.45">
      <c r="D399">
        <v>2</v>
      </c>
      <c r="E399">
        <v>5</v>
      </c>
    </row>
    <row r="400" spans="4:5" x14ac:dyDescent="0.45">
      <c r="D400">
        <v>10</v>
      </c>
      <c r="E400">
        <v>5</v>
      </c>
    </row>
    <row r="401" spans="4:5" x14ac:dyDescent="0.45">
      <c r="D401">
        <v>7</v>
      </c>
      <c r="E401">
        <v>13</v>
      </c>
    </row>
    <row r="402" spans="4:5" x14ac:dyDescent="0.45">
      <c r="D402">
        <v>7</v>
      </c>
      <c r="E402">
        <v>5</v>
      </c>
    </row>
    <row r="403" spans="4:5" x14ac:dyDescent="0.45">
      <c r="D403">
        <v>5</v>
      </c>
      <c r="E403">
        <v>1</v>
      </c>
    </row>
    <row r="404" spans="4:5" x14ac:dyDescent="0.45">
      <c r="D404">
        <v>5</v>
      </c>
      <c r="E404">
        <v>15</v>
      </c>
    </row>
    <row r="405" spans="4:5" x14ac:dyDescent="0.45">
      <c r="D405">
        <v>13</v>
      </c>
      <c r="E405">
        <v>8</v>
      </c>
    </row>
    <row r="406" spans="4:5" x14ac:dyDescent="0.45">
      <c r="D406">
        <v>5</v>
      </c>
      <c r="E406">
        <v>11</v>
      </c>
    </row>
    <row r="407" spans="4:5" x14ac:dyDescent="0.45">
      <c r="D407">
        <v>1</v>
      </c>
      <c r="E407">
        <v>8</v>
      </c>
    </row>
    <row r="408" spans="4:5" x14ac:dyDescent="0.45">
      <c r="D408">
        <v>15</v>
      </c>
      <c r="E408">
        <v>5</v>
      </c>
    </row>
    <row r="409" spans="4:5" x14ac:dyDescent="0.45">
      <c r="D409">
        <v>8</v>
      </c>
      <c r="E409">
        <v>7</v>
      </c>
    </row>
    <row r="410" spans="4:5" x14ac:dyDescent="0.45">
      <c r="D410">
        <v>11</v>
      </c>
      <c r="E410">
        <v>15</v>
      </c>
    </row>
    <row r="411" spans="4:5" x14ac:dyDescent="0.45">
      <c r="D411">
        <v>8</v>
      </c>
      <c r="E411">
        <v>5</v>
      </c>
    </row>
    <row r="412" spans="4:5" x14ac:dyDescent="0.45">
      <c r="D412">
        <v>5</v>
      </c>
      <c r="E412">
        <v>2</v>
      </c>
    </row>
    <row r="413" spans="4:5" x14ac:dyDescent="0.45">
      <c r="D413">
        <v>7</v>
      </c>
      <c r="E413">
        <v>9</v>
      </c>
    </row>
    <row r="414" spans="4:5" x14ac:dyDescent="0.45">
      <c r="D414">
        <v>15</v>
      </c>
      <c r="E414">
        <v>3</v>
      </c>
    </row>
    <row r="415" spans="4:5" x14ac:dyDescent="0.45">
      <c r="D415">
        <v>5</v>
      </c>
      <c r="E415">
        <v>9</v>
      </c>
    </row>
    <row r="416" spans="4:5" x14ac:dyDescent="0.45">
      <c r="D416">
        <v>2</v>
      </c>
      <c r="E416">
        <v>10</v>
      </c>
    </row>
    <row r="417" spans="4:5" x14ac:dyDescent="0.45">
      <c r="D417">
        <v>9</v>
      </c>
      <c r="E417">
        <v>11</v>
      </c>
    </row>
    <row r="418" spans="4:5" x14ac:dyDescent="0.45">
      <c r="D418">
        <v>3</v>
      </c>
      <c r="E418">
        <v>3</v>
      </c>
    </row>
    <row r="419" spans="4:5" x14ac:dyDescent="0.45">
      <c r="D419">
        <v>9</v>
      </c>
      <c r="E419">
        <v>7</v>
      </c>
    </row>
    <row r="420" spans="4:5" x14ac:dyDescent="0.45">
      <c r="D420">
        <v>10</v>
      </c>
      <c r="E420">
        <v>6</v>
      </c>
    </row>
    <row r="421" spans="4:5" x14ac:dyDescent="0.45">
      <c r="D421">
        <v>11</v>
      </c>
      <c r="E421">
        <v>2</v>
      </c>
    </row>
    <row r="422" spans="4:5" x14ac:dyDescent="0.45">
      <c r="D422">
        <v>3</v>
      </c>
      <c r="E422">
        <v>14</v>
      </c>
    </row>
    <row r="423" spans="4:5" x14ac:dyDescent="0.45">
      <c r="D423">
        <v>7</v>
      </c>
      <c r="E423">
        <v>8</v>
      </c>
    </row>
    <row r="424" spans="4:5" x14ac:dyDescent="0.45">
      <c r="D424">
        <v>6</v>
      </c>
      <c r="E424">
        <v>1</v>
      </c>
    </row>
    <row r="425" spans="4:5" x14ac:dyDescent="0.45">
      <c r="D425">
        <v>2</v>
      </c>
      <c r="E425">
        <v>3</v>
      </c>
    </row>
    <row r="426" spans="4:5" x14ac:dyDescent="0.45">
      <c r="D426">
        <v>14</v>
      </c>
      <c r="E426">
        <v>4</v>
      </c>
    </row>
    <row r="427" spans="4:5" x14ac:dyDescent="0.45">
      <c r="D427">
        <v>8</v>
      </c>
      <c r="E427">
        <v>11</v>
      </c>
    </row>
    <row r="428" spans="4:5" x14ac:dyDescent="0.45">
      <c r="D428">
        <v>1</v>
      </c>
      <c r="E428">
        <v>5</v>
      </c>
    </row>
    <row r="429" spans="4:5" x14ac:dyDescent="0.45">
      <c r="D429">
        <v>3</v>
      </c>
      <c r="E429">
        <v>9</v>
      </c>
    </row>
    <row r="430" spans="4:5" x14ac:dyDescent="0.45">
      <c r="D430">
        <v>4</v>
      </c>
      <c r="E430">
        <v>9</v>
      </c>
    </row>
    <row r="431" spans="4:5" x14ac:dyDescent="0.45">
      <c r="D431">
        <v>11</v>
      </c>
      <c r="E431">
        <v>4</v>
      </c>
    </row>
    <row r="432" spans="4:5" x14ac:dyDescent="0.45">
      <c r="D432">
        <v>5</v>
      </c>
      <c r="E432">
        <v>7</v>
      </c>
    </row>
    <row r="433" spans="4:5" x14ac:dyDescent="0.45">
      <c r="D433">
        <v>9</v>
      </c>
      <c r="E433">
        <v>7</v>
      </c>
    </row>
    <row r="434" spans="4:5" x14ac:dyDescent="0.45">
      <c r="D434">
        <v>9</v>
      </c>
      <c r="E434">
        <v>10</v>
      </c>
    </row>
    <row r="435" spans="4:5" x14ac:dyDescent="0.45">
      <c r="D435">
        <v>4</v>
      </c>
      <c r="E435">
        <v>1</v>
      </c>
    </row>
    <row r="436" spans="4:5" x14ac:dyDescent="0.45">
      <c r="D436">
        <v>7</v>
      </c>
      <c r="E436">
        <v>2</v>
      </c>
    </row>
    <row r="437" spans="4:5" x14ac:dyDescent="0.45">
      <c r="D437">
        <v>7</v>
      </c>
      <c r="E437">
        <v>9</v>
      </c>
    </row>
    <row r="438" spans="4:5" x14ac:dyDescent="0.45">
      <c r="D438">
        <v>10</v>
      </c>
      <c r="E438">
        <v>7</v>
      </c>
    </row>
    <row r="439" spans="4:5" x14ac:dyDescent="0.45">
      <c r="D439">
        <v>1</v>
      </c>
      <c r="E439">
        <v>1</v>
      </c>
    </row>
    <row r="440" spans="4:5" x14ac:dyDescent="0.45">
      <c r="D440">
        <v>2</v>
      </c>
      <c r="E440">
        <v>7</v>
      </c>
    </row>
    <row r="441" spans="4:5" x14ac:dyDescent="0.45">
      <c r="D441">
        <v>9</v>
      </c>
      <c r="E441">
        <v>7</v>
      </c>
    </row>
    <row r="442" spans="4:5" x14ac:dyDescent="0.45">
      <c r="D442">
        <v>7</v>
      </c>
      <c r="E442">
        <v>8</v>
      </c>
    </row>
    <row r="443" spans="4:5" x14ac:dyDescent="0.45">
      <c r="D443">
        <v>1</v>
      </c>
      <c r="E443">
        <v>7</v>
      </c>
    </row>
    <row r="444" spans="4:5" x14ac:dyDescent="0.45">
      <c r="D444">
        <v>7</v>
      </c>
      <c r="E444">
        <v>15</v>
      </c>
    </row>
    <row r="445" spans="4:5" x14ac:dyDescent="0.45">
      <c r="D445">
        <v>7</v>
      </c>
      <c r="E445">
        <v>10</v>
      </c>
    </row>
    <row r="446" spans="4:5" x14ac:dyDescent="0.45">
      <c r="D446">
        <v>8</v>
      </c>
      <c r="E446">
        <v>6</v>
      </c>
    </row>
    <row r="447" spans="4:5" x14ac:dyDescent="0.45">
      <c r="D447">
        <v>7</v>
      </c>
      <c r="E447">
        <v>2</v>
      </c>
    </row>
    <row r="448" spans="4:5" x14ac:dyDescent="0.45">
      <c r="D448">
        <v>15</v>
      </c>
      <c r="E448">
        <v>10</v>
      </c>
    </row>
    <row r="449" spans="4:5" x14ac:dyDescent="0.45">
      <c r="D449">
        <v>10</v>
      </c>
      <c r="E449">
        <v>3</v>
      </c>
    </row>
    <row r="450" spans="4:5" x14ac:dyDescent="0.45">
      <c r="D450">
        <v>6</v>
      </c>
      <c r="E450">
        <v>4</v>
      </c>
    </row>
    <row r="451" spans="4:5" x14ac:dyDescent="0.45">
      <c r="D451">
        <v>2</v>
      </c>
      <c r="E451">
        <v>7</v>
      </c>
    </row>
    <row r="452" spans="4:5" x14ac:dyDescent="0.45">
      <c r="D452">
        <v>10</v>
      </c>
      <c r="E452">
        <v>11</v>
      </c>
    </row>
    <row r="453" spans="4:5" x14ac:dyDescent="0.45">
      <c r="D453">
        <v>3</v>
      </c>
      <c r="E453">
        <v>10</v>
      </c>
    </row>
    <row r="454" spans="4:5" x14ac:dyDescent="0.45">
      <c r="D454">
        <v>4</v>
      </c>
      <c r="E454">
        <v>11</v>
      </c>
    </row>
    <row r="455" spans="4:5" x14ac:dyDescent="0.45">
      <c r="D455">
        <v>7</v>
      </c>
      <c r="E455">
        <v>6</v>
      </c>
    </row>
    <row r="456" spans="4:5" x14ac:dyDescent="0.45">
      <c r="D456">
        <v>11</v>
      </c>
      <c r="E456">
        <v>8</v>
      </c>
    </row>
    <row r="457" spans="4:5" x14ac:dyDescent="0.45">
      <c r="D457">
        <v>10</v>
      </c>
      <c r="E457">
        <v>13</v>
      </c>
    </row>
    <row r="458" spans="4:5" x14ac:dyDescent="0.45">
      <c r="D458">
        <v>11</v>
      </c>
      <c r="E458">
        <v>8</v>
      </c>
    </row>
    <row r="459" spans="4:5" x14ac:dyDescent="0.45">
      <c r="D459">
        <v>6</v>
      </c>
      <c r="E459">
        <v>2</v>
      </c>
    </row>
    <row r="460" spans="4:5" x14ac:dyDescent="0.45">
      <c r="D460">
        <v>8</v>
      </c>
      <c r="E460">
        <v>13</v>
      </c>
    </row>
    <row r="461" spans="4:5" x14ac:dyDescent="0.45">
      <c r="D461">
        <v>13</v>
      </c>
      <c r="E461">
        <v>13</v>
      </c>
    </row>
    <row r="462" spans="4:5" x14ac:dyDescent="0.45">
      <c r="D462">
        <v>8</v>
      </c>
      <c r="E462">
        <v>7</v>
      </c>
    </row>
    <row r="463" spans="4:5" x14ac:dyDescent="0.45">
      <c r="D463">
        <v>2</v>
      </c>
      <c r="E463">
        <v>10</v>
      </c>
    </row>
    <row r="464" spans="4:5" x14ac:dyDescent="0.45">
      <c r="D464">
        <v>13</v>
      </c>
      <c r="E464">
        <v>5</v>
      </c>
    </row>
    <row r="465" spans="4:5" x14ac:dyDescent="0.45">
      <c r="D465">
        <v>13</v>
      </c>
      <c r="E465">
        <v>10</v>
      </c>
    </row>
    <row r="466" spans="4:5" x14ac:dyDescent="0.45">
      <c r="D466">
        <v>7</v>
      </c>
      <c r="E466">
        <v>9</v>
      </c>
    </row>
    <row r="467" spans="4:5" x14ac:dyDescent="0.45">
      <c r="D467">
        <v>10</v>
      </c>
      <c r="E467">
        <v>9</v>
      </c>
    </row>
    <row r="468" spans="4:5" x14ac:dyDescent="0.45">
      <c r="D468">
        <v>5</v>
      </c>
      <c r="E468">
        <v>1</v>
      </c>
    </row>
    <row r="469" spans="4:5" x14ac:dyDescent="0.45">
      <c r="D469">
        <v>10</v>
      </c>
      <c r="E469">
        <v>8</v>
      </c>
    </row>
    <row r="470" spans="4:5" x14ac:dyDescent="0.45">
      <c r="D470">
        <v>9</v>
      </c>
      <c r="E470">
        <v>9</v>
      </c>
    </row>
    <row r="471" spans="4:5" x14ac:dyDescent="0.45">
      <c r="D471">
        <v>9</v>
      </c>
      <c r="E471">
        <v>9</v>
      </c>
    </row>
    <row r="472" spans="4:5" x14ac:dyDescent="0.45">
      <c r="D472">
        <v>1</v>
      </c>
      <c r="E472">
        <v>3</v>
      </c>
    </row>
    <row r="473" spans="4:5" x14ac:dyDescent="0.45">
      <c r="D473">
        <v>8</v>
      </c>
      <c r="E473">
        <v>14</v>
      </c>
    </row>
    <row r="474" spans="4:5" x14ac:dyDescent="0.45">
      <c r="D474">
        <v>9</v>
      </c>
      <c r="E474">
        <v>10</v>
      </c>
    </row>
    <row r="475" spans="4:5" x14ac:dyDescent="0.45">
      <c r="D475">
        <v>9</v>
      </c>
      <c r="E475">
        <v>13</v>
      </c>
    </row>
    <row r="476" spans="4:5" x14ac:dyDescent="0.45">
      <c r="D476">
        <v>3</v>
      </c>
      <c r="E476">
        <v>2</v>
      </c>
    </row>
    <row r="477" spans="4:5" x14ac:dyDescent="0.45">
      <c r="D477">
        <v>14</v>
      </c>
      <c r="E477">
        <v>5</v>
      </c>
    </row>
    <row r="478" spans="4:5" x14ac:dyDescent="0.45">
      <c r="D478">
        <v>10</v>
      </c>
      <c r="E478">
        <v>6</v>
      </c>
    </row>
    <row r="479" spans="4:5" x14ac:dyDescent="0.45">
      <c r="D479">
        <v>13</v>
      </c>
      <c r="E479">
        <v>6</v>
      </c>
    </row>
    <row r="480" spans="4:5" x14ac:dyDescent="0.45">
      <c r="D480">
        <v>2</v>
      </c>
      <c r="E480">
        <v>10</v>
      </c>
    </row>
    <row r="481" spans="4:5" x14ac:dyDescent="0.45">
      <c r="D481">
        <v>5</v>
      </c>
      <c r="E481">
        <v>7</v>
      </c>
    </row>
    <row r="482" spans="4:5" x14ac:dyDescent="0.45">
      <c r="D482">
        <v>6</v>
      </c>
      <c r="E482">
        <v>6</v>
      </c>
    </row>
    <row r="483" spans="4:5" x14ac:dyDescent="0.45">
      <c r="D483">
        <v>6</v>
      </c>
      <c r="E483">
        <v>6</v>
      </c>
    </row>
    <row r="484" spans="4:5" x14ac:dyDescent="0.45">
      <c r="D484">
        <v>10</v>
      </c>
      <c r="E484">
        <v>7</v>
      </c>
    </row>
    <row r="485" spans="4:5" x14ac:dyDescent="0.45">
      <c r="D485">
        <v>7</v>
      </c>
      <c r="E485">
        <v>7</v>
      </c>
    </row>
    <row r="486" spans="4:5" x14ac:dyDescent="0.45">
      <c r="D486">
        <v>6</v>
      </c>
      <c r="E486">
        <v>1</v>
      </c>
    </row>
    <row r="487" spans="4:5" x14ac:dyDescent="0.45">
      <c r="D487">
        <v>6</v>
      </c>
      <c r="E487">
        <v>6</v>
      </c>
    </row>
    <row r="488" spans="4:5" x14ac:dyDescent="0.45">
      <c r="D488">
        <v>7</v>
      </c>
      <c r="E488">
        <v>10</v>
      </c>
    </row>
    <row r="489" spans="4:5" x14ac:dyDescent="0.45">
      <c r="D489">
        <v>7</v>
      </c>
      <c r="E489">
        <v>3</v>
      </c>
    </row>
    <row r="490" spans="4:5" x14ac:dyDescent="0.45">
      <c r="D490">
        <v>1</v>
      </c>
      <c r="E490">
        <v>6</v>
      </c>
    </row>
    <row r="491" spans="4:5" x14ac:dyDescent="0.45">
      <c r="D491">
        <v>6</v>
      </c>
      <c r="E491">
        <v>1</v>
      </c>
    </row>
    <row r="492" spans="4:5" x14ac:dyDescent="0.45">
      <c r="D492">
        <v>10</v>
      </c>
      <c r="E492">
        <v>6</v>
      </c>
    </row>
    <row r="493" spans="4:5" x14ac:dyDescent="0.45">
      <c r="D493">
        <v>3</v>
      </c>
      <c r="E493">
        <v>4</v>
      </c>
    </row>
    <row r="494" spans="4:5" x14ac:dyDescent="0.45">
      <c r="D494">
        <v>6</v>
      </c>
      <c r="E494">
        <v>6</v>
      </c>
    </row>
    <row r="495" spans="4:5" x14ac:dyDescent="0.45">
      <c r="D495">
        <v>1</v>
      </c>
      <c r="E495">
        <v>4</v>
      </c>
    </row>
    <row r="496" spans="4:5" x14ac:dyDescent="0.45">
      <c r="D496">
        <v>6</v>
      </c>
      <c r="E496">
        <v>6</v>
      </c>
    </row>
    <row r="497" spans="4:5" x14ac:dyDescent="0.45">
      <c r="D497">
        <v>4</v>
      </c>
      <c r="E497">
        <v>6</v>
      </c>
    </row>
    <row r="498" spans="4:5" x14ac:dyDescent="0.45">
      <c r="D498">
        <v>6</v>
      </c>
      <c r="E498">
        <v>4</v>
      </c>
    </row>
    <row r="499" spans="4:5" x14ac:dyDescent="0.45">
      <c r="D499">
        <v>4</v>
      </c>
      <c r="E499">
        <v>5</v>
      </c>
    </row>
    <row r="500" spans="4:5" x14ac:dyDescent="0.45">
      <c r="D500">
        <v>6</v>
      </c>
      <c r="E500">
        <v>6</v>
      </c>
    </row>
    <row r="501" spans="4:5" x14ac:dyDescent="0.45">
      <c r="D501">
        <v>6</v>
      </c>
      <c r="E501">
        <v>7</v>
      </c>
    </row>
    <row r="502" spans="4:5" x14ac:dyDescent="0.45">
      <c r="D502">
        <v>4</v>
      </c>
      <c r="E502">
        <v>10</v>
      </c>
    </row>
    <row r="503" spans="4:5" x14ac:dyDescent="0.45">
      <c r="D503">
        <v>5</v>
      </c>
      <c r="E503">
        <v>4</v>
      </c>
    </row>
    <row r="504" spans="4:5" x14ac:dyDescent="0.45">
      <c r="D504">
        <v>6</v>
      </c>
      <c r="E504">
        <v>2</v>
      </c>
    </row>
    <row r="505" spans="4:5" x14ac:dyDescent="0.45">
      <c r="D505">
        <v>7</v>
      </c>
      <c r="E505">
        <v>5</v>
      </c>
    </row>
    <row r="506" spans="4:5" x14ac:dyDescent="0.45">
      <c r="D506">
        <v>10</v>
      </c>
      <c r="E506">
        <v>6</v>
      </c>
    </row>
    <row r="507" spans="4:5" x14ac:dyDescent="0.45">
      <c r="D507">
        <v>4</v>
      </c>
      <c r="E507">
        <v>4</v>
      </c>
    </row>
    <row r="508" spans="4:5" x14ac:dyDescent="0.45">
      <c r="D508">
        <v>2</v>
      </c>
      <c r="E508">
        <v>12</v>
      </c>
    </row>
    <row r="509" spans="4:5" x14ac:dyDescent="0.45">
      <c r="D509">
        <v>5</v>
      </c>
      <c r="E509">
        <v>3</v>
      </c>
    </row>
    <row r="510" spans="4:5" x14ac:dyDescent="0.45">
      <c r="D510">
        <v>6</v>
      </c>
      <c r="E510">
        <v>9</v>
      </c>
    </row>
    <row r="511" spans="4:5" x14ac:dyDescent="0.45">
      <c r="D511">
        <v>4</v>
      </c>
      <c r="E511">
        <v>3</v>
      </c>
    </row>
    <row r="512" spans="4:5" x14ac:dyDescent="0.45">
      <c r="D512">
        <v>12</v>
      </c>
      <c r="E512">
        <v>4</v>
      </c>
    </row>
    <row r="513" spans="4:5" x14ac:dyDescent="0.45">
      <c r="D513">
        <v>3</v>
      </c>
      <c r="E513">
        <v>9</v>
      </c>
    </row>
    <row r="514" spans="4:5" x14ac:dyDescent="0.45">
      <c r="D514">
        <v>9</v>
      </c>
      <c r="E514">
        <v>7</v>
      </c>
    </row>
    <row r="515" spans="4:5" x14ac:dyDescent="0.45">
      <c r="D515">
        <v>3</v>
      </c>
      <c r="E515">
        <v>10</v>
      </c>
    </row>
    <row r="516" spans="4:5" x14ac:dyDescent="0.45">
      <c r="D516">
        <v>4</v>
      </c>
      <c r="E516">
        <v>3</v>
      </c>
    </row>
    <row r="517" spans="4:5" x14ac:dyDescent="0.45">
      <c r="D517">
        <v>9</v>
      </c>
      <c r="E517">
        <v>9</v>
      </c>
    </row>
    <row r="518" spans="4:5" x14ac:dyDescent="0.45">
      <c r="D518">
        <v>7</v>
      </c>
      <c r="E518">
        <v>7</v>
      </c>
    </row>
    <row r="519" spans="4:5" x14ac:dyDescent="0.45">
      <c r="D519">
        <v>10</v>
      </c>
      <c r="E519">
        <v>2</v>
      </c>
    </row>
    <row r="520" spans="4:5" x14ac:dyDescent="0.45">
      <c r="D520">
        <v>3</v>
      </c>
      <c r="E520">
        <v>2</v>
      </c>
    </row>
    <row r="521" spans="4:5" x14ac:dyDescent="0.45">
      <c r="D521">
        <v>9</v>
      </c>
      <c r="E521">
        <v>2</v>
      </c>
    </row>
    <row r="522" spans="4:5" x14ac:dyDescent="0.45">
      <c r="D522">
        <v>7</v>
      </c>
      <c r="E522">
        <v>6</v>
      </c>
    </row>
    <row r="523" spans="4:5" x14ac:dyDescent="0.45">
      <c r="D523">
        <v>2</v>
      </c>
      <c r="E523">
        <v>10</v>
      </c>
    </row>
    <row r="524" spans="4:5" x14ac:dyDescent="0.45">
      <c r="D524">
        <v>2</v>
      </c>
      <c r="E524">
        <v>10</v>
      </c>
    </row>
    <row r="525" spans="4:5" x14ac:dyDescent="0.45">
      <c r="D525">
        <v>2</v>
      </c>
      <c r="E525">
        <v>6</v>
      </c>
    </row>
    <row r="526" spans="4:5" x14ac:dyDescent="0.45">
      <c r="D526">
        <v>6</v>
      </c>
      <c r="E526">
        <v>4</v>
      </c>
    </row>
    <row r="527" spans="4:5" x14ac:dyDescent="0.45">
      <c r="D527">
        <v>10</v>
      </c>
      <c r="E527">
        <v>7</v>
      </c>
    </row>
    <row r="528" spans="4:5" x14ac:dyDescent="0.45">
      <c r="D528">
        <v>10</v>
      </c>
      <c r="E528">
        <v>4</v>
      </c>
    </row>
    <row r="529" spans="4:5" x14ac:dyDescent="0.45">
      <c r="D529">
        <v>6</v>
      </c>
      <c r="E529">
        <v>4</v>
      </c>
    </row>
    <row r="530" spans="4:5" x14ac:dyDescent="0.45">
      <c r="D530">
        <v>4</v>
      </c>
      <c r="E530">
        <v>9</v>
      </c>
    </row>
    <row r="531" spans="4:5" x14ac:dyDescent="0.45">
      <c r="D531">
        <v>7</v>
      </c>
      <c r="E531">
        <v>6</v>
      </c>
    </row>
    <row r="532" spans="4:5" x14ac:dyDescent="0.45">
      <c r="D532">
        <v>4</v>
      </c>
      <c r="E532">
        <v>3</v>
      </c>
    </row>
    <row r="533" spans="4:5" x14ac:dyDescent="0.45">
      <c r="D533">
        <v>4</v>
      </c>
      <c r="E533">
        <v>1</v>
      </c>
    </row>
    <row r="534" spans="4:5" x14ac:dyDescent="0.45">
      <c r="D534">
        <v>9</v>
      </c>
      <c r="E534">
        <v>9</v>
      </c>
    </row>
    <row r="535" spans="4:5" x14ac:dyDescent="0.45">
      <c r="D535">
        <v>6</v>
      </c>
      <c r="E535">
        <v>3</v>
      </c>
    </row>
    <row r="536" spans="4:5" x14ac:dyDescent="0.45">
      <c r="D536">
        <v>3</v>
      </c>
      <c r="E536">
        <v>6</v>
      </c>
    </row>
    <row r="537" spans="4:5" x14ac:dyDescent="0.45">
      <c r="D537">
        <v>1</v>
      </c>
      <c r="E537">
        <v>7</v>
      </c>
    </row>
    <row r="538" spans="4:5" x14ac:dyDescent="0.45">
      <c r="D538">
        <v>9</v>
      </c>
      <c r="E538">
        <v>6</v>
      </c>
    </row>
    <row r="539" spans="4:5" x14ac:dyDescent="0.45">
      <c r="D539">
        <v>3</v>
      </c>
      <c r="E539">
        <v>3</v>
      </c>
    </row>
    <row r="540" spans="4:5" x14ac:dyDescent="0.45">
      <c r="D540">
        <v>6</v>
      </c>
      <c r="E540">
        <v>3</v>
      </c>
    </row>
    <row r="541" spans="4:5" x14ac:dyDescent="0.45">
      <c r="D541">
        <v>7</v>
      </c>
      <c r="E541">
        <v>9</v>
      </c>
    </row>
    <row r="542" spans="4:5" x14ac:dyDescent="0.45">
      <c r="D542">
        <v>6</v>
      </c>
      <c r="E542">
        <v>5</v>
      </c>
    </row>
    <row r="543" spans="4:5" x14ac:dyDescent="0.45">
      <c r="D543">
        <v>3</v>
      </c>
      <c r="E543">
        <v>4</v>
      </c>
    </row>
    <row r="544" spans="4:5" x14ac:dyDescent="0.45">
      <c r="D544">
        <v>3</v>
      </c>
      <c r="E544">
        <v>11</v>
      </c>
    </row>
    <row r="545" spans="4:5" x14ac:dyDescent="0.45">
      <c r="D545">
        <v>9</v>
      </c>
      <c r="E545">
        <v>6</v>
      </c>
    </row>
    <row r="546" spans="4:5" x14ac:dyDescent="0.45">
      <c r="D546">
        <v>5</v>
      </c>
      <c r="E546">
        <v>6</v>
      </c>
    </row>
    <row r="547" spans="4:5" x14ac:dyDescent="0.45">
      <c r="D547">
        <v>4</v>
      </c>
      <c r="E547">
        <v>2</v>
      </c>
    </row>
    <row r="548" spans="4:5" x14ac:dyDescent="0.45">
      <c r="D548">
        <v>11</v>
      </c>
      <c r="E548">
        <v>1</v>
      </c>
    </row>
    <row r="549" spans="4:5" x14ac:dyDescent="0.45">
      <c r="D549">
        <v>6</v>
      </c>
      <c r="E549">
        <v>15</v>
      </c>
    </row>
    <row r="550" spans="4:5" x14ac:dyDescent="0.45">
      <c r="D550">
        <v>6</v>
      </c>
      <c r="E550">
        <v>1</v>
      </c>
    </row>
    <row r="551" spans="4:5" x14ac:dyDescent="0.45">
      <c r="D551">
        <v>2</v>
      </c>
      <c r="E551">
        <v>3</v>
      </c>
    </row>
    <row r="552" spans="4:5" x14ac:dyDescent="0.45">
      <c r="D552">
        <v>1</v>
      </c>
      <c r="E552">
        <v>8</v>
      </c>
    </row>
    <row r="553" spans="4:5" x14ac:dyDescent="0.45">
      <c r="D553">
        <v>15</v>
      </c>
      <c r="E553">
        <v>4</v>
      </c>
    </row>
    <row r="554" spans="4:5" x14ac:dyDescent="0.45">
      <c r="D554">
        <v>1</v>
      </c>
      <c r="E554">
        <v>12</v>
      </c>
    </row>
    <row r="555" spans="4:5" x14ac:dyDescent="0.45">
      <c r="D555">
        <v>3</v>
      </c>
      <c r="E555">
        <v>8</v>
      </c>
    </row>
    <row r="556" spans="4:5" x14ac:dyDescent="0.45">
      <c r="D556">
        <v>8</v>
      </c>
      <c r="E556">
        <v>6</v>
      </c>
    </row>
    <row r="557" spans="4:5" x14ac:dyDescent="0.45">
      <c r="D557">
        <v>4</v>
      </c>
      <c r="E557">
        <v>15</v>
      </c>
    </row>
    <row r="558" spans="4:5" x14ac:dyDescent="0.45">
      <c r="D558">
        <v>12</v>
      </c>
      <c r="E558">
        <v>1</v>
      </c>
    </row>
    <row r="559" spans="4:5" x14ac:dyDescent="0.45">
      <c r="D559">
        <v>8</v>
      </c>
      <c r="E559">
        <v>14</v>
      </c>
    </row>
    <row r="560" spans="4:5" x14ac:dyDescent="0.45">
      <c r="D560">
        <v>6</v>
      </c>
      <c r="E560">
        <v>3</v>
      </c>
    </row>
    <row r="561" spans="4:5" x14ac:dyDescent="0.45">
      <c r="D561">
        <v>15</v>
      </c>
      <c r="E561">
        <v>8</v>
      </c>
    </row>
    <row r="562" spans="4:5" x14ac:dyDescent="0.45">
      <c r="D562">
        <v>1</v>
      </c>
      <c r="E562">
        <v>7</v>
      </c>
    </row>
    <row r="563" spans="4:5" x14ac:dyDescent="0.45">
      <c r="D563">
        <v>14</v>
      </c>
      <c r="E563">
        <v>14</v>
      </c>
    </row>
    <row r="564" spans="4:5" x14ac:dyDescent="0.45">
      <c r="D564">
        <v>3</v>
      </c>
      <c r="E564">
        <v>9</v>
      </c>
    </row>
    <row r="565" spans="4:5" x14ac:dyDescent="0.45">
      <c r="D565">
        <v>8</v>
      </c>
      <c r="E565">
        <v>8</v>
      </c>
    </row>
    <row r="566" spans="4:5" x14ac:dyDescent="0.45">
      <c r="D566">
        <v>7</v>
      </c>
      <c r="E566">
        <v>4</v>
      </c>
    </row>
    <row r="567" spans="4:5" x14ac:dyDescent="0.45">
      <c r="D567">
        <v>14</v>
      </c>
      <c r="E567">
        <v>7</v>
      </c>
    </row>
    <row r="568" spans="4:5" x14ac:dyDescent="0.45">
      <c r="D568">
        <v>9</v>
      </c>
      <c r="E568">
        <v>6</v>
      </c>
    </row>
    <row r="569" spans="4:5" x14ac:dyDescent="0.45">
      <c r="D569">
        <v>8</v>
      </c>
      <c r="E569">
        <v>10</v>
      </c>
    </row>
    <row r="570" spans="4:5" x14ac:dyDescent="0.45">
      <c r="D570">
        <v>4</v>
      </c>
      <c r="E570">
        <v>14</v>
      </c>
    </row>
    <row r="571" spans="4:5" x14ac:dyDescent="0.45">
      <c r="D571">
        <v>7</v>
      </c>
      <c r="E571">
        <v>10</v>
      </c>
    </row>
    <row r="572" spans="4:5" x14ac:dyDescent="0.45">
      <c r="D572">
        <v>6</v>
      </c>
      <c r="E572">
        <v>2</v>
      </c>
    </row>
    <row r="573" spans="4:5" x14ac:dyDescent="0.45">
      <c r="D573">
        <v>10</v>
      </c>
      <c r="E573">
        <v>6</v>
      </c>
    </row>
    <row r="574" spans="4:5" x14ac:dyDescent="0.45">
      <c r="D574">
        <v>14</v>
      </c>
      <c r="E574">
        <v>6</v>
      </c>
    </row>
    <row r="575" spans="4:5" x14ac:dyDescent="0.45">
      <c r="D575">
        <v>10</v>
      </c>
      <c r="E575">
        <v>10</v>
      </c>
    </row>
    <row r="576" spans="4:5" x14ac:dyDescent="0.45">
      <c r="D576">
        <v>2</v>
      </c>
      <c r="E576">
        <v>4</v>
      </c>
    </row>
    <row r="577" spans="4:5" x14ac:dyDescent="0.45">
      <c r="D577">
        <v>6</v>
      </c>
      <c r="E577">
        <v>1</v>
      </c>
    </row>
    <row r="578" spans="4:5" x14ac:dyDescent="0.45">
      <c r="D578">
        <v>6</v>
      </c>
      <c r="E578">
        <v>3</v>
      </c>
    </row>
    <row r="579" spans="4:5" x14ac:dyDescent="0.45">
      <c r="D579">
        <v>10</v>
      </c>
      <c r="E579">
        <v>13</v>
      </c>
    </row>
    <row r="580" spans="4:5" x14ac:dyDescent="0.45">
      <c r="D580">
        <v>4</v>
      </c>
      <c r="E580">
        <v>1</v>
      </c>
    </row>
    <row r="581" spans="4:5" x14ac:dyDescent="0.45">
      <c r="D581">
        <v>1</v>
      </c>
      <c r="E581">
        <v>1</v>
      </c>
    </row>
    <row r="582" spans="4:5" x14ac:dyDescent="0.45">
      <c r="D582">
        <v>3</v>
      </c>
      <c r="E582">
        <v>6</v>
      </c>
    </row>
    <row r="583" spans="4:5" x14ac:dyDescent="0.45">
      <c r="D583">
        <v>13</v>
      </c>
      <c r="E583">
        <v>6</v>
      </c>
    </row>
    <row r="584" spans="4:5" x14ac:dyDescent="0.45">
      <c r="D584">
        <v>1</v>
      </c>
      <c r="E584">
        <v>2</v>
      </c>
    </row>
    <row r="585" spans="4:5" x14ac:dyDescent="0.45">
      <c r="D585">
        <v>1</v>
      </c>
      <c r="E585">
        <v>4</v>
      </c>
    </row>
    <row r="586" spans="4:5" x14ac:dyDescent="0.45">
      <c r="D586">
        <v>6</v>
      </c>
      <c r="E586">
        <v>1</v>
      </c>
    </row>
    <row r="587" spans="4:5" x14ac:dyDescent="0.45">
      <c r="D587">
        <v>6</v>
      </c>
      <c r="E587">
        <v>8</v>
      </c>
    </row>
    <row r="588" spans="4:5" x14ac:dyDescent="0.45">
      <c r="D588">
        <v>2</v>
      </c>
      <c r="E588">
        <v>10</v>
      </c>
    </row>
    <row r="589" spans="4:5" x14ac:dyDescent="0.45">
      <c r="D589">
        <v>4</v>
      </c>
      <c r="E589">
        <v>11</v>
      </c>
    </row>
    <row r="590" spans="4:5" x14ac:dyDescent="0.45">
      <c r="D590">
        <v>1</v>
      </c>
      <c r="E590">
        <v>10</v>
      </c>
    </row>
    <row r="591" spans="4:5" x14ac:dyDescent="0.45">
      <c r="D591">
        <v>8</v>
      </c>
      <c r="E591">
        <v>2</v>
      </c>
    </row>
    <row r="592" spans="4:5" x14ac:dyDescent="0.45">
      <c r="D592">
        <v>10</v>
      </c>
      <c r="E592">
        <v>3</v>
      </c>
    </row>
    <row r="593" spans="4:5" x14ac:dyDescent="0.45">
      <c r="D593">
        <v>11</v>
      </c>
      <c r="E593">
        <v>8</v>
      </c>
    </row>
    <row r="594" spans="4:5" x14ac:dyDescent="0.45">
      <c r="D594">
        <v>10</v>
      </c>
      <c r="E594">
        <v>7</v>
      </c>
    </row>
    <row r="595" spans="4:5" x14ac:dyDescent="0.45">
      <c r="D595">
        <v>2</v>
      </c>
      <c r="E595">
        <v>7</v>
      </c>
    </row>
    <row r="596" spans="4:5" x14ac:dyDescent="0.45">
      <c r="D596">
        <v>3</v>
      </c>
      <c r="E596">
        <v>6</v>
      </c>
    </row>
    <row r="597" spans="4:5" x14ac:dyDescent="0.45">
      <c r="D597">
        <v>8</v>
      </c>
      <c r="E597">
        <v>12</v>
      </c>
    </row>
    <row r="598" spans="4:5" x14ac:dyDescent="0.45">
      <c r="D598">
        <v>7</v>
      </c>
      <c r="E598">
        <v>4</v>
      </c>
    </row>
    <row r="599" spans="4:5" x14ac:dyDescent="0.45">
      <c r="D599">
        <v>7</v>
      </c>
      <c r="E599">
        <v>8</v>
      </c>
    </row>
    <row r="600" spans="4:5" x14ac:dyDescent="0.45">
      <c r="D600">
        <v>6</v>
      </c>
    </row>
    <row r="601" spans="4:5" x14ac:dyDescent="0.45">
      <c r="D601">
        <v>12</v>
      </c>
    </row>
    <row r="602" spans="4:5" x14ac:dyDescent="0.45">
      <c r="D602">
        <v>4</v>
      </c>
    </row>
    <row r="603" spans="4:5" x14ac:dyDescent="0.45">
      <c r="D603">
        <v>8</v>
      </c>
    </row>
    <row r="604" spans="4:5" x14ac:dyDescent="0.45">
      <c r="D604">
        <v>5</v>
      </c>
    </row>
    <row r="605" spans="4:5" x14ac:dyDescent="0.45">
      <c r="D605">
        <v>4</v>
      </c>
    </row>
    <row r="606" spans="4:5" x14ac:dyDescent="0.45">
      <c r="D606">
        <v>3</v>
      </c>
    </row>
    <row r="607" spans="4:5" x14ac:dyDescent="0.45">
      <c r="D607">
        <v>9</v>
      </c>
    </row>
    <row r="608" spans="4:5" x14ac:dyDescent="0.45">
      <c r="D608">
        <v>3</v>
      </c>
    </row>
    <row r="609" spans="4:4" x14ac:dyDescent="0.45">
      <c r="D609">
        <v>5</v>
      </c>
    </row>
    <row r="610" spans="4:4" x14ac:dyDescent="0.45">
      <c r="D610">
        <v>6</v>
      </c>
    </row>
    <row r="611" spans="4:4" x14ac:dyDescent="0.45">
      <c r="D611">
        <v>3</v>
      </c>
    </row>
    <row r="612" spans="4:4" x14ac:dyDescent="0.45">
      <c r="D612">
        <v>2</v>
      </c>
    </row>
    <row r="613" spans="4:4" x14ac:dyDescent="0.45">
      <c r="D613">
        <v>5</v>
      </c>
    </row>
    <row r="614" spans="4:4" x14ac:dyDescent="0.45">
      <c r="D614">
        <v>6</v>
      </c>
    </row>
    <row r="615" spans="4:4" x14ac:dyDescent="0.45">
      <c r="D615">
        <v>2</v>
      </c>
    </row>
    <row r="616" spans="4:4" x14ac:dyDescent="0.45">
      <c r="D616">
        <v>4</v>
      </c>
    </row>
    <row r="617" spans="4:4" x14ac:dyDescent="0.45">
      <c r="D617">
        <v>4</v>
      </c>
    </row>
    <row r="618" spans="4:4" x14ac:dyDescent="0.45">
      <c r="D618">
        <v>10</v>
      </c>
    </row>
    <row r="619" spans="4:4" x14ac:dyDescent="0.45">
      <c r="D619">
        <v>14</v>
      </c>
    </row>
    <row r="620" spans="4:4" x14ac:dyDescent="0.45">
      <c r="D620">
        <v>15</v>
      </c>
    </row>
    <row r="621" spans="4:4" x14ac:dyDescent="0.45">
      <c r="D621">
        <v>10</v>
      </c>
    </row>
    <row r="622" spans="4:4" x14ac:dyDescent="0.45">
      <c r="D622">
        <v>6</v>
      </c>
    </row>
    <row r="623" spans="4:4" x14ac:dyDescent="0.45">
      <c r="D623">
        <v>15</v>
      </c>
    </row>
    <row r="624" spans="4:4" x14ac:dyDescent="0.45">
      <c r="D624">
        <v>14</v>
      </c>
    </row>
    <row r="625" spans="4:4" x14ac:dyDescent="0.45">
      <c r="D625">
        <v>2</v>
      </c>
    </row>
    <row r="626" spans="4:4" x14ac:dyDescent="0.45">
      <c r="D626">
        <v>9</v>
      </c>
    </row>
    <row r="627" spans="4:4" x14ac:dyDescent="0.45">
      <c r="D627">
        <v>1</v>
      </c>
    </row>
    <row r="628" spans="4:4" x14ac:dyDescent="0.45">
      <c r="D628">
        <v>3</v>
      </c>
    </row>
    <row r="629" spans="4:4" x14ac:dyDescent="0.45">
      <c r="D629">
        <v>5</v>
      </c>
    </row>
    <row r="630" spans="4:4" x14ac:dyDescent="0.45">
      <c r="D630">
        <v>14</v>
      </c>
    </row>
    <row r="631" spans="4:4" x14ac:dyDescent="0.45">
      <c r="D631">
        <v>8</v>
      </c>
    </row>
    <row r="632" spans="4:4" x14ac:dyDescent="0.45">
      <c r="D632">
        <v>14</v>
      </c>
    </row>
    <row r="633" spans="4:4" x14ac:dyDescent="0.45">
      <c r="D633">
        <v>13</v>
      </c>
    </row>
    <row r="634" spans="4:4" x14ac:dyDescent="0.45">
      <c r="D634">
        <v>3</v>
      </c>
    </row>
    <row r="635" spans="4:4" x14ac:dyDescent="0.45">
      <c r="D635">
        <v>11</v>
      </c>
    </row>
    <row r="636" spans="4:4" x14ac:dyDescent="0.45">
      <c r="D636">
        <v>13</v>
      </c>
    </row>
    <row r="637" spans="4:4" x14ac:dyDescent="0.45">
      <c r="D637">
        <v>15</v>
      </c>
    </row>
    <row r="638" spans="4:4" x14ac:dyDescent="0.45">
      <c r="D638">
        <v>2</v>
      </c>
    </row>
    <row r="639" spans="4:4" x14ac:dyDescent="0.45">
      <c r="D639">
        <v>7</v>
      </c>
    </row>
    <row r="640" spans="4:4" x14ac:dyDescent="0.45">
      <c r="D640">
        <v>6</v>
      </c>
    </row>
    <row r="641" spans="4:4" x14ac:dyDescent="0.45">
      <c r="D641">
        <v>8</v>
      </c>
    </row>
    <row r="642" spans="4:4" x14ac:dyDescent="0.45">
      <c r="D642">
        <v>7</v>
      </c>
    </row>
    <row r="643" spans="4:4" x14ac:dyDescent="0.45">
      <c r="D643">
        <v>14</v>
      </c>
    </row>
    <row r="644" spans="4:4" x14ac:dyDescent="0.45">
      <c r="D644">
        <v>1</v>
      </c>
    </row>
    <row r="645" spans="4:4" x14ac:dyDescent="0.45">
      <c r="D645">
        <v>3</v>
      </c>
    </row>
    <row r="646" spans="4:4" x14ac:dyDescent="0.45">
      <c r="D646">
        <v>8</v>
      </c>
    </row>
    <row r="647" spans="4:4" x14ac:dyDescent="0.45">
      <c r="D647">
        <v>4</v>
      </c>
    </row>
    <row r="648" spans="4:4" x14ac:dyDescent="0.45">
      <c r="D648">
        <v>11</v>
      </c>
    </row>
    <row r="649" spans="4:4" x14ac:dyDescent="0.45">
      <c r="D649">
        <v>6</v>
      </c>
    </row>
  </sheetData>
  <mergeCells count="1">
    <mergeCell ref="E8:P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744D3-9DEF-4148-8950-DD72A57BB6EF}">
  <sheetPr codeName="Sheet6"/>
  <dimension ref="A1:S101"/>
  <sheetViews>
    <sheetView topLeftCell="A13" workbookViewId="0">
      <selection activeCell="B9" sqref="B9"/>
    </sheetView>
  </sheetViews>
  <sheetFormatPr defaultRowHeight="14.25" x14ac:dyDescent="0.45"/>
  <cols>
    <col min="1" max="1" width="12.06640625" bestFit="1" customWidth="1"/>
    <col min="2" max="2" width="13.33203125" bestFit="1" customWidth="1"/>
    <col min="3" max="3" width="18.796875" bestFit="1" customWidth="1"/>
    <col min="4" max="5" width="14.86328125" bestFit="1" customWidth="1"/>
    <col min="6" max="6" width="12.06640625" bestFit="1" customWidth="1"/>
    <col min="7" max="7" width="21.53125" bestFit="1" customWidth="1"/>
    <col min="8" max="9" width="9.06640625" bestFit="1" customWidth="1"/>
    <col min="12" max="12" width="12.06640625" bestFit="1" customWidth="1"/>
    <col min="13" max="13" width="18.796875" bestFit="1" customWidth="1"/>
    <col min="18" max="18" width="12.6640625" bestFit="1" customWidth="1"/>
    <col min="19" max="19" width="22.59765625" bestFit="1" customWidth="1"/>
  </cols>
  <sheetData>
    <row r="1" spans="1:11" x14ac:dyDescent="0.45">
      <c r="A1" s="40" t="s">
        <v>7</v>
      </c>
      <c r="B1" t="s">
        <v>13</v>
      </c>
      <c r="I1" s="42"/>
    </row>
    <row r="2" spans="1:11" x14ac:dyDescent="0.45">
      <c r="G2" s="42"/>
      <c r="H2" s="42"/>
      <c r="I2" s="42"/>
    </row>
    <row r="3" spans="1:11" x14ac:dyDescent="0.45">
      <c r="A3" t="s">
        <v>637</v>
      </c>
      <c r="B3" t="s">
        <v>638</v>
      </c>
      <c r="C3" t="s">
        <v>636</v>
      </c>
      <c r="G3" s="42" t="s">
        <v>639</v>
      </c>
    </row>
    <row r="4" spans="1:11" x14ac:dyDescent="0.45">
      <c r="A4">
        <v>33326</v>
      </c>
      <c r="B4">
        <v>15648</v>
      </c>
      <c r="C4">
        <v>48974</v>
      </c>
      <c r="G4" s="42">
        <v>40</v>
      </c>
    </row>
    <row r="8" spans="1:11" x14ac:dyDescent="0.45">
      <c r="A8" s="43">
        <f>GETPIVOTDATA("Sum of Total cost",$A$3)</f>
        <v>33326</v>
      </c>
      <c r="B8" s="43">
        <f>GETPIVOTDATA("Sum of Net Profit",$A$3)</f>
        <v>15648</v>
      </c>
      <c r="C8" s="43">
        <f>GETPIVOTDATA("Sum of Sales Revenue",$A$3)</f>
        <v>48974</v>
      </c>
      <c r="G8">
        <f>GETPIVOTDATA("Customer Name",$G$3)</f>
        <v>40</v>
      </c>
    </row>
    <row r="9" spans="1:11" x14ac:dyDescent="0.45">
      <c r="A9">
        <f>GETPIVOTDATA("Sum of Total cost",$A$3)</f>
        <v>33326</v>
      </c>
      <c r="B9">
        <f>GETPIVOTDATA("Sum of Net Profit",$A$3)</f>
        <v>15648</v>
      </c>
      <c r="C9">
        <f>GETPIVOTDATA("Sum of Sales Revenue",$A$3)</f>
        <v>48974</v>
      </c>
    </row>
    <row r="11" spans="1:11" x14ac:dyDescent="0.45">
      <c r="A11" s="41" t="s">
        <v>640</v>
      </c>
      <c r="B11" s="42" t="s">
        <v>642</v>
      </c>
      <c r="D11" t="s">
        <v>7</v>
      </c>
      <c r="F11" t="s">
        <v>643</v>
      </c>
      <c r="I11" t="s">
        <v>7</v>
      </c>
      <c r="K11" t="s">
        <v>643</v>
      </c>
    </row>
    <row r="12" spans="1:11" x14ac:dyDescent="0.45">
      <c r="A12" s="44" t="s">
        <v>13</v>
      </c>
      <c r="B12" s="42">
        <v>23</v>
      </c>
      <c r="D12" t="s">
        <v>13</v>
      </c>
      <c r="E12">
        <f>GETPIVOTDATA("Status",$A$11,"Status","Completed")</f>
        <v>23</v>
      </c>
      <c r="F12" s="45">
        <f>E12/($E$12+$E$13)</f>
        <v>0.57499999999999996</v>
      </c>
      <c r="I12" t="s">
        <v>27</v>
      </c>
      <c r="J12">
        <f>GETPIVOTDATA("Status",$A$11,"Status","Returned")</f>
        <v>17</v>
      </c>
      <c r="K12" s="45">
        <f>J12/($J$12+$J$13)</f>
        <v>0.42499999999999999</v>
      </c>
    </row>
    <row r="13" spans="1:11" x14ac:dyDescent="0.45">
      <c r="A13" s="44" t="s">
        <v>27</v>
      </c>
      <c r="B13" s="42">
        <v>17</v>
      </c>
      <c r="D13" t="s">
        <v>644</v>
      </c>
      <c r="E13">
        <f>GETPIVOTDATA("Status",$A$11,"Status","Returned")</f>
        <v>17</v>
      </c>
      <c r="F13" s="45">
        <f>E13/($E$12+$E$13)</f>
        <v>0.42499999999999999</v>
      </c>
      <c r="I13" t="s">
        <v>645</v>
      </c>
      <c r="J13">
        <f>GETPIVOTDATA("Status",$A$11,"Status","Completed")</f>
        <v>23</v>
      </c>
      <c r="K13" s="45">
        <f>J13/($J$12+$J$13)</f>
        <v>0.57499999999999996</v>
      </c>
    </row>
    <row r="14" spans="1:11" x14ac:dyDescent="0.45">
      <c r="A14" s="44" t="s">
        <v>641</v>
      </c>
      <c r="B14" s="42">
        <v>40</v>
      </c>
    </row>
    <row r="17" spans="1:5" x14ac:dyDescent="0.45">
      <c r="B17" s="41" t="s">
        <v>7</v>
      </c>
      <c r="C17" s="42" t="s">
        <v>13</v>
      </c>
    </row>
    <row r="19" spans="1:5" x14ac:dyDescent="0.45">
      <c r="A19" t="s">
        <v>663</v>
      </c>
      <c r="B19" s="41" t="s">
        <v>640</v>
      </c>
      <c r="C19" s="42" t="s">
        <v>636</v>
      </c>
      <c r="D19" s="42" t="s">
        <v>638</v>
      </c>
      <c r="E19" s="42" t="s">
        <v>637</v>
      </c>
    </row>
    <row r="20" spans="1:5" x14ac:dyDescent="0.45">
      <c r="A20">
        <v>1</v>
      </c>
      <c r="B20" s="44" t="s">
        <v>646</v>
      </c>
      <c r="C20" s="42">
        <v>82131</v>
      </c>
      <c r="D20" s="42">
        <v>30289</v>
      </c>
      <c r="E20" s="42">
        <v>51842</v>
      </c>
    </row>
    <row r="21" spans="1:5" x14ac:dyDescent="0.45">
      <c r="A21">
        <v>2</v>
      </c>
      <c r="B21" s="44" t="s">
        <v>647</v>
      </c>
      <c r="C21" s="42">
        <v>51679</v>
      </c>
      <c r="D21" s="42">
        <v>16423</v>
      </c>
      <c r="E21" s="42">
        <v>35256</v>
      </c>
    </row>
    <row r="22" spans="1:5" x14ac:dyDescent="0.45">
      <c r="A22">
        <v>3</v>
      </c>
      <c r="B22" s="44" t="s">
        <v>648</v>
      </c>
      <c r="C22" s="42">
        <v>51243</v>
      </c>
      <c r="D22" s="42">
        <v>16591</v>
      </c>
      <c r="E22" s="42">
        <v>34652</v>
      </c>
    </row>
    <row r="23" spans="1:5" x14ac:dyDescent="0.45">
      <c r="A23">
        <v>4</v>
      </c>
      <c r="B23" s="44" t="s">
        <v>649</v>
      </c>
      <c r="C23" s="42">
        <v>75857</v>
      </c>
      <c r="D23" s="42">
        <v>23272</v>
      </c>
      <c r="E23" s="42">
        <v>52585</v>
      </c>
    </row>
    <row r="24" spans="1:5" x14ac:dyDescent="0.45">
      <c r="A24">
        <v>5</v>
      </c>
      <c r="B24" s="44" t="s">
        <v>650</v>
      </c>
      <c r="C24" s="42">
        <v>46731</v>
      </c>
      <c r="D24" s="42">
        <v>15883</v>
      </c>
      <c r="E24" s="42">
        <v>30848</v>
      </c>
    </row>
    <row r="25" spans="1:5" x14ac:dyDescent="0.45">
      <c r="A25">
        <v>6</v>
      </c>
      <c r="B25" s="44" t="s">
        <v>651</v>
      </c>
      <c r="C25" s="42">
        <v>64872</v>
      </c>
      <c r="D25" s="42">
        <v>26811</v>
      </c>
      <c r="E25" s="42">
        <v>38061</v>
      </c>
    </row>
    <row r="26" spans="1:5" x14ac:dyDescent="0.45">
      <c r="A26">
        <v>7</v>
      </c>
      <c r="B26" s="44" t="s">
        <v>652</v>
      </c>
      <c r="C26" s="42">
        <v>79677</v>
      </c>
      <c r="D26" s="42">
        <v>27318</v>
      </c>
      <c r="E26" s="42">
        <v>52359</v>
      </c>
    </row>
    <row r="27" spans="1:5" x14ac:dyDescent="0.45">
      <c r="A27">
        <v>8</v>
      </c>
      <c r="B27" s="44" t="s">
        <v>653</v>
      </c>
      <c r="C27" s="42">
        <v>60169</v>
      </c>
      <c r="D27" s="42">
        <v>19954</v>
      </c>
      <c r="E27" s="42">
        <v>40215</v>
      </c>
    </row>
    <row r="28" spans="1:5" x14ac:dyDescent="0.45">
      <c r="A28">
        <v>9</v>
      </c>
      <c r="B28" s="44" t="s">
        <v>654</v>
      </c>
      <c r="C28" s="42">
        <v>47293</v>
      </c>
      <c r="D28" s="42">
        <v>18154</v>
      </c>
      <c r="E28" s="42">
        <v>29139</v>
      </c>
    </row>
    <row r="29" spans="1:5" x14ac:dyDescent="0.45">
      <c r="A29">
        <v>10</v>
      </c>
      <c r="B29" s="44" t="s">
        <v>655</v>
      </c>
      <c r="C29" s="42">
        <v>59593</v>
      </c>
      <c r="D29" s="42">
        <v>19900</v>
      </c>
      <c r="E29" s="42">
        <v>39693</v>
      </c>
    </row>
    <row r="30" spans="1:5" x14ac:dyDescent="0.45">
      <c r="A30">
        <v>11</v>
      </c>
      <c r="B30" s="44" t="s">
        <v>656</v>
      </c>
      <c r="C30" s="42">
        <v>58748</v>
      </c>
      <c r="D30" s="42">
        <v>22677</v>
      </c>
      <c r="E30" s="42">
        <v>36071</v>
      </c>
    </row>
    <row r="31" spans="1:5" x14ac:dyDescent="0.45">
      <c r="A31">
        <v>12</v>
      </c>
      <c r="B31" s="44" t="s">
        <v>657</v>
      </c>
      <c r="C31" s="42">
        <v>97473</v>
      </c>
      <c r="D31" s="42">
        <v>34255</v>
      </c>
      <c r="E31" s="42">
        <v>63218</v>
      </c>
    </row>
    <row r="32" spans="1:5" x14ac:dyDescent="0.45">
      <c r="B32" s="44" t="s">
        <v>641</v>
      </c>
      <c r="C32" s="42">
        <v>775466</v>
      </c>
      <c r="D32" s="42">
        <v>271527</v>
      </c>
      <c r="E32" s="42">
        <v>503939</v>
      </c>
    </row>
    <row r="36" spans="1:8" x14ac:dyDescent="0.45">
      <c r="F36" t="s">
        <v>671</v>
      </c>
    </row>
    <row r="37" spans="1:8" x14ac:dyDescent="0.45">
      <c r="A37" s="41" t="s">
        <v>640</v>
      </c>
      <c r="B37" t="s">
        <v>661</v>
      </c>
      <c r="C37" t="s">
        <v>662</v>
      </c>
      <c r="D37" t="s">
        <v>664</v>
      </c>
      <c r="E37" t="s">
        <v>665</v>
      </c>
      <c r="F37" t="s">
        <v>668</v>
      </c>
      <c r="G37" t="s">
        <v>667</v>
      </c>
      <c r="H37" t="s">
        <v>669</v>
      </c>
    </row>
    <row r="38" spans="1:8" x14ac:dyDescent="0.45">
      <c r="A38" s="44" t="s">
        <v>649</v>
      </c>
      <c r="B38">
        <f>MATCH(A38,B20:B31,0)-1</f>
        <v>3</v>
      </c>
      <c r="C38" t="str">
        <f>_xlfn.XLOOKUP(B38,A20:A31,B20:B31,0)</f>
        <v>Mar</v>
      </c>
      <c r="D38">
        <f>C9</f>
        <v>48974</v>
      </c>
      <c r="E38">
        <f>_xlfn.XLOOKUP(B38,A20:A31,C20:C31,0)</f>
        <v>51243</v>
      </c>
      <c r="F38">
        <f>IF(E38=0,0,D38-E38)</f>
        <v>-2269</v>
      </c>
      <c r="G38" s="45">
        <f>IF(E38=0,0,(D38-E38)/E38)</f>
        <v>-4.4279218624982922E-2</v>
      </c>
      <c r="H38" s="50" t="str">
        <f>G39&amp;"|"&amp;F39</f>
        <v>-4.4%|-$2,269</v>
      </c>
    </row>
    <row r="39" spans="1:8" x14ac:dyDescent="0.45">
      <c r="A39" s="44" t="s">
        <v>650</v>
      </c>
      <c r="F39" t="str">
        <f>IF(F38&lt;&gt;0,TEXT(F38,"+$#,## ;-$#,##"),"0")</f>
        <v>-$2,269</v>
      </c>
      <c r="G39" t="str">
        <f>IF(G38&gt;0,"+"&amp;TEXT(G38,"0.0%"),TEXT(G38,"0.0%"))</f>
        <v>-4.4%</v>
      </c>
    </row>
    <row r="40" spans="1:8" x14ac:dyDescent="0.45">
      <c r="A40" s="44" t="s">
        <v>651</v>
      </c>
    </row>
    <row r="41" spans="1:8" x14ac:dyDescent="0.45">
      <c r="A41" s="44" t="s">
        <v>652</v>
      </c>
    </row>
    <row r="42" spans="1:8" x14ac:dyDescent="0.45">
      <c r="A42" s="44" t="s">
        <v>653</v>
      </c>
      <c r="F42" t="s">
        <v>670</v>
      </c>
    </row>
    <row r="43" spans="1:8" x14ac:dyDescent="0.45">
      <c r="A43" s="44" t="s">
        <v>641</v>
      </c>
      <c r="D43" t="s">
        <v>664</v>
      </c>
      <c r="E43" t="s">
        <v>672</v>
      </c>
      <c r="F43" t="s">
        <v>668</v>
      </c>
      <c r="G43" t="s">
        <v>667</v>
      </c>
      <c r="H43" t="s">
        <v>673</v>
      </c>
    </row>
    <row r="44" spans="1:8" x14ac:dyDescent="0.45">
      <c r="D44">
        <f>A9</f>
        <v>33326</v>
      </c>
      <c r="E44">
        <f>_xlfn.XLOOKUP(B38,A20:A31,E20:E31,0)</f>
        <v>34652</v>
      </c>
      <c r="F44">
        <f>IF(E44=0,0,D44-E44)</f>
        <v>-1326</v>
      </c>
      <c r="G44" s="45">
        <f>IF(E44=0,0,(D44-E44)/E44)</f>
        <v>-3.8266189541729195E-2</v>
      </c>
      <c r="H44" s="50" t="str">
        <f>G45&amp;"|"&amp;F45</f>
        <v>-3.8%|-$1,326</v>
      </c>
    </row>
    <row r="45" spans="1:8" x14ac:dyDescent="0.45">
      <c r="F45" t="str">
        <f>IF(F44&lt;&gt;0,TEXT(F44,"+$#,## ;-$#,##"),"0")</f>
        <v>-$1,326</v>
      </c>
      <c r="G45" t="str">
        <f>IF(G44&gt;0,"+"&amp;TEXT(G44,"0.0%"),TEXT(G44,"0.0%"))</f>
        <v>-3.8%</v>
      </c>
    </row>
    <row r="47" spans="1:8" x14ac:dyDescent="0.45">
      <c r="F47" t="s">
        <v>671</v>
      </c>
    </row>
    <row r="48" spans="1:8" x14ac:dyDescent="0.45">
      <c r="D48" t="s">
        <v>664</v>
      </c>
      <c r="E48" t="s">
        <v>665</v>
      </c>
      <c r="F48" t="s">
        <v>668</v>
      </c>
      <c r="G48" t="s">
        <v>667</v>
      </c>
      <c r="H48" t="s">
        <v>669</v>
      </c>
    </row>
    <row r="49" spans="1:9" x14ac:dyDescent="0.45">
      <c r="D49">
        <f>B9</f>
        <v>15648</v>
      </c>
      <c r="E49">
        <f>_xlfn.XLOOKUP(B38,A20:A31,D20:D31,0)</f>
        <v>16591</v>
      </c>
      <c r="F49">
        <f>IF(E49=0,0,D49-E49)</f>
        <v>-943</v>
      </c>
      <c r="G49" s="45">
        <f>IF(E49=0,0,(D49-E49)/E49)</f>
        <v>-5.6838044723042616E-2</v>
      </c>
      <c r="H49" s="51" t="str">
        <f>G50&amp;"|"&amp;F50</f>
        <v>-5.7%|-$943</v>
      </c>
    </row>
    <row r="50" spans="1:9" x14ac:dyDescent="0.45">
      <c r="F50" s="46" t="str">
        <f>IF(F49&lt;&gt;0,TEXT(F49,"+$#,## ;-$#,##"),"0")</f>
        <v>-$943</v>
      </c>
      <c r="G50" s="46" t="str">
        <f>IF(G49&gt;0,"+"&amp;TEXT(G49,"0.0%"),TEXT(G49,"0.0%"))</f>
        <v>-5.7%</v>
      </c>
    </row>
    <row r="51" spans="1:9" x14ac:dyDescent="0.45">
      <c r="G51" s="47"/>
    </row>
    <row r="52" spans="1:9" x14ac:dyDescent="0.45">
      <c r="F52" t="s">
        <v>674</v>
      </c>
    </row>
    <row r="53" spans="1:9" x14ac:dyDescent="0.45">
      <c r="A53" s="44" t="s">
        <v>663</v>
      </c>
      <c r="B53" s="41" t="s">
        <v>640</v>
      </c>
      <c r="C53" s="42" t="s">
        <v>639</v>
      </c>
      <c r="D53" t="s">
        <v>675</v>
      </c>
      <c r="E53" t="s">
        <v>676</v>
      </c>
      <c r="F53" t="s">
        <v>668</v>
      </c>
      <c r="G53" t="s">
        <v>667</v>
      </c>
      <c r="H53" t="s">
        <v>669</v>
      </c>
    </row>
    <row r="54" spans="1:9" x14ac:dyDescent="0.45">
      <c r="A54">
        <v>1</v>
      </c>
      <c r="B54" s="44" t="s">
        <v>646</v>
      </c>
      <c r="C54" s="42">
        <v>40</v>
      </c>
      <c r="D54">
        <f>G8</f>
        <v>40</v>
      </c>
      <c r="E54">
        <f>_xlfn.XLOOKUP(B38,A54:A65,C54:C65,0)</f>
        <v>46</v>
      </c>
      <c r="F54">
        <f>IF(E54=0,0,D54-E54)</f>
        <v>-6</v>
      </c>
      <c r="G54" s="45">
        <f>IF(E54=0,0,(D54-E54)/E54)</f>
        <v>-0.13043478260869565</v>
      </c>
      <c r="H54" s="51" t="str">
        <f>G55&amp;"|"&amp;F55</f>
        <v>-13.0%|-$6</v>
      </c>
    </row>
    <row r="55" spans="1:9" x14ac:dyDescent="0.45">
      <c r="A55">
        <v>2</v>
      </c>
      <c r="B55" s="44" t="s">
        <v>647</v>
      </c>
      <c r="C55" s="42">
        <v>48</v>
      </c>
      <c r="F55" s="46" t="str">
        <f>IF(F54&lt;&gt;0,TEXT(F54,"+$#,## ;-$#,##"),"0")</f>
        <v>-$6</v>
      </c>
      <c r="G55" s="46" t="str">
        <f>IF(G54&gt;0,"+"&amp;TEXT(G54,"0.0%"),TEXT(G54,"0.0%"))</f>
        <v>-13.0%</v>
      </c>
    </row>
    <row r="56" spans="1:9" x14ac:dyDescent="0.45">
      <c r="A56">
        <v>3</v>
      </c>
      <c r="B56" s="44" t="s">
        <v>648</v>
      </c>
      <c r="C56" s="42">
        <v>46</v>
      </c>
    </row>
    <row r="57" spans="1:9" x14ac:dyDescent="0.45">
      <c r="A57">
        <v>4</v>
      </c>
      <c r="B57" s="44" t="s">
        <v>649</v>
      </c>
      <c r="C57" s="42">
        <v>49</v>
      </c>
    </row>
    <row r="58" spans="1:9" x14ac:dyDescent="0.45">
      <c r="A58">
        <v>5</v>
      </c>
      <c r="B58" s="44" t="s">
        <v>650</v>
      </c>
      <c r="C58" s="42">
        <v>38</v>
      </c>
    </row>
    <row r="59" spans="1:9" x14ac:dyDescent="0.45">
      <c r="A59">
        <v>6</v>
      </c>
      <c r="B59" s="44" t="s">
        <v>651</v>
      </c>
      <c r="C59" s="42">
        <v>41</v>
      </c>
      <c r="F59" s="41" t="s">
        <v>7</v>
      </c>
      <c r="G59" s="42" t="s">
        <v>666</v>
      </c>
    </row>
    <row r="60" spans="1:9" x14ac:dyDescent="0.45">
      <c r="A60">
        <v>7</v>
      </c>
      <c r="B60" s="44" t="s">
        <v>652</v>
      </c>
      <c r="C60" s="42">
        <v>54</v>
      </c>
    </row>
    <row r="61" spans="1:9" x14ac:dyDescent="0.45">
      <c r="A61">
        <v>8</v>
      </c>
      <c r="B61" s="44" t="s">
        <v>653</v>
      </c>
      <c r="C61" s="42">
        <v>48</v>
      </c>
      <c r="F61" s="41" t="s">
        <v>640</v>
      </c>
      <c r="G61" s="42" t="s">
        <v>678</v>
      </c>
      <c r="H61" s="42" t="s">
        <v>679</v>
      </c>
      <c r="I61" s="42" t="s">
        <v>680</v>
      </c>
    </row>
    <row r="62" spans="1:9" x14ac:dyDescent="0.45">
      <c r="A62">
        <v>9</v>
      </c>
      <c r="B62" s="44" t="s">
        <v>654</v>
      </c>
      <c r="C62" s="42">
        <v>45</v>
      </c>
      <c r="F62" s="44" t="s">
        <v>20</v>
      </c>
      <c r="G62" s="42">
        <v>24970</v>
      </c>
      <c r="H62" s="42">
        <v>6783</v>
      </c>
      <c r="I62" s="42">
        <v>18187</v>
      </c>
    </row>
    <row r="63" spans="1:9" x14ac:dyDescent="0.45">
      <c r="A63">
        <v>10</v>
      </c>
      <c r="B63" s="44" t="s">
        <v>655</v>
      </c>
      <c r="C63" s="42">
        <v>51</v>
      </c>
      <c r="F63" s="44" t="s">
        <v>16</v>
      </c>
      <c r="G63" s="42">
        <v>16240</v>
      </c>
      <c r="H63" s="42">
        <v>7428</v>
      </c>
      <c r="I63" s="42">
        <v>8812</v>
      </c>
    </row>
    <row r="64" spans="1:9" x14ac:dyDescent="0.45">
      <c r="A64">
        <v>11</v>
      </c>
      <c r="B64" s="44" t="s">
        <v>656</v>
      </c>
      <c r="C64" s="42">
        <v>43</v>
      </c>
      <c r="F64" s="44" t="s">
        <v>11</v>
      </c>
      <c r="G64" s="42">
        <v>24468</v>
      </c>
      <c r="H64" s="42">
        <v>6804</v>
      </c>
      <c r="I64" s="42">
        <v>17664</v>
      </c>
    </row>
    <row r="65" spans="1:19" x14ac:dyDescent="0.45">
      <c r="A65">
        <v>12</v>
      </c>
      <c r="B65" s="44" t="s">
        <v>657</v>
      </c>
      <c r="C65" s="42">
        <v>57</v>
      </c>
      <c r="F65" s="44" t="s">
        <v>23</v>
      </c>
      <c r="G65" s="42">
        <v>13607</v>
      </c>
      <c r="H65" s="42">
        <v>6100</v>
      </c>
      <c r="I65" s="42">
        <v>7507</v>
      </c>
    </row>
    <row r="66" spans="1:19" x14ac:dyDescent="0.45">
      <c r="B66" s="44" t="s">
        <v>641</v>
      </c>
      <c r="C66" s="42">
        <v>560</v>
      </c>
      <c r="F66" s="44" t="s">
        <v>30</v>
      </c>
      <c r="G66" s="42">
        <v>9131</v>
      </c>
      <c r="H66" s="42">
        <v>2597</v>
      </c>
      <c r="I66" s="42">
        <v>6534</v>
      </c>
    </row>
    <row r="67" spans="1:19" x14ac:dyDescent="0.45">
      <c r="F67" s="44" t="s">
        <v>641</v>
      </c>
      <c r="G67" s="42">
        <v>88416</v>
      </c>
      <c r="H67" s="42">
        <v>29712</v>
      </c>
      <c r="I67" s="42">
        <v>58704</v>
      </c>
    </row>
    <row r="71" spans="1:19" x14ac:dyDescent="0.45">
      <c r="F71" s="41" t="s">
        <v>7</v>
      </c>
      <c r="G71" s="42" t="s">
        <v>13</v>
      </c>
    </row>
    <row r="72" spans="1:19" x14ac:dyDescent="0.45">
      <c r="R72" s="41" t="s">
        <v>7</v>
      </c>
      <c r="S72" s="42" t="s">
        <v>13</v>
      </c>
    </row>
    <row r="73" spans="1:19" x14ac:dyDescent="0.45">
      <c r="F73" s="41" t="s">
        <v>640</v>
      </c>
      <c r="G73" s="42" t="s">
        <v>678</v>
      </c>
      <c r="H73" s="42" t="s">
        <v>679</v>
      </c>
      <c r="I73" s="42" t="s">
        <v>680</v>
      </c>
    </row>
    <row r="74" spans="1:19" x14ac:dyDescent="0.45">
      <c r="F74" s="44" t="s">
        <v>649</v>
      </c>
      <c r="G74" s="42">
        <v>3163</v>
      </c>
      <c r="H74" s="42">
        <v>887</v>
      </c>
      <c r="I74" s="42">
        <v>2276</v>
      </c>
      <c r="R74" s="41" t="s">
        <v>640</v>
      </c>
      <c r="S74" s="42" t="s">
        <v>678</v>
      </c>
    </row>
    <row r="75" spans="1:19" x14ac:dyDescent="0.45">
      <c r="F75" s="44" t="s">
        <v>650</v>
      </c>
      <c r="G75" s="42">
        <v>20781</v>
      </c>
      <c r="H75" s="42">
        <v>6557</v>
      </c>
      <c r="I75" s="42">
        <v>14224</v>
      </c>
      <c r="R75" s="44" t="s">
        <v>684</v>
      </c>
      <c r="S75" s="42">
        <v>386</v>
      </c>
    </row>
    <row r="76" spans="1:19" x14ac:dyDescent="0.45">
      <c r="F76" s="44" t="s">
        <v>651</v>
      </c>
      <c r="G76" s="42">
        <v>11596</v>
      </c>
      <c r="H76" s="42">
        <v>3999</v>
      </c>
      <c r="I76" s="42">
        <v>7597</v>
      </c>
      <c r="R76" s="44" t="s">
        <v>658</v>
      </c>
      <c r="S76" s="42">
        <v>11497</v>
      </c>
    </row>
    <row r="77" spans="1:19" x14ac:dyDescent="0.45">
      <c r="F77" s="44" t="s">
        <v>652</v>
      </c>
      <c r="G77" s="42">
        <v>8055</v>
      </c>
      <c r="H77" s="42">
        <v>2536</v>
      </c>
      <c r="I77" s="42">
        <v>5519</v>
      </c>
      <c r="R77" s="44" t="s">
        <v>685</v>
      </c>
      <c r="S77" s="42">
        <v>3254</v>
      </c>
    </row>
    <row r="78" spans="1:19" x14ac:dyDescent="0.45">
      <c r="F78" s="44" t="s">
        <v>653</v>
      </c>
      <c r="G78" s="42">
        <v>5379</v>
      </c>
      <c r="H78" s="42">
        <v>1669</v>
      </c>
      <c r="I78" s="42">
        <v>3710</v>
      </c>
      <c r="R78" s="44" t="s">
        <v>683</v>
      </c>
      <c r="S78" s="42">
        <v>11899</v>
      </c>
    </row>
    <row r="79" spans="1:19" x14ac:dyDescent="0.45">
      <c r="F79" s="44" t="s">
        <v>641</v>
      </c>
      <c r="G79" s="42">
        <v>48974</v>
      </c>
      <c r="H79" s="42">
        <v>15648</v>
      </c>
      <c r="I79" s="42">
        <v>33326</v>
      </c>
      <c r="R79" s="44" t="s">
        <v>686</v>
      </c>
      <c r="S79" s="42">
        <v>2151</v>
      </c>
    </row>
    <row r="80" spans="1:19" x14ac:dyDescent="0.45">
      <c r="R80" s="44" t="s">
        <v>660</v>
      </c>
      <c r="S80" s="42">
        <v>9799</v>
      </c>
    </row>
    <row r="81" spans="3:19" x14ac:dyDescent="0.45">
      <c r="R81" s="44" t="s">
        <v>659</v>
      </c>
      <c r="S81" s="42">
        <v>9988</v>
      </c>
    </row>
    <row r="82" spans="3:19" x14ac:dyDescent="0.45">
      <c r="R82" s="44" t="s">
        <v>641</v>
      </c>
      <c r="S82" s="42">
        <v>48974</v>
      </c>
    </row>
    <row r="87" spans="3:19" x14ac:dyDescent="0.45">
      <c r="R87" s="41" t="s">
        <v>7</v>
      </c>
      <c r="S87" s="42" t="s">
        <v>13</v>
      </c>
    </row>
    <row r="89" spans="3:19" x14ac:dyDescent="0.45">
      <c r="R89" s="41" t="s">
        <v>640</v>
      </c>
      <c r="S89" s="42" t="s">
        <v>681</v>
      </c>
    </row>
    <row r="90" spans="3:19" x14ac:dyDescent="0.45">
      <c r="R90" s="44" t="s">
        <v>45</v>
      </c>
      <c r="S90" s="42">
        <v>8</v>
      </c>
    </row>
    <row r="91" spans="3:19" x14ac:dyDescent="0.45">
      <c r="R91" s="44" t="s">
        <v>28</v>
      </c>
      <c r="S91" s="42">
        <v>3</v>
      </c>
    </row>
    <row r="92" spans="3:19" x14ac:dyDescent="0.45">
      <c r="L92" s="41" t="s">
        <v>7</v>
      </c>
      <c r="M92" s="42" t="s">
        <v>13</v>
      </c>
      <c r="R92" s="44" t="s">
        <v>18</v>
      </c>
      <c r="S92" s="42">
        <v>4</v>
      </c>
    </row>
    <row r="93" spans="3:19" x14ac:dyDescent="0.45">
      <c r="R93" s="44" t="s">
        <v>14</v>
      </c>
      <c r="S93" s="42">
        <v>8</v>
      </c>
    </row>
    <row r="94" spans="3:19" x14ac:dyDescent="0.45">
      <c r="C94" t="s">
        <v>631</v>
      </c>
      <c r="D94" t="s">
        <v>671</v>
      </c>
      <c r="F94" t="s">
        <v>631</v>
      </c>
      <c r="G94" t="s">
        <v>671</v>
      </c>
      <c r="H94" s="48"/>
      <c r="I94" s="48"/>
      <c r="L94" s="41" t="s">
        <v>640</v>
      </c>
      <c r="M94" s="42" t="s">
        <v>636</v>
      </c>
      <c r="R94" s="44" t="s">
        <v>641</v>
      </c>
      <c r="S94" s="42">
        <v>23</v>
      </c>
    </row>
    <row r="95" spans="3:19" x14ac:dyDescent="0.45">
      <c r="C95" s="44" t="s">
        <v>551</v>
      </c>
      <c r="D95" s="49">
        <v>14425</v>
      </c>
      <c r="F95" s="44" t="str">
        <f>L95</f>
        <v>Australia</v>
      </c>
      <c r="G95" s="52">
        <f>M95</f>
        <v>48974</v>
      </c>
      <c r="H95" s="44"/>
      <c r="I95" s="49"/>
      <c r="L95" s="44" t="s">
        <v>550</v>
      </c>
      <c r="M95" s="49">
        <v>48974</v>
      </c>
    </row>
    <row r="96" spans="3:19" x14ac:dyDescent="0.45">
      <c r="C96" s="44" t="s">
        <v>550</v>
      </c>
      <c r="D96" s="49">
        <v>153863</v>
      </c>
      <c r="F96" s="44" t="str">
        <f t="shared" ref="F96:F101" si="0">L96</f>
        <v>Grand Total</v>
      </c>
      <c r="G96" s="52">
        <f t="shared" ref="G96:G101" si="1">M96</f>
        <v>48974</v>
      </c>
      <c r="H96" s="44"/>
      <c r="I96" s="49"/>
      <c r="L96" s="44" t="s">
        <v>641</v>
      </c>
      <c r="M96" s="42">
        <v>48974</v>
      </c>
    </row>
    <row r="97" spans="3:9" x14ac:dyDescent="0.45">
      <c r="C97" s="44" t="s">
        <v>547</v>
      </c>
      <c r="D97" s="49">
        <v>41436</v>
      </c>
      <c r="F97" s="44">
        <f t="shared" si="0"/>
        <v>0</v>
      </c>
      <c r="G97" s="52">
        <f t="shared" si="1"/>
        <v>0</v>
      </c>
      <c r="H97" s="44"/>
      <c r="I97" s="49"/>
    </row>
    <row r="98" spans="3:9" x14ac:dyDescent="0.45">
      <c r="C98" s="44" t="s">
        <v>549</v>
      </c>
      <c r="D98" s="49">
        <v>131503</v>
      </c>
      <c r="F98" s="44">
        <f t="shared" si="0"/>
        <v>0</v>
      </c>
      <c r="G98" s="52">
        <f t="shared" si="1"/>
        <v>0</v>
      </c>
      <c r="H98" s="44"/>
      <c r="I98" s="49"/>
    </row>
    <row r="99" spans="3:9" x14ac:dyDescent="0.45">
      <c r="C99" s="44" t="s">
        <v>32</v>
      </c>
      <c r="D99" s="49">
        <v>186150</v>
      </c>
      <c r="F99" s="44">
        <f t="shared" si="0"/>
        <v>0</v>
      </c>
      <c r="G99" s="52">
        <f t="shared" si="1"/>
        <v>0</v>
      </c>
      <c r="H99" s="44"/>
      <c r="I99" s="49"/>
    </row>
    <row r="100" spans="3:9" x14ac:dyDescent="0.45">
      <c r="C100" s="44" t="s">
        <v>548</v>
      </c>
      <c r="D100" s="49">
        <v>148256</v>
      </c>
      <c r="F100" s="44">
        <f t="shared" si="0"/>
        <v>0</v>
      </c>
      <c r="G100" s="52">
        <f t="shared" si="1"/>
        <v>0</v>
      </c>
      <c r="H100" s="44"/>
      <c r="I100" s="49"/>
    </row>
    <row r="101" spans="3:9" x14ac:dyDescent="0.45">
      <c r="C101" s="44" t="s">
        <v>546</v>
      </c>
      <c r="D101" s="49">
        <v>99833</v>
      </c>
      <c r="F101" s="44">
        <f t="shared" si="0"/>
        <v>0</v>
      </c>
      <c r="G101" s="52">
        <f t="shared" si="1"/>
        <v>0</v>
      </c>
      <c r="H101" s="44"/>
      <c r="I101" s="49"/>
    </row>
  </sheetData>
  <conditionalFormatting sqref="H49">
    <cfRule type="expression" dxfId="7" priority="9">
      <formula>$F$49&gt;0</formula>
    </cfRule>
    <cfRule type="expression" dxfId="6" priority="10">
      <formula>$F$49&lt;=0</formula>
    </cfRule>
  </conditionalFormatting>
  <conditionalFormatting sqref="H44">
    <cfRule type="expression" dxfId="5" priority="7">
      <formula>$F$44&lt;=0</formula>
    </cfRule>
    <cfRule type="expression" dxfId="4" priority="8">
      <formula>$F$44&gt;0</formula>
    </cfRule>
  </conditionalFormatting>
  <conditionalFormatting sqref="H38">
    <cfRule type="expression" dxfId="3" priority="5">
      <formula>$F$38&gt;0</formula>
    </cfRule>
    <cfRule type="expression" dxfId="2" priority="6">
      <formula>$F$38&lt;=0</formula>
    </cfRule>
  </conditionalFormatting>
  <conditionalFormatting sqref="H54">
    <cfRule type="expression" dxfId="1" priority="1">
      <formula>$F$54&lt;=0</formula>
    </cfRule>
    <cfRule type="expression" dxfId="0" priority="2">
      <formula>$F$54&gt;0</formula>
    </cfRule>
  </conditionalFormatting>
  <pageMargins left="0.7" right="0.7" top="0.75" bottom="0.75" header="0.3" footer="0.3"/>
  <drawing r:id="rId12"/>
  <extLst>
    <ext xmlns:x14="http://schemas.microsoft.com/office/spreadsheetml/2009/9/main" uri="{A8765BA9-456A-4dab-B4F3-ACF838C121DE}">
      <x14:slicerList>
        <x14:slicer r:id="rId1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342D8-1F64-43D2-9E8F-81077B3F6747}">
  <sheetPr codeName="Sheet5"/>
  <dimension ref="A2:F23"/>
  <sheetViews>
    <sheetView workbookViewId="0">
      <selection activeCell="J18" sqref="J18"/>
    </sheetView>
  </sheetViews>
  <sheetFormatPr defaultRowHeight="14.25" x14ac:dyDescent="0.45"/>
  <cols>
    <col min="1" max="1" width="12.265625" bestFit="1" customWidth="1"/>
  </cols>
  <sheetData>
    <row r="2" spans="1:6" x14ac:dyDescent="0.45">
      <c r="A2" t="s">
        <v>609</v>
      </c>
      <c r="B2" t="str" cm="1">
        <f t="array" ref="B2:B6">_xlfn.UNIQUE('Retail Store Sales'!B6:B555)</f>
        <v>Electronics</v>
      </c>
      <c r="E2" t="s">
        <v>611</v>
      </c>
      <c r="F2" t="str" cm="1">
        <f t="array" ref="F2:F8">_xlfn.UNIQUE('Retail Store Sales'!I6:I555)</f>
        <v>China</v>
      </c>
    </row>
    <row r="3" spans="1:6" x14ac:dyDescent="0.45">
      <c r="B3" t="str">
        <v>Home Decor</v>
      </c>
      <c r="F3" t="str">
        <v>Nigeria</v>
      </c>
    </row>
    <row r="4" spans="1:6" x14ac:dyDescent="0.45">
      <c r="B4" t="str">
        <v>Groceries</v>
      </c>
      <c r="F4" t="str">
        <v>Australia</v>
      </c>
    </row>
    <row r="5" spans="1:6" x14ac:dyDescent="0.45">
      <c r="B5" t="str">
        <v>Apparel</v>
      </c>
      <c r="F5" t="str">
        <v>United States</v>
      </c>
    </row>
    <row r="6" spans="1:6" x14ac:dyDescent="0.45">
      <c r="B6" t="str">
        <v>Books</v>
      </c>
      <c r="F6" t="str">
        <v>United Kingdom</v>
      </c>
    </row>
    <row r="7" spans="1:6" x14ac:dyDescent="0.45">
      <c r="A7" t="s">
        <v>610</v>
      </c>
      <c r="B7" t="str" cm="1">
        <f t="array" ref="B7:B23">_xlfn.UNIQUE('Retail Store Sales'!C515:C555)</f>
        <v>Curtains</v>
      </c>
      <c r="F7" t="str">
        <v>Brazil</v>
      </c>
    </row>
    <row r="8" spans="1:6" x14ac:dyDescent="0.45">
      <c r="B8" t="str">
        <v>Cereal</v>
      </c>
      <c r="F8" t="str">
        <v>Antarctica</v>
      </c>
    </row>
    <row r="9" spans="1:6" x14ac:dyDescent="0.45">
      <c r="B9" t="str">
        <v>Children's Book</v>
      </c>
    </row>
    <row r="10" spans="1:6" x14ac:dyDescent="0.45">
      <c r="B10" t="str">
        <v>Smartphone</v>
      </c>
      <c r="E10" t="s">
        <v>612</v>
      </c>
      <c r="F10" t="str" cm="1">
        <f t="array" ref="F10:F13">_xlfn.UNIQUE('Retail Store Sales'!J6:J555)</f>
        <v>Cash</v>
      </c>
    </row>
    <row r="11" spans="1:6" x14ac:dyDescent="0.45">
      <c r="B11" t="str">
        <v>Sneakers</v>
      </c>
      <c r="F11" t="str">
        <v>Credit Card</v>
      </c>
    </row>
    <row r="12" spans="1:6" x14ac:dyDescent="0.45">
      <c r="B12" t="str">
        <v>Fiction</v>
      </c>
      <c r="F12" t="str">
        <v>Bank Transfer</v>
      </c>
    </row>
    <row r="13" spans="1:6" x14ac:dyDescent="0.45">
      <c r="B13" t="str">
        <v>Table Lamp</v>
      </c>
      <c r="F13" t="str">
        <v>Mobile Money</v>
      </c>
    </row>
    <row r="14" spans="1:6" x14ac:dyDescent="0.45">
      <c r="B14" t="str">
        <v>Non-Fiction</v>
      </c>
    </row>
    <row r="15" spans="1:6" x14ac:dyDescent="0.45">
      <c r="B15" t="str">
        <v>Biography</v>
      </c>
    </row>
    <row r="16" spans="1:6" x14ac:dyDescent="0.45">
      <c r="B16" t="str">
        <v>Laptop</v>
      </c>
    </row>
    <row r="17" spans="2:2" x14ac:dyDescent="0.45">
      <c r="B17" t="str">
        <v>Juice</v>
      </c>
    </row>
    <row r="18" spans="2:2" x14ac:dyDescent="0.45">
      <c r="B18" t="str">
        <v>Wall Art</v>
      </c>
    </row>
    <row r="19" spans="2:2" x14ac:dyDescent="0.45">
      <c r="B19" t="str">
        <v>Milk</v>
      </c>
    </row>
    <row r="20" spans="2:2" x14ac:dyDescent="0.45">
      <c r="B20" t="str">
        <v>Vase</v>
      </c>
    </row>
    <row r="21" spans="2:2" x14ac:dyDescent="0.45">
      <c r="B21" t="str">
        <v>Camera</v>
      </c>
    </row>
    <row r="22" spans="2:2" x14ac:dyDescent="0.45">
      <c r="B22" t="str">
        <v>Jeans</v>
      </c>
    </row>
    <row r="23" spans="2:2" x14ac:dyDescent="0.45">
      <c r="B23" t="str">
        <v>Headphones</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Sale form</vt:lpstr>
      <vt:lpstr>Retail Store Sales</vt:lpstr>
      <vt:lpstr>Sales DashBoard</vt:lpstr>
      <vt:lpstr>Cost Per Unit </vt:lpstr>
      <vt:lpstr>Descriptive statistics</vt:lpstr>
      <vt:lpstr>Pivot tables</vt:lpstr>
      <vt:lpstr>Unique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Abessolo Ateba Abhas</dc:creator>
  <cp:lastModifiedBy>Yan Shin</cp:lastModifiedBy>
  <dcterms:created xsi:type="dcterms:W3CDTF">2025-01-30T07:46:36Z</dcterms:created>
  <dcterms:modified xsi:type="dcterms:W3CDTF">2025-08-28T21:06:03Z</dcterms:modified>
</cp:coreProperties>
</file>